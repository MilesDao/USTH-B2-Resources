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B2 Year\Statistics\"/>
    </mc:Choice>
  </mc:AlternateContent>
  <xr:revisionPtr revIDLastSave="0" documentId="13_ncr:1_{F7645C55-6EAB-4BB9-9A45-D9CB47D83567}" xr6:coauthVersionLast="47" xr6:coauthVersionMax="47" xr10:uidLastSave="{00000000-0000-0000-0000-000000000000}"/>
  <bookViews>
    <workbookView xWindow="-108" yWindow="-108" windowWidth="23256" windowHeight="12456" tabRatio="700" xr2:uid="{00000000-000D-0000-FFFF-FFFF00000000}"/>
  </bookViews>
  <sheets>
    <sheet name="FinalExaminData_03" sheetId="1" r:id="rId1"/>
    <sheet name="Prob 1" sheetId="2" r:id="rId2"/>
    <sheet name="Prob 2" sheetId="3" r:id="rId3"/>
    <sheet name="Prob 3" sheetId="4" r:id="rId4"/>
    <sheet name="Prob 4" sheetId="5" r:id="rId5"/>
    <sheet name="Prob 5" sheetId="6" r:id="rId6"/>
  </sheets>
  <definedNames>
    <definedName name="_xlnm._FilterDatabase" localSheetId="1" hidden="1">'Prob 1'!$A$1:$B$81</definedName>
    <definedName name="_xlnm._FilterDatabase" localSheetId="3" hidden="1">'Prob 3'!$A$1:$B$81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 s="1"/>
  <c r="K25" i="6"/>
  <c r="K14" i="6"/>
  <c r="K15" i="6" s="1"/>
  <c r="M6" i="5"/>
  <c r="M5" i="5"/>
  <c r="M4" i="5"/>
  <c r="H16" i="4"/>
  <c r="H15" i="4"/>
  <c r="K26" i="6"/>
  <c r="K24" i="6"/>
  <c r="K2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F12" i="6"/>
  <c r="G2" i="6"/>
  <c r="F3" i="6"/>
  <c r="F4" i="6"/>
  <c r="F5" i="6"/>
  <c r="F6" i="6"/>
  <c r="F7" i="6"/>
  <c r="F8" i="6"/>
  <c r="F9" i="6"/>
  <c r="F10" i="6"/>
  <c r="F11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2" i="6"/>
  <c r="K22" i="6"/>
  <c r="K21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2" i="6"/>
  <c r="K5" i="6"/>
  <c r="K4" i="6"/>
  <c r="K6" i="6"/>
  <c r="G10" i="5"/>
  <c r="G9" i="5"/>
  <c r="M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2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57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3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2" i="5"/>
  <c r="G6" i="5"/>
  <c r="G5" i="5"/>
  <c r="I4" i="5"/>
  <c r="H4" i="5"/>
  <c r="G4" i="5"/>
  <c r="I5" i="5"/>
  <c r="I6" i="5" s="1"/>
  <c r="J4" i="5"/>
  <c r="H5" i="5"/>
  <c r="H6" i="5" s="1"/>
  <c r="I12" i="4"/>
  <c r="H12" i="4"/>
  <c r="J11" i="4"/>
  <c r="I11" i="4"/>
  <c r="H11" i="4"/>
  <c r="J7" i="4"/>
  <c r="I7" i="4"/>
  <c r="H7" i="4"/>
  <c r="J6" i="4"/>
  <c r="I6" i="4"/>
  <c r="H6" i="4"/>
  <c r="H19" i="4"/>
  <c r="H21" i="3"/>
  <c r="H16" i="3"/>
  <c r="H22" i="3" s="1"/>
  <c r="H11" i="3"/>
  <c r="H10" i="3"/>
  <c r="H8" i="3"/>
  <c r="H7" i="3"/>
  <c r="H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2" i="3"/>
  <c r="H25" i="2"/>
  <c r="H24" i="2"/>
  <c r="H21" i="2"/>
  <c r="H20" i="2"/>
  <c r="H15" i="2"/>
  <c r="H13" i="2"/>
  <c r="H12" i="2"/>
  <c r="H10" i="2"/>
  <c r="H9" i="2"/>
  <c r="I7" i="2"/>
  <c r="H7" i="2"/>
  <c r="I6" i="2"/>
  <c r="H6" i="2"/>
  <c r="I5" i="2"/>
  <c r="H5" i="2"/>
  <c r="G7" i="5" l="1"/>
  <c r="G8" i="5"/>
  <c r="J8" i="4"/>
  <c r="I8" i="4"/>
  <c r="K7" i="4"/>
  <c r="K6" i="4"/>
  <c r="H8" i="4"/>
  <c r="K8" i="4" l="1"/>
  <c r="I16" i="4" s="1"/>
  <c r="J15" i="4" l="1"/>
  <c r="J12" i="4"/>
  <c r="J16" i="4" s="1"/>
  <c r="I15" i="4"/>
  <c r="H18" i="4" s="1"/>
  <c r="H21" i="4" s="1"/>
</calcChain>
</file>

<file path=xl/sharedStrings.xml><?xml version="1.0" encoding="utf-8"?>
<sst xmlns="http://schemas.openxmlformats.org/spreadsheetml/2006/main" count="468" uniqueCount="118">
  <si>
    <t>A</t>
  </si>
  <si>
    <t>CKD</t>
  </si>
  <si>
    <t>CKT</t>
  </si>
  <si>
    <t>D1</t>
  </si>
  <si>
    <t>CKS</t>
  </si>
  <si>
    <t>Class</t>
  </si>
  <si>
    <t>Block</t>
  </si>
  <si>
    <t>English</t>
  </si>
  <si>
    <t>Literature</t>
  </si>
  <si>
    <t>Semeter1</t>
  </si>
  <si>
    <t>Semeter5</t>
  </si>
  <si>
    <t>AverageScore</t>
  </si>
  <si>
    <t>Program</t>
  </si>
  <si>
    <t>HSClassification</t>
  </si>
  <si>
    <r>
      <rPr>
        <b/>
        <sz val="11"/>
        <color theme="1"/>
        <rFont val="Calibri"/>
        <family val="2"/>
        <scheme val="minor"/>
      </rPr>
      <t>Hypothesis</t>
    </r>
    <r>
      <rPr>
        <sz val="11"/>
        <color theme="1"/>
        <rFont val="Calibri"/>
        <family val="2"/>
        <scheme val="minor"/>
      </rPr>
      <t>: Average score on Enghlish of students in block A = Average score on Enghlish of students in block D1</t>
    </r>
  </si>
  <si>
    <r>
      <rPr>
        <b/>
        <sz val="11"/>
        <color theme="1"/>
        <rFont val="Calibri"/>
        <family val="2"/>
        <scheme val="minor"/>
      </rPr>
      <t>Alternative Hypothesis</t>
    </r>
    <r>
      <rPr>
        <sz val="11"/>
        <color theme="1"/>
        <rFont val="Calibri"/>
        <family val="2"/>
        <scheme val="minor"/>
      </rPr>
      <t>: Average score on Enghlish of students in block A != Average score on Enghlish of students in block D1</t>
    </r>
  </si>
  <si>
    <t>Block A</t>
  </si>
  <si>
    <t>Block D1</t>
  </si>
  <si>
    <t>Sample size</t>
  </si>
  <si>
    <t>Sample mean</t>
  </si>
  <si>
    <t>Sample variance</t>
  </si>
  <si>
    <t>Test statistic t</t>
  </si>
  <si>
    <t>Using formula</t>
  </si>
  <si>
    <t>Significance level</t>
  </si>
  <si>
    <t>Using built-in function in Excel</t>
  </si>
  <si>
    <t>Critical Value for T(5%, N(A)+N(D1)-2))</t>
  </si>
  <si>
    <t xml:space="preserve">Method using critical value </t>
  </si>
  <si>
    <t>t &lt; Critical Value =&gt; Fail to reject the hypothesis</t>
  </si>
  <si>
    <t>Method using significance level</t>
  </si>
  <si>
    <t>0.128 &gt; 0.05 =&gt; Fail to reject the hypothesis</t>
  </si>
  <si>
    <t>Method using confidence interval</t>
  </si>
  <si>
    <t>Lower Bound of Block A</t>
  </si>
  <si>
    <t>Upper Bound of Block A</t>
  </si>
  <si>
    <t>Confidence Interval A</t>
  </si>
  <si>
    <t>(5.229, 5.786)</t>
  </si>
  <si>
    <t>Lower Bound of Block B</t>
  </si>
  <si>
    <t>Upper Bound of Block B</t>
  </si>
  <si>
    <t>Confidence Interval B</t>
  </si>
  <si>
    <t>(5.427, 6.650)</t>
  </si>
  <si>
    <t>2 confidence intervals are jointed =&gt; Fail to reject the hypothesis</t>
  </si>
  <si>
    <t>Literature (X)</t>
  </si>
  <si>
    <t>English (Y)</t>
  </si>
  <si>
    <r>
      <rPr>
        <b/>
        <sz val="11"/>
        <color theme="1"/>
        <rFont val="Calibri"/>
        <family val="2"/>
        <scheme val="minor"/>
      </rPr>
      <t>Hypothesis</t>
    </r>
    <r>
      <rPr>
        <sz val="11"/>
        <color theme="1"/>
        <rFont val="Calibri"/>
        <family val="2"/>
        <scheme val="minor"/>
      </rPr>
      <t>: Mean value variable Literature (X) = Mean value variable English (Y)</t>
    </r>
  </si>
  <si>
    <r>
      <rPr>
        <b/>
        <sz val="11"/>
        <color theme="1"/>
        <rFont val="Calibri"/>
        <family val="2"/>
        <scheme val="minor"/>
      </rPr>
      <t>Alternative Hypothesis</t>
    </r>
    <r>
      <rPr>
        <sz val="11"/>
        <color theme="1"/>
        <rFont val="Calibri"/>
        <family val="2"/>
        <scheme val="minor"/>
      </rPr>
      <t>: Mean value variable Literature (X) != Mean value variable English (Y)</t>
    </r>
  </si>
  <si>
    <t>Z = X - Y</t>
  </si>
  <si>
    <t>sig</t>
  </si>
  <si>
    <t>Critical Value for T(5%, N - 1)</t>
  </si>
  <si>
    <t>t &gt; Critical Value =&gt; Reject the hypothesis</t>
  </si>
  <si>
    <t>4.67284E &lt; 0.05 =&gt; Reject the hypothesis</t>
  </si>
  <si>
    <t xml:space="preserve">Lower Bound </t>
  </si>
  <si>
    <t>(1.45, 2.21)</t>
  </si>
  <si>
    <t xml:space="preserve">Upper Bound </t>
  </si>
  <si>
    <t xml:space="preserve">Confidence Interval </t>
  </si>
  <si>
    <t>The interval doesn't contain 0 =&gt; Reject the hypothesis</t>
  </si>
  <si>
    <t>Observed frequency</t>
  </si>
  <si>
    <t>Row total</t>
  </si>
  <si>
    <t>Column total</t>
  </si>
  <si>
    <t>Prediction frequency</t>
  </si>
  <si>
    <t>Chi_sq</t>
  </si>
  <si>
    <t>Chi_sq_test_stat</t>
  </si>
  <si>
    <t>Cr(Chi(5%,k-1))</t>
  </si>
  <si>
    <t>Test &lt; cr</t>
  </si>
  <si>
    <t xml:space="preserve">&gt; </t>
  </si>
  <si>
    <r>
      <rPr>
        <b/>
        <sz val="11"/>
        <color theme="1"/>
        <rFont val="Calibri"/>
        <family val="2"/>
        <scheme val="minor"/>
      </rPr>
      <t>Hypothesis</t>
    </r>
    <r>
      <rPr>
        <sz val="11"/>
        <color theme="1"/>
        <rFont val="Calibri"/>
        <family val="2"/>
        <scheme val="minor"/>
      </rPr>
      <t>: Proportions of students with good high school graduation classification of 3 classes are equal</t>
    </r>
  </si>
  <si>
    <r>
      <rPr>
        <b/>
        <sz val="11"/>
        <color theme="1"/>
        <rFont val="Calibri"/>
        <family val="2"/>
        <scheme val="minor"/>
      </rPr>
      <t>Alternative Hypothesis</t>
    </r>
    <r>
      <rPr>
        <sz val="11"/>
        <color theme="1"/>
        <rFont val="Calibri"/>
        <family val="2"/>
        <scheme val="minor"/>
      </rPr>
      <t>: Proportions of students with good high school graduation classification of 3 classes are not equal</t>
    </r>
  </si>
  <si>
    <t>Class 1</t>
  </si>
  <si>
    <t>Class 2</t>
  </si>
  <si>
    <t>Class 3</t>
  </si>
  <si>
    <t>Good HS (=2)</t>
  </si>
  <si>
    <t>Not good HS (!=2)</t>
  </si>
  <si>
    <t>Total Sample</t>
  </si>
  <si>
    <t>alpha_i</t>
  </si>
  <si>
    <t>alpha_i^2</t>
  </si>
  <si>
    <t>BSS</t>
  </si>
  <si>
    <t>RSS</t>
  </si>
  <si>
    <t>F_test</t>
  </si>
  <si>
    <t>CR(F(5%,k-1,n-k))</t>
  </si>
  <si>
    <t>F_test &lt; Cr</t>
  </si>
  <si>
    <t>X_ij-mean_i</t>
  </si>
  <si>
    <t>(X_ij-mean_i)^2</t>
  </si>
  <si>
    <r>
      <rPr>
        <b/>
        <sz val="11"/>
        <color theme="1"/>
        <rFont val="Calibri"/>
        <family val="2"/>
        <scheme val="minor"/>
      </rPr>
      <t>Hypothesis</t>
    </r>
    <r>
      <rPr>
        <sz val="11"/>
        <color theme="1"/>
        <rFont val="Calibri"/>
        <family val="2"/>
        <scheme val="minor"/>
      </rPr>
      <t>: Avarage scores of 3 Training Programs are equal</t>
    </r>
  </si>
  <si>
    <r>
      <rPr>
        <b/>
        <sz val="11"/>
        <color theme="1"/>
        <rFont val="Calibri"/>
        <family val="2"/>
        <scheme val="minor"/>
      </rPr>
      <t>Alternative Hypothesis</t>
    </r>
    <r>
      <rPr>
        <sz val="11"/>
        <color theme="1"/>
        <rFont val="Calibri"/>
        <family val="2"/>
        <scheme val="minor"/>
      </rPr>
      <t>: Avarage scores of 3 Training Programs are not equal</t>
    </r>
  </si>
  <si>
    <t>Sampel mean</t>
  </si>
  <si>
    <t>Total sample size</t>
  </si>
  <si>
    <t>Semeter1 (X)</t>
  </si>
  <si>
    <t>Semeter5 (Y)</t>
  </si>
  <si>
    <t>a) Regression model</t>
  </si>
  <si>
    <t>a^</t>
  </si>
  <si>
    <t>b^</t>
  </si>
  <si>
    <t>b) Meaning of coef</t>
  </si>
  <si>
    <t>c) Evaluate the quality of regression model</t>
  </si>
  <si>
    <t>R</t>
  </si>
  <si>
    <t>positive correlation (all increasing)</t>
  </si>
  <si>
    <t>R^2</t>
  </si>
  <si>
    <t>Sample size N</t>
  </si>
  <si>
    <t>a^ = 0.454 means that variable Semeter5 increases 0.454 when Semeter1 increases 1 unit</t>
  </si>
  <si>
    <t>b^ = 4.18 means that variable Semeter5 equals to 4.182 when variable Semeter1 equals to 0</t>
  </si>
  <si>
    <t>Y = 0.454*X + 4.182</t>
  </si>
  <si>
    <t>indicates that the variable Y is dependent by variable X with the the variability is about 11.44%</t>
  </si>
  <si>
    <t>R^2 = 11.44% &lt; 30%: bad model</t>
  </si>
  <si>
    <t>var(e^)</t>
  </si>
  <si>
    <t>Y^</t>
  </si>
  <si>
    <t>Y-Y^</t>
  </si>
  <si>
    <t>(Y-Y^)^2</t>
  </si>
  <si>
    <t>X-Mean(X)</t>
  </si>
  <si>
    <t>(X-mean(X))^2</t>
  </si>
  <si>
    <t>var(a^)</t>
  </si>
  <si>
    <t>Mean(X)</t>
  </si>
  <si>
    <t>se(a^)</t>
  </si>
  <si>
    <t>Critical value T(5%, N-2)</t>
  </si>
  <si>
    <t>|t| &lt; |cr| =&gt; Fail to reject the hypothesis</t>
  </si>
  <si>
    <t>Conclusion: a^ = 0</t>
  </si>
  <si>
    <t>Size CKD</t>
  </si>
  <si>
    <t>Size CKS</t>
  </si>
  <si>
    <t>Size CKT</t>
  </si>
  <si>
    <t>Fail to reject the hypothesis</t>
  </si>
  <si>
    <r>
      <t xml:space="preserve">d) </t>
    </r>
    <r>
      <rPr>
        <b/>
        <sz val="11"/>
        <color theme="1"/>
        <rFont val="Calibri"/>
        <family val="2"/>
        <scheme val="minor"/>
      </rPr>
      <t>Hypothesis</t>
    </r>
    <r>
      <rPr>
        <sz val="11"/>
        <color theme="1"/>
        <rFont val="Calibri"/>
        <family val="2"/>
        <scheme val="minor"/>
      </rPr>
      <t>: a^ = 0</t>
    </r>
  </si>
  <si>
    <r>
      <rPr>
        <b/>
        <sz val="11"/>
        <color theme="1"/>
        <rFont val="Calibri"/>
        <family val="2"/>
        <scheme val="minor"/>
      </rPr>
      <t>Alternative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hypothesis</t>
    </r>
    <r>
      <rPr>
        <sz val="11"/>
        <color theme="1"/>
        <rFont val="Calibri"/>
        <family val="2"/>
        <scheme val="minor"/>
      </rPr>
      <t>: a^ !=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</si>
</sst>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0000000000"/>
    <numFmt numFmtId="166" formatCode="0.000000000000000"/>
    <numFmt numFmtId="167" formatCode="0.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K1" sqref="K1:L2"/>
    </sheetView>
  </sheetViews>
  <sheetFormatPr defaultRowHeight="14.4" x14ac:dyDescent="0.3"/>
  <cols>
    <col min="6" max="6" width="13.6640625" customWidth="1"/>
    <col min="9" max="9" width="12.21875" customWidth="1"/>
  </cols>
  <sheetData>
    <row r="1" spans="1:12" x14ac:dyDescent="0.3">
      <c r="A1" s="4" t="s">
        <v>12</v>
      </c>
      <c r="B1" s="4" t="s">
        <v>5</v>
      </c>
      <c r="C1" s="4" t="s">
        <v>6</v>
      </c>
      <c r="D1" s="4" t="s">
        <v>8</v>
      </c>
      <c r="E1" s="4" t="s">
        <v>7</v>
      </c>
      <c r="F1" s="4" t="s">
        <v>13</v>
      </c>
      <c r="G1" s="4" t="s">
        <v>9</v>
      </c>
      <c r="H1" s="4" t="s">
        <v>10</v>
      </c>
      <c r="I1" s="4" t="s">
        <v>11</v>
      </c>
      <c r="K1" s="10"/>
      <c r="L1" s="10"/>
    </row>
    <row r="2" spans="1:12" x14ac:dyDescent="0.3">
      <c r="A2" t="s">
        <v>1</v>
      </c>
      <c r="B2" s="3">
        <v>3</v>
      </c>
      <c r="C2" t="s">
        <v>0</v>
      </c>
      <c r="D2" s="1">
        <v>5</v>
      </c>
      <c r="E2" s="1">
        <v>6.5</v>
      </c>
      <c r="F2" s="3">
        <v>2</v>
      </c>
      <c r="G2" s="2">
        <v>6.25</v>
      </c>
      <c r="H2" s="2">
        <v>6.5555555555555554</v>
      </c>
      <c r="I2" s="2">
        <v>6.471830985915493</v>
      </c>
      <c r="K2" s="10"/>
      <c r="L2" s="10"/>
    </row>
    <row r="3" spans="1:12" x14ac:dyDescent="0.3">
      <c r="A3" t="s">
        <v>1</v>
      </c>
      <c r="B3" s="3">
        <v>1</v>
      </c>
      <c r="C3" t="s">
        <v>0</v>
      </c>
      <c r="D3" s="1">
        <v>5</v>
      </c>
      <c r="E3" s="1">
        <v>6</v>
      </c>
      <c r="F3" s="3">
        <v>2</v>
      </c>
      <c r="G3" s="2">
        <v>5.1875</v>
      </c>
      <c r="H3" s="2">
        <v>7.2962962962962967</v>
      </c>
      <c r="I3" s="2">
        <v>6.795774647887324</v>
      </c>
    </row>
    <row r="4" spans="1:12" x14ac:dyDescent="0.3">
      <c r="A4" t="s">
        <v>1</v>
      </c>
      <c r="B4" s="3">
        <v>1</v>
      </c>
      <c r="C4" t="s">
        <v>0</v>
      </c>
      <c r="D4" s="1">
        <v>9</v>
      </c>
      <c r="E4" s="1">
        <v>5</v>
      </c>
      <c r="F4" s="3">
        <v>2</v>
      </c>
      <c r="G4" s="2">
        <v>6</v>
      </c>
      <c r="H4" s="2">
        <v>6.666666666666667</v>
      </c>
      <c r="I4" s="2">
        <v>6.232394366197183</v>
      </c>
    </row>
    <row r="5" spans="1:12" x14ac:dyDescent="0.3">
      <c r="A5" t="s">
        <v>1</v>
      </c>
      <c r="B5" s="3">
        <v>1</v>
      </c>
      <c r="C5" t="s">
        <v>0</v>
      </c>
      <c r="D5" s="1">
        <v>6.5</v>
      </c>
      <c r="E5" s="1">
        <v>5.5</v>
      </c>
      <c r="F5" s="3">
        <v>2</v>
      </c>
      <c r="G5" s="2">
        <v>6.1875</v>
      </c>
      <c r="H5" s="2">
        <v>8.0370370370370363</v>
      </c>
      <c r="I5" s="2">
        <v>7.232394366197183</v>
      </c>
    </row>
    <row r="6" spans="1:12" x14ac:dyDescent="0.3">
      <c r="A6" t="s">
        <v>1</v>
      </c>
      <c r="B6" s="3">
        <v>2</v>
      </c>
      <c r="C6" t="s">
        <v>3</v>
      </c>
      <c r="D6" s="1">
        <v>6</v>
      </c>
      <c r="E6" s="1">
        <v>5</v>
      </c>
      <c r="F6" s="3">
        <v>2</v>
      </c>
      <c r="G6" s="2">
        <v>5.375</v>
      </c>
      <c r="H6" s="2">
        <v>7.2962962962962967</v>
      </c>
      <c r="I6" s="2">
        <v>6.845070422535211</v>
      </c>
    </row>
    <row r="7" spans="1:12" x14ac:dyDescent="0.3">
      <c r="A7" t="s">
        <v>1</v>
      </c>
      <c r="B7" s="3">
        <v>3</v>
      </c>
      <c r="C7" t="s">
        <v>3</v>
      </c>
      <c r="D7" s="1">
        <v>7</v>
      </c>
      <c r="E7" s="1">
        <v>7</v>
      </c>
      <c r="F7" s="3">
        <v>2</v>
      </c>
      <c r="G7" s="2">
        <v>6.375</v>
      </c>
      <c r="H7" s="2">
        <v>6.4814814814814818</v>
      </c>
      <c r="I7" s="2">
        <v>6.28169014084507</v>
      </c>
    </row>
    <row r="8" spans="1:12" x14ac:dyDescent="0.3">
      <c r="A8" t="s">
        <v>1</v>
      </c>
      <c r="B8" s="3">
        <v>1</v>
      </c>
      <c r="C8" t="s">
        <v>0</v>
      </c>
      <c r="D8" s="1">
        <v>8.5</v>
      </c>
      <c r="E8" s="1">
        <v>5</v>
      </c>
      <c r="F8" s="3">
        <v>2</v>
      </c>
      <c r="G8" s="2">
        <v>6.375</v>
      </c>
      <c r="H8" s="2">
        <v>7.8148148148148149</v>
      </c>
      <c r="I8" s="2">
        <v>7.563380281690141</v>
      </c>
    </row>
    <row r="9" spans="1:12" x14ac:dyDescent="0.3">
      <c r="A9" t="s">
        <v>1</v>
      </c>
      <c r="B9" s="3">
        <v>2</v>
      </c>
      <c r="C9" t="s">
        <v>3</v>
      </c>
      <c r="D9" s="1">
        <v>8</v>
      </c>
      <c r="E9" s="1">
        <v>5.5</v>
      </c>
      <c r="F9" s="3">
        <v>2</v>
      </c>
      <c r="G9" s="2">
        <v>5.9375</v>
      </c>
      <c r="H9" s="2">
        <v>6.5185185185185182</v>
      </c>
      <c r="I9" s="2">
        <v>6.415492957746479</v>
      </c>
    </row>
    <row r="10" spans="1:12" x14ac:dyDescent="0.3">
      <c r="A10" t="s">
        <v>1</v>
      </c>
      <c r="B10" s="3">
        <v>2</v>
      </c>
      <c r="C10" t="s">
        <v>0</v>
      </c>
      <c r="D10" s="1">
        <v>7</v>
      </c>
      <c r="E10" s="1">
        <v>6.5</v>
      </c>
      <c r="F10" s="3">
        <v>2</v>
      </c>
      <c r="G10" s="2">
        <v>5.75</v>
      </c>
      <c r="H10" s="2">
        <v>5.7777777777777777</v>
      </c>
      <c r="I10" s="2">
        <v>5.929577464788732</v>
      </c>
    </row>
    <row r="11" spans="1:12" x14ac:dyDescent="0.3">
      <c r="A11" t="s">
        <v>1</v>
      </c>
      <c r="B11" s="3">
        <v>2</v>
      </c>
      <c r="C11" t="s">
        <v>0</v>
      </c>
      <c r="D11" s="1">
        <v>7.5</v>
      </c>
      <c r="E11" s="1">
        <v>6</v>
      </c>
      <c r="F11" s="3">
        <v>2</v>
      </c>
      <c r="G11" s="2">
        <v>6.75</v>
      </c>
      <c r="H11" s="2">
        <v>7.0740740740740744</v>
      </c>
      <c r="I11" s="2">
        <v>6.887323943661972</v>
      </c>
    </row>
    <row r="12" spans="1:12" x14ac:dyDescent="0.3">
      <c r="A12" t="s">
        <v>1</v>
      </c>
      <c r="B12" s="3">
        <v>1</v>
      </c>
      <c r="C12" t="s">
        <v>3</v>
      </c>
      <c r="D12" s="1">
        <v>8</v>
      </c>
      <c r="E12" s="1">
        <v>5</v>
      </c>
      <c r="F12" s="3">
        <v>2</v>
      </c>
      <c r="G12" s="2">
        <v>6.125</v>
      </c>
      <c r="H12" s="2">
        <v>7.2962962962962967</v>
      </c>
      <c r="I12" s="2">
        <v>6.816901408450704</v>
      </c>
    </row>
    <row r="13" spans="1:12" x14ac:dyDescent="0.3">
      <c r="A13" t="s">
        <v>1</v>
      </c>
      <c r="B13" s="3">
        <v>1</v>
      </c>
      <c r="C13" t="s">
        <v>0</v>
      </c>
      <c r="D13" s="1">
        <v>6.5</v>
      </c>
      <c r="E13" s="1">
        <v>8</v>
      </c>
      <c r="F13" s="3">
        <v>2</v>
      </c>
      <c r="G13" s="2">
        <v>6.0625</v>
      </c>
      <c r="H13" s="2">
        <v>7.2962962962962967</v>
      </c>
      <c r="I13" s="2">
        <v>7.183098591549296</v>
      </c>
    </row>
    <row r="14" spans="1:12" x14ac:dyDescent="0.3">
      <c r="A14" t="s">
        <v>1</v>
      </c>
      <c r="B14" s="3">
        <v>1</v>
      </c>
      <c r="C14" t="s">
        <v>0</v>
      </c>
      <c r="D14" s="1">
        <v>8.5</v>
      </c>
      <c r="E14" s="1">
        <v>6</v>
      </c>
      <c r="F14" s="3">
        <v>2</v>
      </c>
      <c r="G14" s="2">
        <v>5.6875</v>
      </c>
      <c r="H14" s="2">
        <v>5.6296296296296298</v>
      </c>
      <c r="I14" s="2">
        <v>5.971830985915493</v>
      </c>
    </row>
    <row r="15" spans="1:12" x14ac:dyDescent="0.3">
      <c r="A15" t="s">
        <v>1</v>
      </c>
      <c r="B15" s="3">
        <v>2</v>
      </c>
      <c r="C15" t="s">
        <v>0</v>
      </c>
      <c r="D15" s="1">
        <v>7</v>
      </c>
      <c r="E15" s="1">
        <v>5</v>
      </c>
      <c r="F15" s="3">
        <v>2</v>
      </c>
      <c r="G15" s="2">
        <v>6.375</v>
      </c>
      <c r="H15" s="2">
        <v>6.5185185185185182</v>
      </c>
      <c r="I15" s="2">
        <v>6.316901408450704</v>
      </c>
    </row>
    <row r="16" spans="1:12" x14ac:dyDescent="0.3">
      <c r="A16" t="s">
        <v>1</v>
      </c>
      <c r="B16" s="3">
        <v>2</v>
      </c>
      <c r="C16" t="s">
        <v>0</v>
      </c>
      <c r="D16" s="1">
        <v>9</v>
      </c>
      <c r="E16" s="1">
        <v>5.5</v>
      </c>
      <c r="F16" s="3">
        <v>3</v>
      </c>
      <c r="G16" s="2">
        <v>5.4375</v>
      </c>
      <c r="H16" s="2">
        <v>6.7777777777777777</v>
      </c>
      <c r="I16" s="2">
        <v>6.26056338028169</v>
      </c>
    </row>
    <row r="17" spans="1:9" x14ac:dyDescent="0.3">
      <c r="A17" t="s">
        <v>1</v>
      </c>
      <c r="B17" s="3">
        <v>2</v>
      </c>
      <c r="C17" t="s">
        <v>0</v>
      </c>
      <c r="D17" s="1">
        <v>6.5</v>
      </c>
      <c r="E17" s="1">
        <v>5</v>
      </c>
      <c r="F17" s="3">
        <v>3</v>
      </c>
      <c r="G17" s="2">
        <v>6.375</v>
      </c>
      <c r="H17" s="2">
        <v>6.2222222222222223</v>
      </c>
      <c r="I17" s="2">
        <v>6.091549295774648</v>
      </c>
    </row>
    <row r="18" spans="1:9" x14ac:dyDescent="0.3">
      <c r="A18" t="s">
        <v>1</v>
      </c>
      <c r="B18" s="3">
        <v>3</v>
      </c>
      <c r="C18" t="s">
        <v>0</v>
      </c>
      <c r="D18" s="1">
        <v>8</v>
      </c>
      <c r="E18" s="1">
        <v>4</v>
      </c>
      <c r="F18" s="3">
        <v>3</v>
      </c>
      <c r="G18" s="2">
        <v>5.625</v>
      </c>
      <c r="H18" s="2">
        <v>8.1111111111111107</v>
      </c>
      <c r="I18" s="2">
        <v>7.330985915492958</v>
      </c>
    </row>
    <row r="19" spans="1:9" x14ac:dyDescent="0.3">
      <c r="A19" t="s">
        <v>1</v>
      </c>
      <c r="B19" s="3">
        <v>3</v>
      </c>
      <c r="C19" t="s">
        <v>3</v>
      </c>
      <c r="D19" s="1">
        <v>7</v>
      </c>
      <c r="E19" s="1">
        <v>5</v>
      </c>
      <c r="F19" s="3">
        <v>3</v>
      </c>
      <c r="G19" s="2">
        <v>6</v>
      </c>
      <c r="H19" s="2">
        <v>7.2592592592592595</v>
      </c>
      <c r="I19" s="2">
        <v>6.612676056338028</v>
      </c>
    </row>
    <row r="20" spans="1:9" x14ac:dyDescent="0.3">
      <c r="A20" t="s">
        <v>1</v>
      </c>
      <c r="B20" s="3">
        <v>2</v>
      </c>
      <c r="C20" t="s">
        <v>0</v>
      </c>
      <c r="D20" s="1">
        <v>8.5</v>
      </c>
      <c r="E20" s="1">
        <v>6</v>
      </c>
      <c r="F20" s="3">
        <v>3</v>
      </c>
      <c r="G20" s="2">
        <v>5.25</v>
      </c>
      <c r="H20" s="2">
        <v>6.1851851851851851</v>
      </c>
      <c r="I20" s="2">
        <v>5.8661971830985919</v>
      </c>
    </row>
    <row r="21" spans="1:9" x14ac:dyDescent="0.3">
      <c r="A21" t="s">
        <v>1</v>
      </c>
      <c r="B21" s="3">
        <v>2</v>
      </c>
      <c r="C21" t="s">
        <v>0</v>
      </c>
      <c r="D21" s="1">
        <v>8.5</v>
      </c>
      <c r="E21" s="1">
        <v>4</v>
      </c>
      <c r="F21" s="3">
        <v>3</v>
      </c>
      <c r="G21" s="2">
        <v>5.1875</v>
      </c>
      <c r="H21" s="2">
        <v>6.1111111111111107</v>
      </c>
      <c r="I21" s="2">
        <v>5.654929577464789</v>
      </c>
    </row>
    <row r="22" spans="1:9" x14ac:dyDescent="0.3">
      <c r="A22" t="s">
        <v>1</v>
      </c>
      <c r="B22" s="3">
        <v>2</v>
      </c>
      <c r="C22" t="s">
        <v>0</v>
      </c>
      <c r="D22" s="1">
        <v>7</v>
      </c>
      <c r="E22" s="1">
        <v>5.5</v>
      </c>
      <c r="F22" s="3">
        <v>3</v>
      </c>
      <c r="G22" s="2">
        <v>5.3125</v>
      </c>
      <c r="H22" s="2">
        <v>6.1111111111111107</v>
      </c>
      <c r="I22" s="2">
        <v>5.996478873239437</v>
      </c>
    </row>
    <row r="23" spans="1:9" x14ac:dyDescent="0.3">
      <c r="A23" t="s">
        <v>1</v>
      </c>
      <c r="B23" s="3">
        <v>1</v>
      </c>
      <c r="C23" t="s">
        <v>3</v>
      </c>
      <c r="D23" s="1">
        <v>9</v>
      </c>
      <c r="E23" s="1">
        <v>6.5</v>
      </c>
      <c r="F23" s="3">
        <v>3</v>
      </c>
      <c r="G23" s="2">
        <v>6.1875</v>
      </c>
      <c r="H23" s="2">
        <v>7.2222222222222223</v>
      </c>
      <c r="I23" s="2">
        <v>6.577464788732394</v>
      </c>
    </row>
    <row r="24" spans="1:9" x14ac:dyDescent="0.3">
      <c r="A24" t="s">
        <v>1</v>
      </c>
      <c r="B24" s="3">
        <v>1</v>
      </c>
      <c r="C24" t="s">
        <v>0</v>
      </c>
      <c r="D24" s="1">
        <v>5</v>
      </c>
      <c r="E24" s="1">
        <v>3</v>
      </c>
      <c r="F24" s="3">
        <v>3</v>
      </c>
      <c r="G24" s="2">
        <v>5.75</v>
      </c>
      <c r="H24" s="2">
        <v>7.8148148148148149</v>
      </c>
      <c r="I24" s="2">
        <v>7.105633802816901</v>
      </c>
    </row>
    <row r="25" spans="1:9" x14ac:dyDescent="0.3">
      <c r="A25" t="s">
        <v>1</v>
      </c>
      <c r="B25" s="3">
        <v>2</v>
      </c>
      <c r="C25" t="s">
        <v>3</v>
      </c>
      <c r="D25" s="1">
        <v>5</v>
      </c>
      <c r="E25" s="1">
        <v>6</v>
      </c>
      <c r="F25" s="3">
        <v>3</v>
      </c>
      <c r="G25" s="2">
        <v>5.5</v>
      </c>
      <c r="H25" s="2">
        <v>6.8888888888888893</v>
      </c>
      <c r="I25" s="2">
        <v>6.401408450704225</v>
      </c>
    </row>
    <row r="26" spans="1:9" x14ac:dyDescent="0.3">
      <c r="A26" t="s">
        <v>1</v>
      </c>
      <c r="B26" s="3">
        <v>2</v>
      </c>
      <c r="C26" t="s">
        <v>3</v>
      </c>
      <c r="D26" s="1">
        <v>6</v>
      </c>
      <c r="E26" s="1">
        <v>6.5</v>
      </c>
      <c r="F26" s="3">
        <v>3</v>
      </c>
      <c r="G26" s="2">
        <v>5.25</v>
      </c>
      <c r="H26" s="2">
        <v>6.5555555555555554</v>
      </c>
      <c r="I26" s="2">
        <v>6.380281690140845</v>
      </c>
    </row>
    <row r="27" spans="1:9" x14ac:dyDescent="0.3">
      <c r="A27" t="s">
        <v>1</v>
      </c>
      <c r="B27" s="3">
        <v>2</v>
      </c>
      <c r="C27" t="s">
        <v>0</v>
      </c>
      <c r="D27" s="1">
        <v>9</v>
      </c>
      <c r="E27" s="1">
        <v>4</v>
      </c>
      <c r="F27" s="3">
        <v>3</v>
      </c>
      <c r="G27" s="2">
        <v>5.25</v>
      </c>
      <c r="H27" s="2">
        <v>6.2592592592592595</v>
      </c>
      <c r="I27" s="2">
        <v>5.992957746478873</v>
      </c>
    </row>
    <row r="28" spans="1:9" x14ac:dyDescent="0.3">
      <c r="A28" t="s">
        <v>1</v>
      </c>
      <c r="B28" s="3">
        <v>3</v>
      </c>
      <c r="C28" t="s">
        <v>0</v>
      </c>
      <c r="D28" s="1">
        <v>9</v>
      </c>
      <c r="E28" s="1">
        <v>3</v>
      </c>
      <c r="F28" s="3">
        <v>3</v>
      </c>
      <c r="G28" s="2">
        <v>5.5</v>
      </c>
      <c r="H28" s="2">
        <v>6.8888888888888893</v>
      </c>
      <c r="I28" s="2">
        <v>6.415492957746479</v>
      </c>
    </row>
    <row r="29" spans="1:9" x14ac:dyDescent="0.3">
      <c r="A29" t="s">
        <v>1</v>
      </c>
      <c r="B29" s="3">
        <v>2</v>
      </c>
      <c r="C29" t="s">
        <v>0</v>
      </c>
      <c r="D29" s="1">
        <v>7</v>
      </c>
      <c r="E29" s="1">
        <v>5.5</v>
      </c>
      <c r="F29" s="3">
        <v>3</v>
      </c>
      <c r="G29" s="2">
        <v>5.25</v>
      </c>
      <c r="H29" s="2">
        <v>6.8888888888888893</v>
      </c>
      <c r="I29" s="2">
        <v>6.242957746478873</v>
      </c>
    </row>
    <row r="30" spans="1:9" x14ac:dyDescent="0.3">
      <c r="A30" t="s">
        <v>1</v>
      </c>
      <c r="B30" s="3">
        <v>2</v>
      </c>
      <c r="C30" t="s">
        <v>0</v>
      </c>
      <c r="D30" s="1">
        <v>8</v>
      </c>
      <c r="E30" s="1">
        <v>5</v>
      </c>
      <c r="F30" s="3">
        <v>3</v>
      </c>
      <c r="G30" s="2">
        <v>5.25</v>
      </c>
      <c r="H30" s="2">
        <v>6.2962962962962967</v>
      </c>
      <c r="I30" s="2">
        <v>6.105633802816901</v>
      </c>
    </row>
    <row r="31" spans="1:9" x14ac:dyDescent="0.3">
      <c r="A31" t="s">
        <v>1</v>
      </c>
      <c r="B31" s="3">
        <v>2</v>
      </c>
      <c r="C31" t="s">
        <v>0</v>
      </c>
      <c r="D31" s="1">
        <v>9</v>
      </c>
      <c r="E31" s="1">
        <v>4.5</v>
      </c>
      <c r="F31" s="3">
        <v>3</v>
      </c>
      <c r="G31" s="2">
        <v>5.625</v>
      </c>
      <c r="H31" s="2">
        <v>7.4074074074074074</v>
      </c>
      <c r="I31" s="2">
        <v>6.795774647887324</v>
      </c>
    </row>
    <row r="32" spans="1:9" x14ac:dyDescent="0.3">
      <c r="A32" t="s">
        <v>4</v>
      </c>
      <c r="B32" s="3">
        <v>1</v>
      </c>
      <c r="C32" t="s">
        <v>0</v>
      </c>
      <c r="D32" s="1">
        <v>9</v>
      </c>
      <c r="E32" s="1">
        <v>7</v>
      </c>
      <c r="F32" s="3">
        <v>2</v>
      </c>
      <c r="G32" s="2">
        <v>6.5</v>
      </c>
      <c r="H32" s="2">
        <v>7.709090909090909</v>
      </c>
      <c r="I32" s="2">
        <v>7.0299003322259139</v>
      </c>
    </row>
    <row r="33" spans="1:9" x14ac:dyDescent="0.3">
      <c r="A33" t="s">
        <v>4</v>
      </c>
      <c r="B33" s="3">
        <v>1</v>
      </c>
      <c r="C33" t="s">
        <v>0</v>
      </c>
      <c r="D33" s="1">
        <v>8</v>
      </c>
      <c r="E33" s="1">
        <v>7</v>
      </c>
      <c r="F33" s="3">
        <v>2</v>
      </c>
      <c r="G33" s="2">
        <v>5.5625</v>
      </c>
      <c r="H33" s="2">
        <v>6.5652173913043477</v>
      </c>
      <c r="I33" s="2">
        <v>6.177083333333333</v>
      </c>
    </row>
    <row r="34" spans="1:9" x14ac:dyDescent="0.3">
      <c r="A34" t="s">
        <v>4</v>
      </c>
      <c r="B34" s="3">
        <v>1</v>
      </c>
      <c r="C34" t="s">
        <v>0</v>
      </c>
      <c r="D34" s="1">
        <v>8.5</v>
      </c>
      <c r="E34" s="1">
        <v>5</v>
      </c>
      <c r="F34" s="3">
        <v>2</v>
      </c>
      <c r="G34" s="2">
        <v>5.5</v>
      </c>
      <c r="H34" s="2">
        <v>7.8545454545454545</v>
      </c>
      <c r="I34" s="2">
        <v>6.4584717607973419</v>
      </c>
    </row>
    <row r="35" spans="1:9" x14ac:dyDescent="0.3">
      <c r="A35" t="s">
        <v>4</v>
      </c>
      <c r="B35" s="3">
        <v>2</v>
      </c>
      <c r="C35" t="s">
        <v>0</v>
      </c>
      <c r="D35" s="1">
        <v>7.5</v>
      </c>
      <c r="E35" s="1">
        <v>5.5</v>
      </c>
      <c r="F35" s="3">
        <v>2</v>
      </c>
      <c r="G35" s="2">
        <v>5.5</v>
      </c>
      <c r="H35" s="2">
        <v>6.3818181818181818</v>
      </c>
      <c r="I35" s="2">
        <v>6.1063122923588038</v>
      </c>
    </row>
    <row r="36" spans="1:9" x14ac:dyDescent="0.3">
      <c r="A36" t="s">
        <v>4</v>
      </c>
      <c r="B36" s="3">
        <v>3</v>
      </c>
      <c r="C36" t="s">
        <v>0</v>
      </c>
      <c r="D36" s="1">
        <v>8</v>
      </c>
      <c r="E36" s="1">
        <v>8</v>
      </c>
      <c r="F36" s="3">
        <v>2</v>
      </c>
      <c r="G36" s="2">
        <v>5.5</v>
      </c>
      <c r="H36" s="2">
        <v>6.9636363636363638</v>
      </c>
      <c r="I36" s="2">
        <v>6.2651162790697672</v>
      </c>
    </row>
    <row r="37" spans="1:9" x14ac:dyDescent="0.3">
      <c r="A37" t="s">
        <v>4</v>
      </c>
      <c r="B37" s="3">
        <v>1</v>
      </c>
      <c r="C37" t="s">
        <v>0</v>
      </c>
      <c r="D37" s="1">
        <v>8</v>
      </c>
      <c r="E37" s="1">
        <v>5</v>
      </c>
      <c r="F37" s="3">
        <v>2</v>
      </c>
      <c r="G37" s="2">
        <v>5.4375</v>
      </c>
      <c r="H37" s="2">
        <v>5.8181818181818183</v>
      </c>
      <c r="I37" s="2">
        <v>6.4726027397260273</v>
      </c>
    </row>
    <row r="38" spans="1:9" x14ac:dyDescent="0.3">
      <c r="A38" t="s">
        <v>4</v>
      </c>
      <c r="B38" s="3">
        <v>2</v>
      </c>
      <c r="C38" t="s">
        <v>0</v>
      </c>
      <c r="D38" s="1">
        <v>8</v>
      </c>
      <c r="E38" s="1">
        <v>5</v>
      </c>
      <c r="F38" s="3">
        <v>2</v>
      </c>
      <c r="G38" s="2">
        <v>6.25</v>
      </c>
      <c r="H38" s="2">
        <v>6.6909090909090905</v>
      </c>
      <c r="I38" s="2">
        <v>6.3122923588039868</v>
      </c>
    </row>
    <row r="39" spans="1:9" x14ac:dyDescent="0.3">
      <c r="A39" t="s">
        <v>4</v>
      </c>
      <c r="B39" s="3">
        <v>2</v>
      </c>
      <c r="C39" t="s">
        <v>0</v>
      </c>
      <c r="D39" s="1">
        <v>8.5</v>
      </c>
      <c r="E39" s="1">
        <v>5</v>
      </c>
      <c r="F39" s="3">
        <v>2</v>
      </c>
      <c r="G39" s="2">
        <v>5.9375</v>
      </c>
      <c r="H39" s="2">
        <v>6.6545454545454543</v>
      </c>
      <c r="I39" s="2">
        <v>6.2591362126245844</v>
      </c>
    </row>
    <row r="40" spans="1:9" x14ac:dyDescent="0.3">
      <c r="A40" t="s">
        <v>4</v>
      </c>
      <c r="B40" s="3">
        <v>1</v>
      </c>
      <c r="C40" t="s">
        <v>0</v>
      </c>
      <c r="D40" s="1">
        <v>8.5</v>
      </c>
      <c r="E40" s="1">
        <v>5.5</v>
      </c>
      <c r="F40" s="3">
        <v>2</v>
      </c>
      <c r="G40" s="2">
        <v>6</v>
      </c>
      <c r="H40" s="2">
        <v>6.872727272727273</v>
      </c>
      <c r="I40" s="2">
        <v>6.4053156146179404</v>
      </c>
    </row>
    <row r="41" spans="1:9" x14ac:dyDescent="0.3">
      <c r="A41" t="s">
        <v>4</v>
      </c>
      <c r="B41" s="3">
        <v>1</v>
      </c>
      <c r="C41" t="s">
        <v>0</v>
      </c>
      <c r="D41" s="1">
        <v>7</v>
      </c>
      <c r="E41" s="1">
        <v>6</v>
      </c>
      <c r="F41" s="3">
        <v>2</v>
      </c>
      <c r="G41" s="2">
        <v>6.4375</v>
      </c>
      <c r="H41" s="2">
        <v>5.9818181818181815</v>
      </c>
      <c r="I41" s="2">
        <v>5.9634551495016614</v>
      </c>
    </row>
    <row r="42" spans="1:9" x14ac:dyDescent="0.3">
      <c r="A42" t="s">
        <v>4</v>
      </c>
      <c r="B42" s="3">
        <v>1</v>
      </c>
      <c r="C42" t="s">
        <v>0</v>
      </c>
      <c r="D42" s="1">
        <v>7</v>
      </c>
      <c r="E42" s="1">
        <v>7</v>
      </c>
      <c r="F42" s="3">
        <v>2</v>
      </c>
      <c r="G42" s="2">
        <v>5.6875</v>
      </c>
      <c r="H42" s="2">
        <v>7.1818181818181817</v>
      </c>
      <c r="I42" s="2">
        <v>6.514950166112957</v>
      </c>
    </row>
    <row r="43" spans="1:9" x14ac:dyDescent="0.3">
      <c r="A43" t="s">
        <v>4</v>
      </c>
      <c r="B43" s="3">
        <v>1</v>
      </c>
      <c r="C43" t="s">
        <v>0</v>
      </c>
      <c r="D43" s="1">
        <v>7</v>
      </c>
      <c r="E43" s="1">
        <v>8</v>
      </c>
      <c r="F43" s="3">
        <v>2</v>
      </c>
      <c r="G43" s="2">
        <v>5.5625</v>
      </c>
      <c r="H43" s="2">
        <v>6.125</v>
      </c>
      <c r="I43" s="2">
        <v>6.1172413793103448</v>
      </c>
    </row>
    <row r="44" spans="1:9" x14ac:dyDescent="0.3">
      <c r="A44" t="s">
        <v>4</v>
      </c>
      <c r="B44" s="3">
        <v>2</v>
      </c>
      <c r="C44" t="s">
        <v>3</v>
      </c>
      <c r="D44" s="1">
        <v>6.5</v>
      </c>
      <c r="E44" s="1">
        <v>8</v>
      </c>
      <c r="F44" s="3">
        <v>2</v>
      </c>
      <c r="G44" s="2">
        <v>5.3125</v>
      </c>
      <c r="H44" s="2">
        <v>6.5272727272727273</v>
      </c>
      <c r="I44" s="2">
        <v>6.1627906976744189</v>
      </c>
    </row>
    <row r="45" spans="1:9" x14ac:dyDescent="0.3">
      <c r="A45" t="s">
        <v>4</v>
      </c>
      <c r="B45" s="3">
        <v>2</v>
      </c>
      <c r="C45" t="s">
        <v>0</v>
      </c>
      <c r="D45" s="1">
        <v>7</v>
      </c>
      <c r="E45" s="1">
        <v>6</v>
      </c>
      <c r="F45" s="3">
        <v>2</v>
      </c>
      <c r="G45" s="2">
        <v>5.9375</v>
      </c>
      <c r="H45" s="2">
        <v>6.7818181818181822</v>
      </c>
      <c r="I45" s="2">
        <v>6.6279069767441863</v>
      </c>
    </row>
    <row r="46" spans="1:9" x14ac:dyDescent="0.3">
      <c r="A46" t="s">
        <v>4</v>
      </c>
      <c r="B46" s="3">
        <v>3</v>
      </c>
      <c r="C46" t="s">
        <v>0</v>
      </c>
      <c r="D46" s="1">
        <v>5.5</v>
      </c>
      <c r="E46" s="1">
        <v>4</v>
      </c>
      <c r="F46" s="3">
        <v>3</v>
      </c>
      <c r="G46" s="2">
        <v>5.25</v>
      </c>
      <c r="H46" s="2">
        <v>6.9090909090909092</v>
      </c>
      <c r="I46" s="2">
        <v>6.1129568106312293</v>
      </c>
    </row>
    <row r="47" spans="1:9" x14ac:dyDescent="0.3">
      <c r="A47" t="s">
        <v>4</v>
      </c>
      <c r="B47" s="3">
        <v>1</v>
      </c>
      <c r="C47" t="s">
        <v>3</v>
      </c>
      <c r="D47" s="1">
        <v>8</v>
      </c>
      <c r="E47" s="1">
        <v>7</v>
      </c>
      <c r="F47" s="3">
        <v>3</v>
      </c>
      <c r="G47" s="2">
        <v>6.25</v>
      </c>
      <c r="H47" s="2">
        <v>6.8</v>
      </c>
      <c r="I47" s="2">
        <v>6.4651162790697674</v>
      </c>
    </row>
    <row r="48" spans="1:9" x14ac:dyDescent="0.3">
      <c r="A48" t="s">
        <v>4</v>
      </c>
      <c r="B48" s="3">
        <v>1</v>
      </c>
      <c r="C48" t="s">
        <v>0</v>
      </c>
      <c r="D48" s="1">
        <v>8</v>
      </c>
      <c r="E48" s="1">
        <v>6</v>
      </c>
      <c r="F48" s="3">
        <v>3</v>
      </c>
      <c r="G48" s="2">
        <v>6.1875</v>
      </c>
      <c r="H48" s="2">
        <v>6.2545454545454549</v>
      </c>
      <c r="I48" s="2">
        <v>6.0332225913621267</v>
      </c>
    </row>
    <row r="49" spans="1:9" x14ac:dyDescent="0.3">
      <c r="A49" t="s">
        <v>4</v>
      </c>
      <c r="B49" s="3">
        <v>2</v>
      </c>
      <c r="C49" t="s">
        <v>0</v>
      </c>
      <c r="D49" s="1">
        <v>5</v>
      </c>
      <c r="E49" s="1">
        <v>5</v>
      </c>
      <c r="F49" s="3">
        <v>3</v>
      </c>
      <c r="G49" s="2">
        <v>5.1875</v>
      </c>
      <c r="H49" s="2">
        <v>6.3913043478260869</v>
      </c>
      <c r="I49" s="2">
        <v>5.96875</v>
      </c>
    </row>
    <row r="50" spans="1:9" x14ac:dyDescent="0.3">
      <c r="A50" t="s">
        <v>4</v>
      </c>
      <c r="B50" s="3">
        <v>2</v>
      </c>
      <c r="C50" t="s">
        <v>3</v>
      </c>
      <c r="D50" s="1">
        <v>7</v>
      </c>
      <c r="E50" s="1">
        <v>7</v>
      </c>
      <c r="F50" s="3">
        <v>3</v>
      </c>
      <c r="G50" s="2">
        <v>5.6875</v>
      </c>
      <c r="H50" s="2">
        <v>6.3818181818181818</v>
      </c>
      <c r="I50" s="2">
        <v>5.9966777408637872</v>
      </c>
    </row>
    <row r="51" spans="1:9" x14ac:dyDescent="0.3">
      <c r="A51" t="s">
        <v>4</v>
      </c>
      <c r="B51" s="3">
        <v>3</v>
      </c>
      <c r="C51" t="s">
        <v>0</v>
      </c>
      <c r="D51" s="1">
        <v>8.5</v>
      </c>
      <c r="E51" s="1">
        <v>5</v>
      </c>
      <c r="F51" s="3">
        <v>3</v>
      </c>
      <c r="G51" s="2">
        <v>6.1875</v>
      </c>
      <c r="H51" s="2">
        <v>6.7818181818181822</v>
      </c>
      <c r="I51" s="2">
        <v>6.6212624584717608</v>
      </c>
    </row>
    <row r="52" spans="1:9" x14ac:dyDescent="0.3">
      <c r="A52" t="s">
        <v>4</v>
      </c>
      <c r="B52" s="3">
        <v>1</v>
      </c>
      <c r="C52" t="s">
        <v>0</v>
      </c>
      <c r="D52" s="1">
        <v>5</v>
      </c>
      <c r="E52" s="1">
        <v>6</v>
      </c>
      <c r="F52" s="3">
        <v>3</v>
      </c>
      <c r="G52" s="2">
        <v>6.75</v>
      </c>
      <c r="H52" s="2">
        <v>6.8695652173913047</v>
      </c>
      <c r="I52" s="2">
        <v>6.7569444444444446</v>
      </c>
    </row>
    <row r="53" spans="1:9" x14ac:dyDescent="0.3">
      <c r="A53" t="s">
        <v>4</v>
      </c>
      <c r="B53" s="3">
        <v>2</v>
      </c>
      <c r="C53" t="s">
        <v>0</v>
      </c>
      <c r="D53" s="1">
        <v>6.5</v>
      </c>
      <c r="E53" s="1">
        <v>5</v>
      </c>
      <c r="F53" s="3">
        <v>3</v>
      </c>
      <c r="G53" s="2">
        <v>5.4375</v>
      </c>
      <c r="H53" s="2">
        <v>6.3478260869565215</v>
      </c>
      <c r="I53" s="2">
        <v>5.864583333333333</v>
      </c>
    </row>
    <row r="54" spans="1:9" x14ac:dyDescent="0.3">
      <c r="A54" t="s">
        <v>4</v>
      </c>
      <c r="B54" s="3">
        <v>1</v>
      </c>
      <c r="C54" t="s">
        <v>0</v>
      </c>
      <c r="D54" s="1">
        <v>7</v>
      </c>
      <c r="E54" s="1">
        <v>3</v>
      </c>
      <c r="F54" s="3">
        <v>3</v>
      </c>
      <c r="G54" s="2">
        <v>5.75</v>
      </c>
      <c r="H54" s="2">
        <v>5.7391304347826084</v>
      </c>
      <c r="I54" s="2">
        <v>5.8125</v>
      </c>
    </row>
    <row r="55" spans="1:9" x14ac:dyDescent="0.3">
      <c r="A55" t="s">
        <v>4</v>
      </c>
      <c r="B55" s="3">
        <v>1</v>
      </c>
      <c r="C55" t="s">
        <v>3</v>
      </c>
      <c r="D55" s="1">
        <v>8</v>
      </c>
      <c r="E55" s="1">
        <v>6</v>
      </c>
      <c r="F55" s="3">
        <v>3</v>
      </c>
      <c r="G55" s="2">
        <v>5.1875</v>
      </c>
      <c r="H55" s="2">
        <v>6.6</v>
      </c>
      <c r="I55" s="2">
        <v>6.235880398671096</v>
      </c>
    </row>
    <row r="56" spans="1:9" x14ac:dyDescent="0.3">
      <c r="A56" t="s">
        <v>4</v>
      </c>
      <c r="B56" s="3">
        <v>2</v>
      </c>
      <c r="C56" t="s">
        <v>3</v>
      </c>
      <c r="D56" s="1">
        <v>8.5</v>
      </c>
      <c r="E56" s="1">
        <v>4</v>
      </c>
      <c r="F56" s="3">
        <v>3</v>
      </c>
      <c r="G56" s="2">
        <v>5.1875</v>
      </c>
      <c r="H56" s="2">
        <v>6.5272727272727273</v>
      </c>
      <c r="I56" s="2">
        <v>6.0099667774086383</v>
      </c>
    </row>
    <row r="57" spans="1:9" x14ac:dyDescent="0.3">
      <c r="A57" t="s">
        <v>2</v>
      </c>
      <c r="B57" s="3">
        <v>1</v>
      </c>
      <c r="C57" t="s">
        <v>0</v>
      </c>
      <c r="D57" s="1">
        <v>6.5</v>
      </c>
      <c r="E57" s="1">
        <v>5</v>
      </c>
      <c r="F57" s="3">
        <v>2</v>
      </c>
      <c r="G57" s="2">
        <v>5.75</v>
      </c>
      <c r="H57" s="2">
        <v>7.3809523809523814</v>
      </c>
      <c r="I57" s="2">
        <v>7.0979020979020975</v>
      </c>
    </row>
    <row r="58" spans="1:9" x14ac:dyDescent="0.3">
      <c r="A58" t="s">
        <v>2</v>
      </c>
      <c r="B58" s="3">
        <v>2</v>
      </c>
      <c r="C58" t="s">
        <v>0</v>
      </c>
      <c r="D58" s="1">
        <v>9</v>
      </c>
      <c r="E58" s="1">
        <v>5</v>
      </c>
      <c r="F58" s="3">
        <v>2</v>
      </c>
      <c r="G58" s="2">
        <v>6.1875</v>
      </c>
      <c r="H58" s="2">
        <v>8.1904761904761898</v>
      </c>
      <c r="I58" s="2">
        <v>7.4755244755244759</v>
      </c>
    </row>
    <row r="59" spans="1:9" x14ac:dyDescent="0.3">
      <c r="A59" t="s">
        <v>2</v>
      </c>
      <c r="B59" s="3">
        <v>3</v>
      </c>
      <c r="C59" t="s">
        <v>0</v>
      </c>
      <c r="D59" s="1">
        <v>8.5</v>
      </c>
      <c r="E59" s="1">
        <v>5</v>
      </c>
      <c r="F59" s="3">
        <v>2</v>
      </c>
      <c r="G59" s="2">
        <v>6.1875</v>
      </c>
      <c r="H59" s="2">
        <v>6.9523809523809526</v>
      </c>
      <c r="I59" s="2">
        <v>7.1678321678321675</v>
      </c>
    </row>
    <row r="60" spans="1:9" x14ac:dyDescent="0.3">
      <c r="A60" t="s">
        <v>2</v>
      </c>
      <c r="B60" s="3">
        <v>1</v>
      </c>
      <c r="C60" t="s">
        <v>0</v>
      </c>
      <c r="D60" s="1">
        <v>7</v>
      </c>
      <c r="E60" s="1">
        <v>6</v>
      </c>
      <c r="F60" s="3">
        <v>2</v>
      </c>
      <c r="G60" s="2">
        <v>6.8125</v>
      </c>
      <c r="H60" s="2">
        <v>7.4285714285714288</v>
      </c>
      <c r="I60" s="2">
        <v>7.3356643356643358</v>
      </c>
    </row>
    <row r="61" spans="1:9" x14ac:dyDescent="0.3">
      <c r="A61" t="s">
        <v>2</v>
      </c>
      <c r="B61" s="3">
        <v>1</v>
      </c>
      <c r="C61" t="s">
        <v>0</v>
      </c>
      <c r="D61" s="1">
        <v>7</v>
      </c>
      <c r="E61" s="1">
        <v>6</v>
      </c>
      <c r="F61" s="3">
        <v>2</v>
      </c>
      <c r="G61" s="2">
        <v>6.8125</v>
      </c>
      <c r="H61" s="2">
        <v>7.4285714285714288</v>
      </c>
      <c r="I61" s="2">
        <v>7.3356643356643358</v>
      </c>
    </row>
    <row r="62" spans="1:9" x14ac:dyDescent="0.3">
      <c r="A62" t="s">
        <v>2</v>
      </c>
      <c r="B62" s="3">
        <v>2</v>
      </c>
      <c r="C62" t="s">
        <v>0</v>
      </c>
      <c r="D62" s="1">
        <v>6</v>
      </c>
      <c r="E62" s="1">
        <v>5</v>
      </c>
      <c r="F62" s="3">
        <v>2</v>
      </c>
      <c r="G62" s="2">
        <v>6.875</v>
      </c>
      <c r="H62" s="2">
        <v>8.0952380952380949</v>
      </c>
      <c r="I62" s="2">
        <v>7.79020979020979</v>
      </c>
    </row>
    <row r="63" spans="1:9" x14ac:dyDescent="0.3">
      <c r="A63" t="s">
        <v>2</v>
      </c>
      <c r="B63" s="3">
        <v>3</v>
      </c>
      <c r="C63" t="s">
        <v>0</v>
      </c>
      <c r="D63" s="1">
        <v>6</v>
      </c>
      <c r="E63" s="1">
        <v>5</v>
      </c>
      <c r="F63" s="3">
        <v>2</v>
      </c>
      <c r="G63" s="2">
        <v>5.25</v>
      </c>
      <c r="H63" s="2">
        <v>7.8571428571428568</v>
      </c>
      <c r="I63" s="2">
        <v>7.1118881118881117</v>
      </c>
    </row>
    <row r="64" spans="1:9" x14ac:dyDescent="0.3">
      <c r="A64" t="s">
        <v>2</v>
      </c>
      <c r="B64" s="3">
        <v>3</v>
      </c>
      <c r="C64" t="s">
        <v>0</v>
      </c>
      <c r="D64" s="1">
        <v>7.5</v>
      </c>
      <c r="E64" s="1">
        <v>6</v>
      </c>
      <c r="F64" s="3">
        <v>2</v>
      </c>
      <c r="G64" s="2">
        <v>5.625</v>
      </c>
      <c r="H64" s="2">
        <v>8</v>
      </c>
      <c r="I64" s="2">
        <v>7.104895104895105</v>
      </c>
    </row>
    <row r="65" spans="1:9" x14ac:dyDescent="0.3">
      <c r="A65" t="s">
        <v>2</v>
      </c>
      <c r="B65" s="3">
        <v>2</v>
      </c>
      <c r="C65" t="s">
        <v>0</v>
      </c>
      <c r="D65" s="1">
        <v>6</v>
      </c>
      <c r="E65" s="1">
        <v>6</v>
      </c>
      <c r="F65" s="3">
        <v>2</v>
      </c>
      <c r="G65" s="2">
        <v>6.3125</v>
      </c>
      <c r="H65" s="2">
        <v>6.8095238095238093</v>
      </c>
      <c r="I65" s="2">
        <v>6.5804195804195809</v>
      </c>
    </row>
    <row r="66" spans="1:9" x14ac:dyDescent="0.3">
      <c r="A66" t="s">
        <v>2</v>
      </c>
      <c r="B66" s="3">
        <v>3</v>
      </c>
      <c r="C66" t="s">
        <v>0</v>
      </c>
      <c r="D66" s="1">
        <v>7</v>
      </c>
      <c r="E66" s="1">
        <v>5.5</v>
      </c>
      <c r="F66" s="3">
        <v>2</v>
      </c>
      <c r="G66" s="2">
        <v>5.5</v>
      </c>
      <c r="H66" s="2">
        <v>6.2857142857142856</v>
      </c>
      <c r="I66" s="2">
        <v>6.5944055944055942</v>
      </c>
    </row>
    <row r="67" spans="1:9" x14ac:dyDescent="0.3">
      <c r="A67" t="s">
        <v>2</v>
      </c>
      <c r="B67" s="3">
        <v>2</v>
      </c>
      <c r="C67" t="s">
        <v>0</v>
      </c>
      <c r="D67" s="1">
        <v>8.5</v>
      </c>
      <c r="E67" s="1">
        <v>5</v>
      </c>
      <c r="F67" s="3">
        <v>2</v>
      </c>
      <c r="G67" s="2">
        <v>5.8125</v>
      </c>
      <c r="H67" s="2">
        <v>7.8571428571428568</v>
      </c>
      <c r="I67" s="2">
        <v>7.0909090909090908</v>
      </c>
    </row>
    <row r="68" spans="1:9" x14ac:dyDescent="0.3">
      <c r="A68" t="s">
        <v>2</v>
      </c>
      <c r="B68" s="3">
        <v>3</v>
      </c>
      <c r="C68" t="s">
        <v>0</v>
      </c>
      <c r="D68" s="1">
        <v>9</v>
      </c>
      <c r="E68" s="1">
        <v>6.5</v>
      </c>
      <c r="F68" s="3">
        <v>2</v>
      </c>
      <c r="G68" s="2">
        <v>6.5625</v>
      </c>
      <c r="H68" s="2">
        <v>7.0476190476190474</v>
      </c>
      <c r="I68" s="2">
        <v>7.0279720279720284</v>
      </c>
    </row>
    <row r="69" spans="1:9" x14ac:dyDescent="0.3">
      <c r="A69" t="s">
        <v>2</v>
      </c>
      <c r="B69" s="3">
        <v>3</v>
      </c>
      <c r="C69" t="s">
        <v>0</v>
      </c>
      <c r="D69" s="1">
        <v>7</v>
      </c>
      <c r="E69" s="1">
        <v>6</v>
      </c>
      <c r="F69" s="3">
        <v>3</v>
      </c>
      <c r="G69" s="2">
        <v>6.1875</v>
      </c>
      <c r="H69" s="2">
        <v>6.7142857142857144</v>
      </c>
      <c r="I69" s="2">
        <v>6.9580419580419584</v>
      </c>
    </row>
    <row r="70" spans="1:9" x14ac:dyDescent="0.3">
      <c r="A70" t="s">
        <v>2</v>
      </c>
      <c r="B70" s="3">
        <v>3</v>
      </c>
      <c r="C70" t="s">
        <v>0</v>
      </c>
      <c r="D70" s="1">
        <v>8.5</v>
      </c>
      <c r="E70" s="1">
        <v>5</v>
      </c>
      <c r="F70" s="3">
        <v>3</v>
      </c>
      <c r="G70" s="2">
        <v>5.6875</v>
      </c>
      <c r="H70" s="2">
        <v>6.4285714285714288</v>
      </c>
      <c r="I70" s="2">
        <v>6.5734265734265733</v>
      </c>
    </row>
    <row r="71" spans="1:9" x14ac:dyDescent="0.3">
      <c r="A71" t="s">
        <v>2</v>
      </c>
      <c r="B71" s="3">
        <v>1</v>
      </c>
      <c r="C71" t="s">
        <v>0</v>
      </c>
      <c r="D71" s="1">
        <v>7</v>
      </c>
      <c r="E71" s="1">
        <v>8</v>
      </c>
      <c r="F71" s="3">
        <v>3</v>
      </c>
      <c r="G71" s="2">
        <v>6.4375</v>
      </c>
      <c r="H71" s="2">
        <v>7.0476190476190474</v>
      </c>
      <c r="I71" s="2">
        <v>7.2307692307692308</v>
      </c>
    </row>
    <row r="72" spans="1:9" x14ac:dyDescent="0.3">
      <c r="A72" t="s">
        <v>2</v>
      </c>
      <c r="B72" s="3">
        <v>3</v>
      </c>
      <c r="C72" t="s">
        <v>0</v>
      </c>
      <c r="D72" s="1">
        <v>7</v>
      </c>
      <c r="E72" s="1">
        <v>8</v>
      </c>
      <c r="F72" s="3">
        <v>3</v>
      </c>
      <c r="G72" s="2">
        <v>6</v>
      </c>
      <c r="H72" s="2">
        <v>6.7619047619047619</v>
      </c>
      <c r="I72" s="2">
        <v>6.9020979020979025</v>
      </c>
    </row>
    <row r="73" spans="1:9" x14ac:dyDescent="0.3">
      <c r="A73" t="s">
        <v>2</v>
      </c>
      <c r="B73" s="3">
        <v>3</v>
      </c>
      <c r="C73" t="s">
        <v>0</v>
      </c>
      <c r="D73" s="1">
        <v>9</v>
      </c>
      <c r="E73" s="1">
        <v>7</v>
      </c>
      <c r="F73" s="3">
        <v>3</v>
      </c>
      <c r="G73" s="2">
        <v>5.5</v>
      </c>
      <c r="H73" s="2">
        <v>5.2857142857142856</v>
      </c>
      <c r="I73" s="2">
        <v>5.7062937062937067</v>
      </c>
    </row>
    <row r="74" spans="1:9" x14ac:dyDescent="0.3">
      <c r="A74" t="s">
        <v>2</v>
      </c>
      <c r="B74" s="3">
        <v>3</v>
      </c>
      <c r="C74" t="s">
        <v>0</v>
      </c>
      <c r="D74" s="1">
        <v>9</v>
      </c>
      <c r="E74" s="1">
        <v>6</v>
      </c>
      <c r="F74" s="3">
        <v>3</v>
      </c>
      <c r="G74" s="2">
        <v>6.4375</v>
      </c>
      <c r="H74" s="2">
        <v>8.3809523809523814</v>
      </c>
      <c r="I74" s="2">
        <v>7.5034965034965033</v>
      </c>
    </row>
    <row r="75" spans="1:9" x14ac:dyDescent="0.3">
      <c r="A75" t="s">
        <v>2</v>
      </c>
      <c r="B75" s="3">
        <v>1</v>
      </c>
      <c r="C75" t="s">
        <v>0</v>
      </c>
      <c r="D75" s="1">
        <v>8</v>
      </c>
      <c r="E75" s="1">
        <v>5</v>
      </c>
      <c r="F75" s="3">
        <v>3</v>
      </c>
      <c r="G75" s="2">
        <v>6.9375</v>
      </c>
      <c r="H75" s="2">
        <v>6.666666666666667</v>
      </c>
      <c r="I75" s="2">
        <v>6.6783216783216783</v>
      </c>
    </row>
    <row r="76" spans="1:9" x14ac:dyDescent="0.3">
      <c r="A76" t="s">
        <v>2</v>
      </c>
      <c r="B76" s="3">
        <v>1</v>
      </c>
      <c r="C76" t="s">
        <v>0</v>
      </c>
      <c r="D76" s="1">
        <v>6</v>
      </c>
      <c r="E76" s="1">
        <v>4.5</v>
      </c>
      <c r="F76" s="3">
        <v>3</v>
      </c>
      <c r="G76" s="2">
        <v>6.0625</v>
      </c>
      <c r="H76" s="2">
        <v>6.333333333333333</v>
      </c>
      <c r="I76" s="2">
        <v>6.8391608391608392</v>
      </c>
    </row>
    <row r="77" spans="1:9" x14ac:dyDescent="0.3">
      <c r="A77" t="s">
        <v>2</v>
      </c>
      <c r="B77" s="3">
        <v>2</v>
      </c>
      <c r="C77" t="s">
        <v>0</v>
      </c>
      <c r="D77" s="1">
        <v>7</v>
      </c>
      <c r="E77" s="1">
        <v>6</v>
      </c>
      <c r="F77" s="3">
        <v>3</v>
      </c>
      <c r="G77" s="2">
        <v>5.25</v>
      </c>
      <c r="H77" s="2">
        <v>5.6190476190476186</v>
      </c>
      <c r="I77" s="2">
        <v>6.1678321678321675</v>
      </c>
    </row>
    <row r="78" spans="1:9" x14ac:dyDescent="0.3">
      <c r="A78" t="s">
        <v>2</v>
      </c>
      <c r="B78" s="3">
        <v>2</v>
      </c>
      <c r="C78" t="s">
        <v>0</v>
      </c>
      <c r="D78" s="1">
        <v>9</v>
      </c>
      <c r="E78" s="1">
        <v>6</v>
      </c>
      <c r="F78" s="3">
        <v>3</v>
      </c>
      <c r="G78" s="2">
        <v>6.5625</v>
      </c>
      <c r="H78" s="2">
        <v>7.4285714285714288</v>
      </c>
      <c r="I78" s="2">
        <v>7.3986013986013983</v>
      </c>
    </row>
    <row r="79" spans="1:9" x14ac:dyDescent="0.3">
      <c r="A79" t="s">
        <v>2</v>
      </c>
      <c r="B79" s="3">
        <v>3</v>
      </c>
      <c r="C79" t="s">
        <v>0</v>
      </c>
      <c r="D79" s="1">
        <v>6.5</v>
      </c>
      <c r="E79" s="1">
        <v>4</v>
      </c>
      <c r="F79" s="3">
        <v>3</v>
      </c>
      <c r="G79" s="2">
        <v>6.1875</v>
      </c>
      <c r="H79" s="2">
        <v>8.0476190476190474</v>
      </c>
      <c r="I79" s="2">
        <v>7.7622377622377625</v>
      </c>
    </row>
    <row r="80" spans="1:9" x14ac:dyDescent="0.3">
      <c r="A80" t="s">
        <v>2</v>
      </c>
      <c r="B80" s="3">
        <v>3</v>
      </c>
      <c r="C80" t="s">
        <v>0</v>
      </c>
      <c r="D80" s="1">
        <v>9</v>
      </c>
      <c r="E80" s="1">
        <v>5</v>
      </c>
      <c r="F80" s="3">
        <v>3</v>
      </c>
      <c r="G80" s="2">
        <v>7.125</v>
      </c>
      <c r="H80" s="2">
        <v>7.4285714285714288</v>
      </c>
      <c r="I80" s="2">
        <v>7.2937062937062933</v>
      </c>
    </row>
    <row r="81" spans="1:9" x14ac:dyDescent="0.3">
      <c r="A81" t="s">
        <v>2</v>
      </c>
      <c r="B81" s="3">
        <v>3</v>
      </c>
      <c r="C81" t="s">
        <v>0</v>
      </c>
      <c r="D81" s="1">
        <v>7</v>
      </c>
      <c r="E81" s="1">
        <v>4</v>
      </c>
      <c r="F81" s="3">
        <v>3</v>
      </c>
      <c r="G81" s="2">
        <v>5.8125</v>
      </c>
      <c r="H81" s="2">
        <v>6.1428571428571432</v>
      </c>
      <c r="I81" s="2">
        <v>6.13986013986014</v>
      </c>
    </row>
  </sheetData>
  <sortState xmlns:xlrd2="http://schemas.microsoft.com/office/spreadsheetml/2017/richdata2" ref="A2:W8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4931-0707-4560-A081-42BE5D91AE75}">
  <dimension ref="A1:I81"/>
  <sheetViews>
    <sheetView workbookViewId="0">
      <selection activeCell="G32" sqref="G32"/>
    </sheetView>
  </sheetViews>
  <sheetFormatPr defaultRowHeight="14.4" x14ac:dyDescent="0.3"/>
  <cols>
    <col min="6" max="6" width="30.33203125" customWidth="1"/>
    <col min="7" max="7" width="41.109375" customWidth="1"/>
    <col min="8" max="8" width="12.44140625" customWidth="1"/>
    <col min="9" max="9" width="13.6640625" customWidth="1"/>
  </cols>
  <sheetData>
    <row r="1" spans="1:9" x14ac:dyDescent="0.3">
      <c r="A1" s="4" t="s">
        <v>6</v>
      </c>
      <c r="B1" s="4" t="s">
        <v>7</v>
      </c>
      <c r="G1" t="s">
        <v>14</v>
      </c>
    </row>
    <row r="2" spans="1:9" x14ac:dyDescent="0.3">
      <c r="A2" t="s">
        <v>0</v>
      </c>
      <c r="B2" s="1">
        <v>6.5</v>
      </c>
      <c r="G2" t="s">
        <v>15</v>
      </c>
    </row>
    <row r="3" spans="1:9" x14ac:dyDescent="0.3">
      <c r="A3" t="s">
        <v>0</v>
      </c>
      <c r="B3" s="1">
        <v>6</v>
      </c>
    </row>
    <row r="4" spans="1:9" x14ac:dyDescent="0.3">
      <c r="A4" t="s">
        <v>0</v>
      </c>
      <c r="B4" s="1">
        <v>5</v>
      </c>
      <c r="H4" t="s">
        <v>16</v>
      </c>
      <c r="I4" t="s">
        <v>17</v>
      </c>
    </row>
    <row r="5" spans="1:9" x14ac:dyDescent="0.3">
      <c r="A5" t="s">
        <v>0</v>
      </c>
      <c r="B5" s="1">
        <v>5.5</v>
      </c>
      <c r="G5" t="s">
        <v>18</v>
      </c>
      <c r="H5">
        <f>COUNTIF(A:A,"A")</f>
        <v>67</v>
      </c>
      <c r="I5">
        <f>COUNTIF(A:A,"D1")</f>
        <v>13</v>
      </c>
    </row>
    <row r="6" spans="1:9" x14ac:dyDescent="0.3">
      <c r="A6" t="s">
        <v>0</v>
      </c>
      <c r="B6" s="1">
        <v>5</v>
      </c>
      <c r="G6" t="s">
        <v>19</v>
      </c>
      <c r="H6" s="1">
        <f>AVERAGE(B2:B68)</f>
        <v>5.5074626865671643</v>
      </c>
      <c r="I6" s="1">
        <f>AVERAGE(B69:B81)</f>
        <v>6.0384615384615383</v>
      </c>
    </row>
    <row r="7" spans="1:9" x14ac:dyDescent="0.3">
      <c r="A7" t="s">
        <v>0</v>
      </c>
      <c r="B7" s="1">
        <v>6.5</v>
      </c>
      <c r="G7" t="s">
        <v>20</v>
      </c>
      <c r="H7">
        <f>_xlfn.VAR.S(B2:B68)</f>
        <v>1.3143374038896429</v>
      </c>
      <c r="I7">
        <f>_xlfn.VAR.S(B69:B81)</f>
        <v>1.2275641025641022</v>
      </c>
    </row>
    <row r="8" spans="1:9" x14ac:dyDescent="0.3">
      <c r="A8" t="s">
        <v>0</v>
      </c>
      <c r="B8" s="1">
        <v>6</v>
      </c>
    </row>
    <row r="9" spans="1:9" x14ac:dyDescent="0.3">
      <c r="A9" t="s">
        <v>0</v>
      </c>
      <c r="B9" s="1">
        <v>8</v>
      </c>
      <c r="F9" s="6" t="s">
        <v>22</v>
      </c>
      <c r="G9" t="s">
        <v>21</v>
      </c>
      <c r="H9">
        <f>SQRT(H5*I5/(H5+I5))*SQRT((H5+I5-2)/((H5-1)*H7+(I5-1)*I7))*(I6-H6)</f>
        <v>1.536105614719393</v>
      </c>
    </row>
    <row r="10" spans="1:9" x14ac:dyDescent="0.3">
      <c r="A10" t="s">
        <v>0</v>
      </c>
      <c r="B10" s="1">
        <v>6</v>
      </c>
      <c r="G10" t="s">
        <v>23</v>
      </c>
      <c r="H10">
        <f>_xlfn.T.DIST.2T(H9,H5+I5-2)</f>
        <v>0.12855920008651475</v>
      </c>
    </row>
    <row r="11" spans="1:9" x14ac:dyDescent="0.3">
      <c r="A11" t="s">
        <v>0</v>
      </c>
      <c r="B11" s="1">
        <v>5</v>
      </c>
    </row>
    <row r="12" spans="1:9" x14ac:dyDescent="0.3">
      <c r="A12" t="s">
        <v>0</v>
      </c>
      <c r="B12" s="1">
        <v>5.5</v>
      </c>
      <c r="F12" s="6" t="s">
        <v>24</v>
      </c>
      <c r="G12" t="s">
        <v>23</v>
      </c>
      <c r="H12">
        <f>_xlfn.T.TEST(B2:B68,B69:B81,2,2)</f>
        <v>0.12855920008651475</v>
      </c>
    </row>
    <row r="13" spans="1:9" x14ac:dyDescent="0.3">
      <c r="A13" t="s">
        <v>0</v>
      </c>
      <c r="B13" s="1">
        <v>5</v>
      </c>
      <c r="G13" t="s">
        <v>21</v>
      </c>
      <c r="H13">
        <f>_xlfn.T.INV.2T(H12,H5+I5-2)</f>
        <v>1.5361056147193899</v>
      </c>
    </row>
    <row r="14" spans="1:9" x14ac:dyDescent="0.3">
      <c r="A14" t="s">
        <v>0</v>
      </c>
      <c r="B14" s="1">
        <v>4</v>
      </c>
    </row>
    <row r="15" spans="1:9" x14ac:dyDescent="0.3">
      <c r="A15" t="s">
        <v>0</v>
      </c>
      <c r="B15" s="1">
        <v>6</v>
      </c>
      <c r="F15" s="5" t="s">
        <v>26</v>
      </c>
      <c r="G15" t="s">
        <v>25</v>
      </c>
      <c r="H15">
        <f>_xlfn.T.INV.2T(5%,H5+I5-2)</f>
        <v>1.9908470688116919</v>
      </c>
    </row>
    <row r="16" spans="1:9" x14ac:dyDescent="0.3">
      <c r="A16" t="s">
        <v>0</v>
      </c>
      <c r="B16" s="1">
        <v>4</v>
      </c>
      <c r="G16" t="s">
        <v>27</v>
      </c>
    </row>
    <row r="17" spans="1:8" x14ac:dyDescent="0.3">
      <c r="A17" t="s">
        <v>0</v>
      </c>
      <c r="B17" s="1">
        <v>5.5</v>
      </c>
    </row>
    <row r="18" spans="1:8" x14ac:dyDescent="0.3">
      <c r="A18" t="s">
        <v>0</v>
      </c>
      <c r="B18" s="1">
        <v>3</v>
      </c>
      <c r="F18" s="5" t="s">
        <v>28</v>
      </c>
      <c r="G18" t="s">
        <v>29</v>
      </c>
    </row>
    <row r="19" spans="1:8" x14ac:dyDescent="0.3">
      <c r="A19" t="s">
        <v>0</v>
      </c>
      <c r="B19" s="1">
        <v>4</v>
      </c>
    </row>
    <row r="20" spans="1:8" x14ac:dyDescent="0.3">
      <c r="A20" t="s">
        <v>0</v>
      </c>
      <c r="B20" s="1">
        <v>3</v>
      </c>
      <c r="F20" s="5" t="s">
        <v>30</v>
      </c>
      <c r="G20" t="s">
        <v>31</v>
      </c>
      <c r="H20">
        <f>H6-H15*SQRT(H7/H5)</f>
        <v>5.2286234195830188</v>
      </c>
    </row>
    <row r="21" spans="1:8" x14ac:dyDescent="0.3">
      <c r="A21" t="s">
        <v>0</v>
      </c>
      <c r="B21" s="1">
        <v>5.5</v>
      </c>
      <c r="G21" t="s">
        <v>32</v>
      </c>
      <c r="H21">
        <f>H6+H15*SQRT(H7/H5)</f>
        <v>5.7863019535513098</v>
      </c>
    </row>
    <row r="22" spans="1:8" x14ac:dyDescent="0.3">
      <c r="A22" t="s">
        <v>0</v>
      </c>
      <c r="B22" s="1">
        <v>5</v>
      </c>
      <c r="G22" t="s">
        <v>33</v>
      </c>
      <c r="H22" t="s">
        <v>34</v>
      </c>
    </row>
    <row r="23" spans="1:8" x14ac:dyDescent="0.3">
      <c r="A23" t="s">
        <v>0</v>
      </c>
      <c r="B23" s="1">
        <v>4.5</v>
      </c>
    </row>
    <row r="24" spans="1:8" x14ac:dyDescent="0.3">
      <c r="A24" t="s">
        <v>0</v>
      </c>
      <c r="B24" s="1">
        <v>7</v>
      </c>
      <c r="G24" t="s">
        <v>35</v>
      </c>
      <c r="H24">
        <f>I6-H15*SQRT(I7/I5)</f>
        <v>5.4266913445658016</v>
      </c>
    </row>
    <row r="25" spans="1:8" x14ac:dyDescent="0.3">
      <c r="A25" t="s">
        <v>0</v>
      </c>
      <c r="B25" s="1">
        <v>7</v>
      </c>
      <c r="G25" t="s">
        <v>36</v>
      </c>
      <c r="H25">
        <f>I6+H15*SQRT(I7/I5)</f>
        <v>6.650231732357275</v>
      </c>
    </row>
    <row r="26" spans="1:8" x14ac:dyDescent="0.3">
      <c r="A26" t="s">
        <v>0</v>
      </c>
      <c r="B26" s="1">
        <v>5</v>
      </c>
      <c r="G26" t="s">
        <v>37</v>
      </c>
      <c r="H26" t="s">
        <v>38</v>
      </c>
    </row>
    <row r="27" spans="1:8" x14ac:dyDescent="0.3">
      <c r="A27" t="s">
        <v>0</v>
      </c>
      <c r="B27" s="1">
        <v>5.5</v>
      </c>
    </row>
    <row r="28" spans="1:8" x14ac:dyDescent="0.3">
      <c r="A28" t="s">
        <v>0</v>
      </c>
      <c r="B28" s="1">
        <v>8</v>
      </c>
      <c r="G28" t="s">
        <v>39</v>
      </c>
    </row>
    <row r="29" spans="1:8" x14ac:dyDescent="0.3">
      <c r="A29" t="s">
        <v>0</v>
      </c>
      <c r="B29" s="1">
        <v>5</v>
      </c>
    </row>
    <row r="30" spans="1:8" x14ac:dyDescent="0.3">
      <c r="A30" t="s">
        <v>0</v>
      </c>
      <c r="B30" s="1">
        <v>5</v>
      </c>
    </row>
    <row r="31" spans="1:8" x14ac:dyDescent="0.3">
      <c r="A31" t="s">
        <v>0</v>
      </c>
      <c r="B31" s="1">
        <v>5</v>
      </c>
    </row>
    <row r="32" spans="1:8" x14ac:dyDescent="0.3">
      <c r="A32" t="s">
        <v>0</v>
      </c>
      <c r="B32" s="1">
        <v>5.5</v>
      </c>
    </row>
    <row r="33" spans="1:2" x14ac:dyDescent="0.3">
      <c r="A33" t="s">
        <v>0</v>
      </c>
      <c r="B33" s="1">
        <v>6</v>
      </c>
    </row>
    <row r="34" spans="1:2" x14ac:dyDescent="0.3">
      <c r="A34" t="s">
        <v>0</v>
      </c>
      <c r="B34" s="1">
        <v>7</v>
      </c>
    </row>
    <row r="35" spans="1:2" x14ac:dyDescent="0.3">
      <c r="A35" t="s">
        <v>0</v>
      </c>
      <c r="B35" s="1">
        <v>8</v>
      </c>
    </row>
    <row r="36" spans="1:2" x14ac:dyDescent="0.3">
      <c r="A36" t="s">
        <v>0</v>
      </c>
      <c r="B36" s="1">
        <v>6</v>
      </c>
    </row>
    <row r="37" spans="1:2" x14ac:dyDescent="0.3">
      <c r="A37" t="s">
        <v>0</v>
      </c>
      <c r="B37" s="1">
        <v>4</v>
      </c>
    </row>
    <row r="38" spans="1:2" x14ac:dyDescent="0.3">
      <c r="A38" t="s">
        <v>0</v>
      </c>
      <c r="B38" s="1">
        <v>6</v>
      </c>
    </row>
    <row r="39" spans="1:2" x14ac:dyDescent="0.3">
      <c r="A39" t="s">
        <v>0</v>
      </c>
      <c r="B39" s="1">
        <v>5</v>
      </c>
    </row>
    <row r="40" spans="1:2" x14ac:dyDescent="0.3">
      <c r="A40" t="s">
        <v>0</v>
      </c>
      <c r="B40" s="1">
        <v>5</v>
      </c>
    </row>
    <row r="41" spans="1:2" x14ac:dyDescent="0.3">
      <c r="A41" t="s">
        <v>0</v>
      </c>
      <c r="B41" s="1">
        <v>6</v>
      </c>
    </row>
    <row r="42" spans="1:2" x14ac:dyDescent="0.3">
      <c r="A42" t="s">
        <v>0</v>
      </c>
      <c r="B42" s="1">
        <v>5</v>
      </c>
    </row>
    <row r="43" spans="1:2" x14ac:dyDescent="0.3">
      <c r="A43" t="s">
        <v>0</v>
      </c>
      <c r="B43" s="1">
        <v>3</v>
      </c>
    </row>
    <row r="44" spans="1:2" x14ac:dyDescent="0.3">
      <c r="A44" t="s">
        <v>0</v>
      </c>
      <c r="B44" s="1">
        <v>5</v>
      </c>
    </row>
    <row r="45" spans="1:2" x14ac:dyDescent="0.3">
      <c r="A45" t="s">
        <v>0</v>
      </c>
      <c r="B45" s="1">
        <v>5</v>
      </c>
    </row>
    <row r="46" spans="1:2" x14ac:dyDescent="0.3">
      <c r="A46" t="s">
        <v>0</v>
      </c>
      <c r="B46" s="1">
        <v>5</v>
      </c>
    </row>
    <row r="47" spans="1:2" x14ac:dyDescent="0.3">
      <c r="A47" t="s">
        <v>0</v>
      </c>
      <c r="B47" s="1">
        <v>6</v>
      </c>
    </row>
    <row r="48" spans="1:2" x14ac:dyDescent="0.3">
      <c r="A48" t="s">
        <v>0</v>
      </c>
      <c r="B48" s="1">
        <v>6</v>
      </c>
    </row>
    <row r="49" spans="1:2" x14ac:dyDescent="0.3">
      <c r="A49" t="s">
        <v>0</v>
      </c>
      <c r="B49" s="1">
        <v>5</v>
      </c>
    </row>
    <row r="50" spans="1:2" x14ac:dyDescent="0.3">
      <c r="A50" t="s">
        <v>0</v>
      </c>
      <c r="B50" s="1">
        <v>5</v>
      </c>
    </row>
    <row r="51" spans="1:2" x14ac:dyDescent="0.3">
      <c r="A51" t="s">
        <v>0</v>
      </c>
      <c r="B51" s="1">
        <v>6</v>
      </c>
    </row>
    <row r="52" spans="1:2" x14ac:dyDescent="0.3">
      <c r="A52" t="s">
        <v>0</v>
      </c>
      <c r="B52" s="1">
        <v>6</v>
      </c>
    </row>
    <row r="53" spans="1:2" x14ac:dyDescent="0.3">
      <c r="A53" t="s">
        <v>0</v>
      </c>
      <c r="B53" s="1">
        <v>5.5</v>
      </c>
    </row>
    <row r="54" spans="1:2" x14ac:dyDescent="0.3">
      <c r="A54" t="s">
        <v>0</v>
      </c>
      <c r="B54" s="1">
        <v>5</v>
      </c>
    </row>
    <row r="55" spans="1:2" x14ac:dyDescent="0.3">
      <c r="A55" t="s">
        <v>0</v>
      </c>
      <c r="B55" s="1">
        <v>6.5</v>
      </c>
    </row>
    <row r="56" spans="1:2" x14ac:dyDescent="0.3">
      <c r="A56" t="s">
        <v>0</v>
      </c>
      <c r="B56" s="1">
        <v>6</v>
      </c>
    </row>
    <row r="57" spans="1:2" x14ac:dyDescent="0.3">
      <c r="A57" t="s">
        <v>0</v>
      </c>
      <c r="B57" s="1">
        <v>5</v>
      </c>
    </row>
    <row r="58" spans="1:2" x14ac:dyDescent="0.3">
      <c r="A58" t="s">
        <v>0</v>
      </c>
      <c r="B58" s="1">
        <v>8</v>
      </c>
    </row>
    <row r="59" spans="1:2" x14ac:dyDescent="0.3">
      <c r="A59" t="s">
        <v>0</v>
      </c>
      <c r="B59" s="1">
        <v>8</v>
      </c>
    </row>
    <row r="60" spans="1:2" x14ac:dyDescent="0.3">
      <c r="A60" t="s">
        <v>0</v>
      </c>
      <c r="B60" s="1">
        <v>7</v>
      </c>
    </row>
    <row r="61" spans="1:2" x14ac:dyDescent="0.3">
      <c r="A61" t="s">
        <v>0</v>
      </c>
      <c r="B61" s="1">
        <v>6</v>
      </c>
    </row>
    <row r="62" spans="1:2" x14ac:dyDescent="0.3">
      <c r="A62" t="s">
        <v>0</v>
      </c>
      <c r="B62" s="1">
        <v>5</v>
      </c>
    </row>
    <row r="63" spans="1:2" x14ac:dyDescent="0.3">
      <c r="A63" t="s">
        <v>0</v>
      </c>
      <c r="B63" s="1">
        <v>4.5</v>
      </c>
    </row>
    <row r="64" spans="1:2" x14ac:dyDescent="0.3">
      <c r="A64" t="s">
        <v>0</v>
      </c>
      <c r="B64" s="1">
        <v>6</v>
      </c>
    </row>
    <row r="65" spans="1:2" x14ac:dyDescent="0.3">
      <c r="A65" t="s">
        <v>0</v>
      </c>
      <c r="B65" s="1">
        <v>6</v>
      </c>
    </row>
    <row r="66" spans="1:2" x14ac:dyDescent="0.3">
      <c r="A66" t="s">
        <v>0</v>
      </c>
      <c r="B66" s="1">
        <v>4</v>
      </c>
    </row>
    <row r="67" spans="1:2" x14ac:dyDescent="0.3">
      <c r="A67" t="s">
        <v>0</v>
      </c>
      <c r="B67" s="1">
        <v>5</v>
      </c>
    </row>
    <row r="68" spans="1:2" x14ac:dyDescent="0.3">
      <c r="A68" t="s">
        <v>0</v>
      </c>
      <c r="B68" s="1">
        <v>4</v>
      </c>
    </row>
    <row r="69" spans="1:2" x14ac:dyDescent="0.3">
      <c r="A69" t="s">
        <v>3</v>
      </c>
      <c r="B69" s="1">
        <v>5</v>
      </c>
    </row>
    <row r="70" spans="1:2" x14ac:dyDescent="0.3">
      <c r="A70" t="s">
        <v>3</v>
      </c>
      <c r="B70" s="1">
        <v>7</v>
      </c>
    </row>
    <row r="71" spans="1:2" x14ac:dyDescent="0.3">
      <c r="A71" t="s">
        <v>3</v>
      </c>
      <c r="B71" s="1">
        <v>5.5</v>
      </c>
    </row>
    <row r="72" spans="1:2" x14ac:dyDescent="0.3">
      <c r="A72" t="s">
        <v>3</v>
      </c>
      <c r="B72" s="1">
        <v>5</v>
      </c>
    </row>
    <row r="73" spans="1:2" x14ac:dyDescent="0.3">
      <c r="A73" t="s">
        <v>3</v>
      </c>
      <c r="B73" s="1">
        <v>5</v>
      </c>
    </row>
    <row r="74" spans="1:2" x14ac:dyDescent="0.3">
      <c r="A74" t="s">
        <v>3</v>
      </c>
      <c r="B74" s="1">
        <v>6.5</v>
      </c>
    </row>
    <row r="75" spans="1:2" x14ac:dyDescent="0.3">
      <c r="A75" t="s">
        <v>3</v>
      </c>
      <c r="B75" s="1">
        <v>6</v>
      </c>
    </row>
    <row r="76" spans="1:2" x14ac:dyDescent="0.3">
      <c r="A76" t="s">
        <v>3</v>
      </c>
      <c r="B76" s="1">
        <v>6.5</v>
      </c>
    </row>
    <row r="77" spans="1:2" x14ac:dyDescent="0.3">
      <c r="A77" t="s">
        <v>3</v>
      </c>
      <c r="B77" s="1">
        <v>8</v>
      </c>
    </row>
    <row r="78" spans="1:2" x14ac:dyDescent="0.3">
      <c r="A78" t="s">
        <v>3</v>
      </c>
      <c r="B78" s="1">
        <v>7</v>
      </c>
    </row>
    <row r="79" spans="1:2" x14ac:dyDescent="0.3">
      <c r="A79" t="s">
        <v>3</v>
      </c>
      <c r="B79" s="1">
        <v>7</v>
      </c>
    </row>
    <row r="80" spans="1:2" x14ac:dyDescent="0.3">
      <c r="A80" t="s">
        <v>3</v>
      </c>
      <c r="B80" s="1">
        <v>6</v>
      </c>
    </row>
    <row r="81" spans="1:2" x14ac:dyDescent="0.3">
      <c r="A81" t="s">
        <v>3</v>
      </c>
      <c r="B81" s="1">
        <v>4</v>
      </c>
    </row>
  </sheetData>
  <autoFilter ref="A1:B81" xr:uid="{09EF4931-0707-4560-A081-42BE5D91AE75}">
    <sortState xmlns:xlrd2="http://schemas.microsoft.com/office/spreadsheetml/2017/richdata2" ref="A2:B81">
      <sortCondition ref="A1:A81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050F-3A09-4589-88E7-41FBFB339777}">
  <dimension ref="A1:H81"/>
  <sheetViews>
    <sheetView workbookViewId="0">
      <selection sqref="A1:B1048576"/>
    </sheetView>
  </sheetViews>
  <sheetFormatPr defaultRowHeight="14.4" x14ac:dyDescent="0.3"/>
  <cols>
    <col min="1" max="2" width="11.88671875" customWidth="1"/>
    <col min="6" max="6" width="30.44140625" customWidth="1"/>
    <col min="7" max="7" width="36.5546875" customWidth="1"/>
    <col min="8" max="8" width="12" bestFit="1" customWidth="1"/>
  </cols>
  <sheetData>
    <row r="1" spans="1:8" x14ac:dyDescent="0.3">
      <c r="A1" s="4" t="s">
        <v>40</v>
      </c>
      <c r="B1" s="4" t="s">
        <v>41</v>
      </c>
      <c r="C1" t="s">
        <v>44</v>
      </c>
      <c r="G1" t="s">
        <v>42</v>
      </c>
    </row>
    <row r="2" spans="1:8" x14ac:dyDescent="0.3">
      <c r="A2" s="1">
        <v>5</v>
      </c>
      <c r="B2" s="1">
        <v>6.5</v>
      </c>
      <c r="C2" s="1">
        <f>A2-B2</f>
        <v>-1.5</v>
      </c>
      <c r="G2" t="s">
        <v>43</v>
      </c>
    </row>
    <row r="3" spans="1:8" x14ac:dyDescent="0.3">
      <c r="A3" s="1">
        <v>5</v>
      </c>
      <c r="B3" s="1">
        <v>6</v>
      </c>
      <c r="C3" s="1">
        <f t="shared" ref="C3:C66" si="0">A3-B3</f>
        <v>-1</v>
      </c>
    </row>
    <row r="4" spans="1:8" x14ac:dyDescent="0.3">
      <c r="A4" s="1">
        <v>9</v>
      </c>
      <c r="B4" s="1">
        <v>5</v>
      </c>
      <c r="C4" s="1">
        <f t="shared" si="0"/>
        <v>4</v>
      </c>
    </row>
    <row r="5" spans="1:8" x14ac:dyDescent="0.3">
      <c r="A5" s="1">
        <v>6.5</v>
      </c>
      <c r="B5" s="1">
        <v>5.5</v>
      </c>
      <c r="C5" s="1">
        <f t="shared" si="0"/>
        <v>1</v>
      </c>
    </row>
    <row r="6" spans="1:8" x14ac:dyDescent="0.3">
      <c r="A6" s="1">
        <v>6</v>
      </c>
      <c r="B6" s="1">
        <v>5</v>
      </c>
      <c r="C6" s="1">
        <f t="shared" si="0"/>
        <v>1</v>
      </c>
      <c r="G6" t="s">
        <v>18</v>
      </c>
      <c r="H6">
        <f>COUNT(C:C)</f>
        <v>80</v>
      </c>
    </row>
    <row r="7" spans="1:8" x14ac:dyDescent="0.3">
      <c r="A7" s="1">
        <v>7</v>
      </c>
      <c r="B7" s="1">
        <v>7</v>
      </c>
      <c r="C7" s="1">
        <f t="shared" si="0"/>
        <v>0</v>
      </c>
      <c r="G7" t="s">
        <v>19</v>
      </c>
      <c r="H7">
        <f>AVERAGE(C:C)</f>
        <v>1.8374999999999999</v>
      </c>
    </row>
    <row r="8" spans="1:8" x14ac:dyDescent="0.3">
      <c r="A8" s="1">
        <v>8.5</v>
      </c>
      <c r="B8" s="1">
        <v>5</v>
      </c>
      <c r="C8" s="1">
        <f t="shared" si="0"/>
        <v>3.5</v>
      </c>
      <c r="G8" t="s">
        <v>20</v>
      </c>
      <c r="H8">
        <f>_xlfn.VAR.S(C:C)</f>
        <v>2.8846518987341772</v>
      </c>
    </row>
    <row r="9" spans="1:8" x14ac:dyDescent="0.3">
      <c r="A9" s="1">
        <v>8</v>
      </c>
      <c r="B9" s="1">
        <v>5.5</v>
      </c>
      <c r="C9" s="1">
        <f t="shared" si="0"/>
        <v>2.5</v>
      </c>
    </row>
    <row r="10" spans="1:8" x14ac:dyDescent="0.3">
      <c r="A10" s="1">
        <v>7</v>
      </c>
      <c r="B10" s="1">
        <v>6.5</v>
      </c>
      <c r="C10" s="1">
        <f t="shared" si="0"/>
        <v>0.5</v>
      </c>
      <c r="F10" s="6" t="s">
        <v>22</v>
      </c>
      <c r="G10" t="s">
        <v>21</v>
      </c>
      <c r="H10">
        <f>H7/SQRT(H8/H6)</f>
        <v>9.6766634079731304</v>
      </c>
    </row>
    <row r="11" spans="1:8" x14ac:dyDescent="0.3">
      <c r="A11" s="1">
        <v>7.5</v>
      </c>
      <c r="B11" s="1">
        <v>6</v>
      </c>
      <c r="C11" s="1">
        <f t="shared" si="0"/>
        <v>1.5</v>
      </c>
      <c r="G11" t="s">
        <v>23</v>
      </c>
      <c r="H11">
        <f>_xlfn.T.DIST.2T(H10,H6-1)</f>
        <v>4.6728416587318636E-15</v>
      </c>
    </row>
    <row r="12" spans="1:8" x14ac:dyDescent="0.3">
      <c r="A12" s="1">
        <v>8</v>
      </c>
      <c r="B12" s="1">
        <v>5</v>
      </c>
      <c r="C12" s="1">
        <f t="shared" si="0"/>
        <v>3</v>
      </c>
    </row>
    <row r="13" spans="1:8" x14ac:dyDescent="0.3">
      <c r="A13" s="1">
        <v>6.5</v>
      </c>
      <c r="B13" s="1">
        <v>8</v>
      </c>
      <c r="C13" s="1">
        <f t="shared" si="0"/>
        <v>-1.5</v>
      </c>
      <c r="F13" s="6" t="s">
        <v>24</v>
      </c>
      <c r="G13" t="s">
        <v>23</v>
      </c>
      <c r="H13">
        <f>_xlfn.T.TEST(A:A,B:B,2,1)</f>
        <v>4.6728416587317642E-15</v>
      </c>
    </row>
    <row r="14" spans="1:8" x14ac:dyDescent="0.3">
      <c r="A14" s="1">
        <v>8.5</v>
      </c>
      <c r="B14" s="1">
        <v>6</v>
      </c>
      <c r="C14" s="1">
        <f t="shared" si="0"/>
        <v>2.5</v>
      </c>
      <c r="G14" t="s">
        <v>21</v>
      </c>
      <c r="H14">
        <f>_xlfn.T.INV.2T(H13,H6-1)</f>
        <v>9.6766634079731357</v>
      </c>
    </row>
    <row r="15" spans="1:8" x14ac:dyDescent="0.3">
      <c r="A15" s="1">
        <v>7</v>
      </c>
      <c r="B15" s="1">
        <v>5</v>
      </c>
      <c r="C15" s="1">
        <f t="shared" si="0"/>
        <v>2</v>
      </c>
    </row>
    <row r="16" spans="1:8" x14ac:dyDescent="0.3">
      <c r="A16" s="1">
        <v>9</v>
      </c>
      <c r="B16" s="1">
        <v>5.5</v>
      </c>
      <c r="C16" s="1">
        <f t="shared" si="0"/>
        <v>3.5</v>
      </c>
      <c r="F16" s="5" t="s">
        <v>26</v>
      </c>
      <c r="G16" t="s">
        <v>46</v>
      </c>
      <c r="H16">
        <f>_xlfn.T.INV.2T(5%,H6-1)</f>
        <v>1.9904502102301287</v>
      </c>
    </row>
    <row r="17" spans="1:8" x14ac:dyDescent="0.3">
      <c r="A17" s="1">
        <v>6.5</v>
      </c>
      <c r="B17" s="1">
        <v>5</v>
      </c>
      <c r="C17" s="1">
        <f t="shared" si="0"/>
        <v>1.5</v>
      </c>
      <c r="G17" t="s">
        <v>47</v>
      </c>
    </row>
    <row r="18" spans="1:8" x14ac:dyDescent="0.3">
      <c r="A18" s="1">
        <v>8</v>
      </c>
      <c r="B18" s="1">
        <v>4</v>
      </c>
      <c r="C18" s="1">
        <f t="shared" si="0"/>
        <v>4</v>
      </c>
    </row>
    <row r="19" spans="1:8" x14ac:dyDescent="0.3">
      <c r="A19" s="1">
        <v>7</v>
      </c>
      <c r="B19" s="1">
        <v>5</v>
      </c>
      <c r="C19" s="1">
        <f t="shared" si="0"/>
        <v>2</v>
      </c>
      <c r="F19" s="5" t="s">
        <v>28</v>
      </c>
      <c r="G19" t="s">
        <v>48</v>
      </c>
    </row>
    <row r="20" spans="1:8" x14ac:dyDescent="0.3">
      <c r="A20" s="1">
        <v>8.5</v>
      </c>
      <c r="B20" s="1">
        <v>6</v>
      </c>
      <c r="C20" s="1">
        <f t="shared" si="0"/>
        <v>2.5</v>
      </c>
    </row>
    <row r="21" spans="1:8" x14ac:dyDescent="0.3">
      <c r="A21" s="1">
        <v>8.5</v>
      </c>
      <c r="B21" s="1">
        <v>4</v>
      </c>
      <c r="C21" s="1">
        <f t="shared" si="0"/>
        <v>4.5</v>
      </c>
      <c r="F21" s="5" t="s">
        <v>30</v>
      </c>
      <c r="G21" t="s">
        <v>49</v>
      </c>
      <c r="H21">
        <f>H7-H16*SQRT(H8/H6)</f>
        <v>1.4595337416836998</v>
      </c>
    </row>
    <row r="22" spans="1:8" x14ac:dyDescent="0.3">
      <c r="A22" s="1">
        <v>7</v>
      </c>
      <c r="B22" s="1">
        <v>5.5</v>
      </c>
      <c r="C22" s="1">
        <f t="shared" si="0"/>
        <v>1.5</v>
      </c>
      <c r="G22" t="s">
        <v>51</v>
      </c>
      <c r="H22">
        <f>H7+H16*SQRT(H8/H6)</f>
        <v>2.2154662583163001</v>
      </c>
    </row>
    <row r="23" spans="1:8" x14ac:dyDescent="0.3">
      <c r="A23" s="1">
        <v>9</v>
      </c>
      <c r="B23" s="1">
        <v>6.5</v>
      </c>
      <c r="C23" s="1">
        <f t="shared" si="0"/>
        <v>2.5</v>
      </c>
      <c r="G23" t="s">
        <v>52</v>
      </c>
      <c r="H23" t="s">
        <v>50</v>
      </c>
    </row>
    <row r="24" spans="1:8" x14ac:dyDescent="0.3">
      <c r="A24" s="1">
        <v>5</v>
      </c>
      <c r="B24" s="1">
        <v>3</v>
      </c>
      <c r="C24" s="1">
        <f t="shared" si="0"/>
        <v>2</v>
      </c>
      <c r="G24" t="s">
        <v>53</v>
      </c>
    </row>
    <row r="25" spans="1:8" x14ac:dyDescent="0.3">
      <c r="A25" s="1">
        <v>5</v>
      </c>
      <c r="B25" s="1">
        <v>6</v>
      </c>
      <c r="C25" s="1">
        <f t="shared" si="0"/>
        <v>-1</v>
      </c>
    </row>
    <row r="26" spans="1:8" x14ac:dyDescent="0.3">
      <c r="A26" s="1">
        <v>6</v>
      </c>
      <c r="B26" s="1">
        <v>6.5</v>
      </c>
      <c r="C26" s="1">
        <f t="shared" si="0"/>
        <v>-0.5</v>
      </c>
    </row>
    <row r="27" spans="1:8" x14ac:dyDescent="0.3">
      <c r="A27" s="1">
        <v>9</v>
      </c>
      <c r="B27" s="1">
        <v>4</v>
      </c>
      <c r="C27" s="1">
        <f t="shared" si="0"/>
        <v>5</v>
      </c>
    </row>
    <row r="28" spans="1:8" x14ac:dyDescent="0.3">
      <c r="A28" s="1">
        <v>9</v>
      </c>
      <c r="B28" s="1">
        <v>3</v>
      </c>
      <c r="C28" s="1">
        <f t="shared" si="0"/>
        <v>6</v>
      </c>
    </row>
    <row r="29" spans="1:8" x14ac:dyDescent="0.3">
      <c r="A29" s="1">
        <v>7</v>
      </c>
      <c r="B29" s="1">
        <v>5.5</v>
      </c>
      <c r="C29" s="1">
        <f t="shared" si="0"/>
        <v>1.5</v>
      </c>
    </row>
    <row r="30" spans="1:8" x14ac:dyDescent="0.3">
      <c r="A30" s="1">
        <v>8</v>
      </c>
      <c r="B30" s="1">
        <v>5</v>
      </c>
      <c r="C30" s="1">
        <f t="shared" si="0"/>
        <v>3</v>
      </c>
    </row>
    <row r="31" spans="1:8" x14ac:dyDescent="0.3">
      <c r="A31" s="1">
        <v>9</v>
      </c>
      <c r="B31" s="1">
        <v>4.5</v>
      </c>
      <c r="C31" s="1">
        <f t="shared" si="0"/>
        <v>4.5</v>
      </c>
    </row>
    <row r="32" spans="1:8" x14ac:dyDescent="0.3">
      <c r="A32" s="1">
        <v>9</v>
      </c>
      <c r="B32" s="1">
        <v>7</v>
      </c>
      <c r="C32" s="1">
        <f t="shared" si="0"/>
        <v>2</v>
      </c>
    </row>
    <row r="33" spans="1:3" x14ac:dyDescent="0.3">
      <c r="A33" s="1">
        <v>8</v>
      </c>
      <c r="B33" s="1">
        <v>7</v>
      </c>
      <c r="C33" s="1">
        <f t="shared" si="0"/>
        <v>1</v>
      </c>
    </row>
    <row r="34" spans="1:3" x14ac:dyDescent="0.3">
      <c r="A34" s="1">
        <v>8.5</v>
      </c>
      <c r="B34" s="1">
        <v>5</v>
      </c>
      <c r="C34" s="1">
        <f t="shared" si="0"/>
        <v>3.5</v>
      </c>
    </row>
    <row r="35" spans="1:3" x14ac:dyDescent="0.3">
      <c r="A35" s="1">
        <v>7.5</v>
      </c>
      <c r="B35" s="1">
        <v>5.5</v>
      </c>
      <c r="C35" s="1">
        <f t="shared" si="0"/>
        <v>2</v>
      </c>
    </row>
    <row r="36" spans="1:3" x14ac:dyDescent="0.3">
      <c r="A36" s="1">
        <v>8</v>
      </c>
      <c r="B36" s="1">
        <v>8</v>
      </c>
      <c r="C36" s="1">
        <f t="shared" si="0"/>
        <v>0</v>
      </c>
    </row>
    <row r="37" spans="1:3" x14ac:dyDescent="0.3">
      <c r="A37" s="1">
        <v>8</v>
      </c>
      <c r="B37" s="1">
        <v>5</v>
      </c>
      <c r="C37" s="1">
        <f t="shared" si="0"/>
        <v>3</v>
      </c>
    </row>
    <row r="38" spans="1:3" x14ac:dyDescent="0.3">
      <c r="A38" s="1">
        <v>8</v>
      </c>
      <c r="B38" s="1">
        <v>5</v>
      </c>
      <c r="C38" s="1">
        <f t="shared" si="0"/>
        <v>3</v>
      </c>
    </row>
    <row r="39" spans="1:3" x14ac:dyDescent="0.3">
      <c r="A39" s="1">
        <v>8.5</v>
      </c>
      <c r="B39" s="1">
        <v>5</v>
      </c>
      <c r="C39" s="1">
        <f t="shared" si="0"/>
        <v>3.5</v>
      </c>
    </row>
    <row r="40" spans="1:3" x14ac:dyDescent="0.3">
      <c r="A40" s="1">
        <v>8.5</v>
      </c>
      <c r="B40" s="1">
        <v>5.5</v>
      </c>
      <c r="C40" s="1">
        <f t="shared" si="0"/>
        <v>3</v>
      </c>
    </row>
    <row r="41" spans="1:3" x14ac:dyDescent="0.3">
      <c r="A41" s="1">
        <v>7</v>
      </c>
      <c r="B41" s="1">
        <v>6</v>
      </c>
      <c r="C41" s="1">
        <f t="shared" si="0"/>
        <v>1</v>
      </c>
    </row>
    <row r="42" spans="1:3" x14ac:dyDescent="0.3">
      <c r="A42" s="1">
        <v>7</v>
      </c>
      <c r="B42" s="1">
        <v>7</v>
      </c>
      <c r="C42" s="1">
        <f t="shared" si="0"/>
        <v>0</v>
      </c>
    </row>
    <row r="43" spans="1:3" x14ac:dyDescent="0.3">
      <c r="A43" s="1">
        <v>7</v>
      </c>
      <c r="B43" s="1">
        <v>8</v>
      </c>
      <c r="C43" s="1">
        <f t="shared" si="0"/>
        <v>-1</v>
      </c>
    </row>
    <row r="44" spans="1:3" x14ac:dyDescent="0.3">
      <c r="A44" s="1">
        <v>6.5</v>
      </c>
      <c r="B44" s="1">
        <v>8</v>
      </c>
      <c r="C44" s="1">
        <f t="shared" si="0"/>
        <v>-1.5</v>
      </c>
    </row>
    <row r="45" spans="1:3" x14ac:dyDescent="0.3">
      <c r="A45" s="1">
        <v>7</v>
      </c>
      <c r="B45" s="1">
        <v>6</v>
      </c>
      <c r="C45" s="1">
        <f t="shared" si="0"/>
        <v>1</v>
      </c>
    </row>
    <row r="46" spans="1:3" x14ac:dyDescent="0.3">
      <c r="A46" s="1">
        <v>5.5</v>
      </c>
      <c r="B46" s="1">
        <v>4</v>
      </c>
      <c r="C46" s="1">
        <f t="shared" si="0"/>
        <v>1.5</v>
      </c>
    </row>
    <row r="47" spans="1:3" x14ac:dyDescent="0.3">
      <c r="A47" s="1">
        <v>8</v>
      </c>
      <c r="B47" s="1">
        <v>7</v>
      </c>
      <c r="C47" s="1">
        <f t="shared" si="0"/>
        <v>1</v>
      </c>
    </row>
    <row r="48" spans="1:3" x14ac:dyDescent="0.3">
      <c r="A48" s="1">
        <v>8</v>
      </c>
      <c r="B48" s="1">
        <v>6</v>
      </c>
      <c r="C48" s="1">
        <f t="shared" si="0"/>
        <v>2</v>
      </c>
    </row>
    <row r="49" spans="1:3" x14ac:dyDescent="0.3">
      <c r="A49" s="1">
        <v>5</v>
      </c>
      <c r="B49" s="1">
        <v>5</v>
      </c>
      <c r="C49" s="1">
        <f t="shared" si="0"/>
        <v>0</v>
      </c>
    </row>
    <row r="50" spans="1:3" x14ac:dyDescent="0.3">
      <c r="A50" s="1">
        <v>7</v>
      </c>
      <c r="B50" s="1">
        <v>7</v>
      </c>
      <c r="C50" s="1">
        <f t="shared" si="0"/>
        <v>0</v>
      </c>
    </row>
    <row r="51" spans="1:3" x14ac:dyDescent="0.3">
      <c r="A51" s="1">
        <v>8.5</v>
      </c>
      <c r="B51" s="1">
        <v>5</v>
      </c>
      <c r="C51" s="1">
        <f t="shared" si="0"/>
        <v>3.5</v>
      </c>
    </row>
    <row r="52" spans="1:3" x14ac:dyDescent="0.3">
      <c r="A52" s="1">
        <v>5</v>
      </c>
      <c r="B52" s="1">
        <v>6</v>
      </c>
      <c r="C52" s="1">
        <f t="shared" si="0"/>
        <v>-1</v>
      </c>
    </row>
    <row r="53" spans="1:3" x14ac:dyDescent="0.3">
      <c r="A53" s="1">
        <v>6.5</v>
      </c>
      <c r="B53" s="1">
        <v>5</v>
      </c>
      <c r="C53" s="1">
        <f t="shared" si="0"/>
        <v>1.5</v>
      </c>
    </row>
    <row r="54" spans="1:3" x14ac:dyDescent="0.3">
      <c r="A54" s="1">
        <v>7</v>
      </c>
      <c r="B54" s="1">
        <v>3</v>
      </c>
      <c r="C54" s="1">
        <f t="shared" si="0"/>
        <v>4</v>
      </c>
    </row>
    <row r="55" spans="1:3" x14ac:dyDescent="0.3">
      <c r="A55" s="1">
        <v>8</v>
      </c>
      <c r="B55" s="1">
        <v>6</v>
      </c>
      <c r="C55" s="1">
        <f t="shared" si="0"/>
        <v>2</v>
      </c>
    </row>
    <row r="56" spans="1:3" x14ac:dyDescent="0.3">
      <c r="A56" s="1">
        <v>8.5</v>
      </c>
      <c r="B56" s="1">
        <v>4</v>
      </c>
      <c r="C56" s="1">
        <f t="shared" si="0"/>
        <v>4.5</v>
      </c>
    </row>
    <row r="57" spans="1:3" x14ac:dyDescent="0.3">
      <c r="A57" s="1">
        <v>6.5</v>
      </c>
      <c r="B57" s="1">
        <v>5</v>
      </c>
      <c r="C57" s="1">
        <f t="shared" si="0"/>
        <v>1.5</v>
      </c>
    </row>
    <row r="58" spans="1:3" x14ac:dyDescent="0.3">
      <c r="A58" s="1">
        <v>9</v>
      </c>
      <c r="B58" s="1">
        <v>5</v>
      </c>
      <c r="C58" s="1">
        <f t="shared" si="0"/>
        <v>4</v>
      </c>
    </row>
    <row r="59" spans="1:3" x14ac:dyDescent="0.3">
      <c r="A59" s="1">
        <v>8.5</v>
      </c>
      <c r="B59" s="1">
        <v>5</v>
      </c>
      <c r="C59" s="1">
        <f t="shared" si="0"/>
        <v>3.5</v>
      </c>
    </row>
    <row r="60" spans="1:3" x14ac:dyDescent="0.3">
      <c r="A60" s="1">
        <v>7</v>
      </c>
      <c r="B60" s="1">
        <v>6</v>
      </c>
      <c r="C60" s="1">
        <f t="shared" si="0"/>
        <v>1</v>
      </c>
    </row>
    <row r="61" spans="1:3" x14ac:dyDescent="0.3">
      <c r="A61" s="1">
        <v>7</v>
      </c>
      <c r="B61" s="1">
        <v>6</v>
      </c>
      <c r="C61" s="1">
        <f t="shared" si="0"/>
        <v>1</v>
      </c>
    </row>
    <row r="62" spans="1:3" x14ac:dyDescent="0.3">
      <c r="A62" s="1">
        <v>6</v>
      </c>
      <c r="B62" s="1">
        <v>5</v>
      </c>
      <c r="C62" s="1">
        <f t="shared" si="0"/>
        <v>1</v>
      </c>
    </row>
    <row r="63" spans="1:3" x14ac:dyDescent="0.3">
      <c r="A63" s="1">
        <v>6</v>
      </c>
      <c r="B63" s="1">
        <v>5</v>
      </c>
      <c r="C63" s="1">
        <f t="shared" si="0"/>
        <v>1</v>
      </c>
    </row>
    <row r="64" spans="1:3" x14ac:dyDescent="0.3">
      <c r="A64" s="1">
        <v>7.5</v>
      </c>
      <c r="B64" s="1">
        <v>6</v>
      </c>
      <c r="C64" s="1">
        <f t="shared" si="0"/>
        <v>1.5</v>
      </c>
    </row>
    <row r="65" spans="1:3" x14ac:dyDescent="0.3">
      <c r="A65" s="1">
        <v>6</v>
      </c>
      <c r="B65" s="1">
        <v>6</v>
      </c>
      <c r="C65" s="1">
        <f t="shared" si="0"/>
        <v>0</v>
      </c>
    </row>
    <row r="66" spans="1:3" x14ac:dyDescent="0.3">
      <c r="A66" s="1">
        <v>7</v>
      </c>
      <c r="B66" s="1">
        <v>5.5</v>
      </c>
      <c r="C66" s="1">
        <f t="shared" si="0"/>
        <v>1.5</v>
      </c>
    </row>
    <row r="67" spans="1:3" x14ac:dyDescent="0.3">
      <c r="A67" s="1">
        <v>8.5</v>
      </c>
      <c r="B67" s="1">
        <v>5</v>
      </c>
      <c r="C67" s="1">
        <f t="shared" ref="C67:C81" si="1">A67-B67</f>
        <v>3.5</v>
      </c>
    </row>
    <row r="68" spans="1:3" x14ac:dyDescent="0.3">
      <c r="A68" s="1">
        <v>9</v>
      </c>
      <c r="B68" s="1">
        <v>6.5</v>
      </c>
      <c r="C68" s="1">
        <f t="shared" si="1"/>
        <v>2.5</v>
      </c>
    </row>
    <row r="69" spans="1:3" x14ac:dyDescent="0.3">
      <c r="A69" s="1">
        <v>7</v>
      </c>
      <c r="B69" s="1">
        <v>6</v>
      </c>
      <c r="C69" s="1">
        <f t="shared" si="1"/>
        <v>1</v>
      </c>
    </row>
    <row r="70" spans="1:3" x14ac:dyDescent="0.3">
      <c r="A70" s="1">
        <v>8.5</v>
      </c>
      <c r="B70" s="1">
        <v>5</v>
      </c>
      <c r="C70" s="1">
        <f t="shared" si="1"/>
        <v>3.5</v>
      </c>
    </row>
    <row r="71" spans="1:3" x14ac:dyDescent="0.3">
      <c r="A71" s="1">
        <v>7</v>
      </c>
      <c r="B71" s="1">
        <v>8</v>
      </c>
      <c r="C71" s="1">
        <f t="shared" si="1"/>
        <v>-1</v>
      </c>
    </row>
    <row r="72" spans="1:3" x14ac:dyDescent="0.3">
      <c r="A72" s="1">
        <v>7</v>
      </c>
      <c r="B72" s="1">
        <v>8</v>
      </c>
      <c r="C72" s="1">
        <f t="shared" si="1"/>
        <v>-1</v>
      </c>
    </row>
    <row r="73" spans="1:3" x14ac:dyDescent="0.3">
      <c r="A73" s="1">
        <v>9</v>
      </c>
      <c r="B73" s="1">
        <v>7</v>
      </c>
      <c r="C73" s="1">
        <f t="shared" si="1"/>
        <v>2</v>
      </c>
    </row>
    <row r="74" spans="1:3" x14ac:dyDescent="0.3">
      <c r="A74" s="1">
        <v>9</v>
      </c>
      <c r="B74" s="1">
        <v>6</v>
      </c>
      <c r="C74" s="1">
        <f t="shared" si="1"/>
        <v>3</v>
      </c>
    </row>
    <row r="75" spans="1:3" x14ac:dyDescent="0.3">
      <c r="A75" s="1">
        <v>8</v>
      </c>
      <c r="B75" s="1">
        <v>5</v>
      </c>
      <c r="C75" s="1">
        <f t="shared" si="1"/>
        <v>3</v>
      </c>
    </row>
    <row r="76" spans="1:3" x14ac:dyDescent="0.3">
      <c r="A76" s="1">
        <v>6</v>
      </c>
      <c r="B76" s="1">
        <v>4.5</v>
      </c>
      <c r="C76" s="1">
        <f t="shared" si="1"/>
        <v>1.5</v>
      </c>
    </row>
    <row r="77" spans="1:3" x14ac:dyDescent="0.3">
      <c r="A77" s="1">
        <v>7</v>
      </c>
      <c r="B77" s="1">
        <v>6</v>
      </c>
      <c r="C77" s="1">
        <f t="shared" si="1"/>
        <v>1</v>
      </c>
    </row>
    <row r="78" spans="1:3" x14ac:dyDescent="0.3">
      <c r="A78" s="1">
        <v>9</v>
      </c>
      <c r="B78" s="1">
        <v>6</v>
      </c>
      <c r="C78" s="1">
        <f t="shared" si="1"/>
        <v>3</v>
      </c>
    </row>
    <row r="79" spans="1:3" x14ac:dyDescent="0.3">
      <c r="A79" s="1">
        <v>6.5</v>
      </c>
      <c r="B79" s="1">
        <v>4</v>
      </c>
      <c r="C79" s="1">
        <f t="shared" si="1"/>
        <v>2.5</v>
      </c>
    </row>
    <row r="80" spans="1:3" x14ac:dyDescent="0.3">
      <c r="A80" s="1">
        <v>9</v>
      </c>
      <c r="B80" s="1">
        <v>5</v>
      </c>
      <c r="C80" s="1">
        <f t="shared" si="1"/>
        <v>4</v>
      </c>
    </row>
    <row r="81" spans="1:3" x14ac:dyDescent="0.3">
      <c r="A81" s="1">
        <v>7</v>
      </c>
      <c r="B81" s="1">
        <v>4</v>
      </c>
      <c r="C81" s="1">
        <f t="shared" si="1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EDD5-F5FD-4378-8A70-885154F07988}">
  <dimension ref="A1:K81"/>
  <sheetViews>
    <sheetView workbookViewId="0">
      <selection activeCell="G23" sqref="G23"/>
    </sheetView>
  </sheetViews>
  <sheetFormatPr defaultRowHeight="14.4" x14ac:dyDescent="0.3"/>
  <cols>
    <col min="2" max="2" width="13.6640625" customWidth="1"/>
    <col min="7" max="7" width="18.21875" customWidth="1"/>
  </cols>
  <sheetData>
    <row r="1" spans="1:11" x14ac:dyDescent="0.3">
      <c r="A1" s="4" t="s">
        <v>5</v>
      </c>
      <c r="B1" s="4" t="s">
        <v>13</v>
      </c>
      <c r="G1" t="s">
        <v>63</v>
      </c>
    </row>
    <row r="2" spans="1:11" x14ac:dyDescent="0.3">
      <c r="A2" s="3">
        <v>1</v>
      </c>
      <c r="B2" s="3">
        <v>2</v>
      </c>
      <c r="G2" t="s">
        <v>64</v>
      </c>
    </row>
    <row r="3" spans="1:11" x14ac:dyDescent="0.3">
      <c r="A3" s="3">
        <v>1</v>
      </c>
      <c r="B3" s="3">
        <v>2</v>
      </c>
    </row>
    <row r="4" spans="1:11" x14ac:dyDescent="0.3">
      <c r="A4" s="3">
        <v>1</v>
      </c>
      <c r="B4" s="3">
        <v>2</v>
      </c>
    </row>
    <row r="5" spans="1:11" x14ac:dyDescent="0.3">
      <c r="A5" s="3">
        <v>1</v>
      </c>
      <c r="B5" s="3">
        <v>2</v>
      </c>
      <c r="G5" t="s">
        <v>54</v>
      </c>
      <c r="H5" t="s">
        <v>65</v>
      </c>
      <c r="I5" t="s">
        <v>66</v>
      </c>
      <c r="J5" t="s">
        <v>67</v>
      </c>
      <c r="K5" t="s">
        <v>55</v>
      </c>
    </row>
    <row r="6" spans="1:11" x14ac:dyDescent="0.3">
      <c r="A6" s="3">
        <v>1</v>
      </c>
      <c r="B6" s="3">
        <v>2</v>
      </c>
      <c r="G6" t="s">
        <v>68</v>
      </c>
      <c r="H6">
        <f>COUNTIFS($A:$A,1,$B:$B,"2")</f>
        <v>18</v>
      </c>
      <c r="I6">
        <f>COUNTIFS($A:$A,2,$B:$B,"2")</f>
        <v>14</v>
      </c>
      <c r="J6">
        <f>COUNTIFS($A:$A,3,$B:$B,"2")</f>
        <v>8</v>
      </c>
      <c r="K6">
        <f>SUM(H6:J6)</f>
        <v>40</v>
      </c>
    </row>
    <row r="7" spans="1:11" x14ac:dyDescent="0.3">
      <c r="A7" s="3">
        <v>1</v>
      </c>
      <c r="B7" s="3">
        <v>2</v>
      </c>
      <c r="G7" t="s">
        <v>69</v>
      </c>
      <c r="H7">
        <f>COUNTIFS($A:$A,1,$B:$B,"3")</f>
        <v>10</v>
      </c>
      <c r="I7">
        <f>COUNTIFS($A:$A,2,$B:$B,"3")</f>
        <v>17</v>
      </c>
      <c r="J7">
        <f>COUNTIFS($A:$A,3,$B:$B,"3")</f>
        <v>13</v>
      </c>
      <c r="K7">
        <f>SUM(H7:J7)</f>
        <v>40</v>
      </c>
    </row>
    <row r="8" spans="1:11" x14ac:dyDescent="0.3">
      <c r="A8" s="3">
        <v>1</v>
      </c>
      <c r="B8" s="3">
        <v>2</v>
      </c>
      <c r="G8" t="s">
        <v>56</v>
      </c>
      <c r="H8">
        <f>SUM(H6:H7)</f>
        <v>28</v>
      </c>
      <c r="I8">
        <f t="shared" ref="I8:J8" si="0">SUM(I6:I7)</f>
        <v>31</v>
      </c>
      <c r="J8">
        <f t="shared" si="0"/>
        <v>21</v>
      </c>
      <c r="K8">
        <f>SUM(K6:K7)</f>
        <v>80</v>
      </c>
    </row>
    <row r="9" spans="1:11" x14ac:dyDescent="0.3">
      <c r="A9" s="3">
        <v>1</v>
      </c>
      <c r="B9" s="3">
        <v>3</v>
      </c>
    </row>
    <row r="10" spans="1:11" x14ac:dyDescent="0.3">
      <c r="A10" s="3">
        <v>1</v>
      </c>
      <c r="B10" s="3">
        <v>3</v>
      </c>
      <c r="G10" t="s">
        <v>57</v>
      </c>
      <c r="H10" t="s">
        <v>65</v>
      </c>
      <c r="I10" t="s">
        <v>66</v>
      </c>
      <c r="J10" t="s">
        <v>67</v>
      </c>
    </row>
    <row r="11" spans="1:11" x14ac:dyDescent="0.3">
      <c r="A11" s="3">
        <v>1</v>
      </c>
      <c r="B11" s="3">
        <v>2</v>
      </c>
      <c r="G11" t="s">
        <v>68</v>
      </c>
      <c r="H11">
        <f>H8*$K$6/$K$8</f>
        <v>14</v>
      </c>
      <c r="I11">
        <f>I8*$K$6/$K$8</f>
        <v>15.5</v>
      </c>
      <c r="J11">
        <f>J8*$K$6/$K$8</f>
        <v>10.5</v>
      </c>
    </row>
    <row r="12" spans="1:11" x14ac:dyDescent="0.3">
      <c r="A12" s="3">
        <v>1</v>
      </c>
      <c r="B12" s="3">
        <v>2</v>
      </c>
      <c r="G12" t="s">
        <v>69</v>
      </c>
      <c r="H12">
        <f>H8*$K$7/$K$8</f>
        <v>14</v>
      </c>
      <c r="I12">
        <f>I8*$K$7/$K$8</f>
        <v>15.5</v>
      </c>
      <c r="J12">
        <f t="shared" ref="J12" si="1">J8*$K$7/$K$8</f>
        <v>10.5</v>
      </c>
    </row>
    <row r="13" spans="1:11" x14ac:dyDescent="0.3">
      <c r="A13" s="3">
        <v>1</v>
      </c>
      <c r="B13" s="3">
        <v>2</v>
      </c>
    </row>
    <row r="14" spans="1:11" x14ac:dyDescent="0.3">
      <c r="A14" s="3">
        <v>1</v>
      </c>
      <c r="B14" s="3">
        <v>2</v>
      </c>
      <c r="G14" t="s">
        <v>58</v>
      </c>
      <c r="H14" t="s">
        <v>65</v>
      </c>
      <c r="I14" t="s">
        <v>66</v>
      </c>
      <c r="J14" t="s">
        <v>67</v>
      </c>
    </row>
    <row r="15" spans="1:11" x14ac:dyDescent="0.3">
      <c r="A15" s="3">
        <v>1</v>
      </c>
      <c r="B15" s="3">
        <v>2</v>
      </c>
      <c r="G15" t="s">
        <v>68</v>
      </c>
      <c r="H15">
        <f>(H6-H11)^2/H11</f>
        <v>1.1428571428571428</v>
      </c>
      <c r="I15">
        <f t="shared" ref="I15:J16" si="2">(I6-I11)^2/I11</f>
        <v>0.14516129032258066</v>
      </c>
      <c r="J15">
        <f t="shared" si="2"/>
        <v>0.59523809523809523</v>
      </c>
    </row>
    <row r="16" spans="1:11" x14ac:dyDescent="0.3">
      <c r="A16" s="3">
        <v>1</v>
      </c>
      <c r="B16" s="3">
        <v>2</v>
      </c>
      <c r="G16" t="s">
        <v>69</v>
      </c>
      <c r="H16">
        <f>(H7-H12)^2/H12</f>
        <v>1.1428571428571428</v>
      </c>
      <c r="I16">
        <f t="shared" si="2"/>
        <v>0.14516129032258066</v>
      </c>
      <c r="J16">
        <f t="shared" si="2"/>
        <v>0.59523809523809523</v>
      </c>
    </row>
    <row r="17" spans="1:10" x14ac:dyDescent="0.3">
      <c r="A17" s="3">
        <v>1</v>
      </c>
      <c r="B17" s="3">
        <v>2</v>
      </c>
    </row>
    <row r="18" spans="1:10" x14ac:dyDescent="0.3">
      <c r="A18" s="3">
        <v>1</v>
      </c>
      <c r="B18" s="3">
        <v>2</v>
      </c>
      <c r="G18" t="s">
        <v>59</v>
      </c>
      <c r="H18">
        <f>SUM(H15:J16)</f>
        <v>3.7665130568356373</v>
      </c>
    </row>
    <row r="19" spans="1:10" x14ac:dyDescent="0.3">
      <c r="A19" s="3">
        <v>1</v>
      </c>
      <c r="B19" s="3">
        <v>3</v>
      </c>
      <c r="G19" t="s">
        <v>60</v>
      </c>
      <c r="H19">
        <f>_xlfn.CHISQ.INV.RT(5%,3-1)</f>
        <v>5.9914645471079817</v>
      </c>
    </row>
    <row r="20" spans="1:10" x14ac:dyDescent="0.3">
      <c r="A20" s="3">
        <v>1</v>
      </c>
      <c r="B20" s="3">
        <v>3</v>
      </c>
      <c r="G20" t="s">
        <v>61</v>
      </c>
    </row>
    <row r="21" spans="1:10" x14ac:dyDescent="0.3">
      <c r="A21" s="3">
        <v>1</v>
      </c>
      <c r="B21" s="3">
        <v>3</v>
      </c>
      <c r="G21" t="s">
        <v>45</v>
      </c>
      <c r="H21">
        <f>_xlfn.CHISQ.DIST.RT(H18,3-1)</f>
        <v>0.1520939999709362</v>
      </c>
      <c r="I21" t="s">
        <v>62</v>
      </c>
      <c r="J21">
        <v>0.05</v>
      </c>
    </row>
    <row r="22" spans="1:10" x14ac:dyDescent="0.3">
      <c r="A22" s="3">
        <v>1</v>
      </c>
      <c r="B22" s="3">
        <v>3</v>
      </c>
      <c r="G22" t="s">
        <v>115</v>
      </c>
    </row>
    <row r="23" spans="1:10" x14ac:dyDescent="0.3">
      <c r="A23" s="3">
        <v>1</v>
      </c>
      <c r="B23" s="3">
        <v>3</v>
      </c>
    </row>
    <row r="24" spans="1:10" x14ac:dyDescent="0.3">
      <c r="A24" s="3">
        <v>1</v>
      </c>
      <c r="B24" s="3">
        <v>2</v>
      </c>
    </row>
    <row r="25" spans="1:10" x14ac:dyDescent="0.3">
      <c r="A25" s="3">
        <v>1</v>
      </c>
      <c r="B25" s="3">
        <v>2</v>
      </c>
    </row>
    <row r="26" spans="1:10" x14ac:dyDescent="0.3">
      <c r="A26" s="3">
        <v>1</v>
      </c>
      <c r="B26" s="3">
        <v>2</v>
      </c>
    </row>
    <row r="27" spans="1:10" x14ac:dyDescent="0.3">
      <c r="A27" s="3">
        <v>1</v>
      </c>
      <c r="B27" s="3">
        <v>3</v>
      </c>
    </row>
    <row r="28" spans="1:10" x14ac:dyDescent="0.3">
      <c r="A28" s="3">
        <v>1</v>
      </c>
      <c r="B28" s="3">
        <v>3</v>
      </c>
    </row>
    <row r="29" spans="1:10" x14ac:dyDescent="0.3">
      <c r="A29" s="3">
        <v>1</v>
      </c>
      <c r="B29" s="3">
        <v>3</v>
      </c>
    </row>
    <row r="30" spans="1:10" x14ac:dyDescent="0.3">
      <c r="A30" s="3">
        <v>2</v>
      </c>
      <c r="B30" s="3">
        <v>2</v>
      </c>
    </row>
    <row r="31" spans="1:10" x14ac:dyDescent="0.3">
      <c r="A31" s="3">
        <v>2</v>
      </c>
      <c r="B31" s="3">
        <v>2</v>
      </c>
    </row>
    <row r="32" spans="1:10" x14ac:dyDescent="0.3">
      <c r="A32" s="3">
        <v>2</v>
      </c>
      <c r="B32" s="3">
        <v>2</v>
      </c>
    </row>
    <row r="33" spans="1:2" x14ac:dyDescent="0.3">
      <c r="A33" s="3">
        <v>2</v>
      </c>
      <c r="B33" s="3">
        <v>2</v>
      </c>
    </row>
    <row r="34" spans="1:2" x14ac:dyDescent="0.3">
      <c r="A34" s="3">
        <v>2</v>
      </c>
      <c r="B34" s="3">
        <v>2</v>
      </c>
    </row>
    <row r="35" spans="1:2" x14ac:dyDescent="0.3">
      <c r="A35" s="3">
        <v>2</v>
      </c>
      <c r="B35" s="3">
        <v>3</v>
      </c>
    </row>
    <row r="36" spans="1:2" x14ac:dyDescent="0.3">
      <c r="A36" s="3">
        <v>2</v>
      </c>
      <c r="B36" s="3">
        <v>3</v>
      </c>
    </row>
    <row r="37" spans="1:2" x14ac:dyDescent="0.3">
      <c r="A37" s="3">
        <v>2</v>
      </c>
      <c r="B37" s="3">
        <v>3</v>
      </c>
    </row>
    <row r="38" spans="1:2" x14ac:dyDescent="0.3">
      <c r="A38" s="3">
        <v>2</v>
      </c>
      <c r="B38" s="3">
        <v>3</v>
      </c>
    </row>
    <row r="39" spans="1:2" x14ac:dyDescent="0.3">
      <c r="A39" s="3">
        <v>2</v>
      </c>
      <c r="B39" s="3">
        <v>3</v>
      </c>
    </row>
    <row r="40" spans="1:2" x14ac:dyDescent="0.3">
      <c r="A40" s="3">
        <v>2</v>
      </c>
      <c r="B40" s="3">
        <v>3</v>
      </c>
    </row>
    <row r="41" spans="1:2" x14ac:dyDescent="0.3">
      <c r="A41" s="3">
        <v>2</v>
      </c>
      <c r="B41" s="3">
        <v>3</v>
      </c>
    </row>
    <row r="42" spans="1:2" x14ac:dyDescent="0.3">
      <c r="A42" s="3">
        <v>2</v>
      </c>
      <c r="B42" s="3">
        <v>3</v>
      </c>
    </row>
    <row r="43" spans="1:2" x14ac:dyDescent="0.3">
      <c r="A43" s="3">
        <v>2</v>
      </c>
      <c r="B43" s="3">
        <v>3</v>
      </c>
    </row>
    <row r="44" spans="1:2" x14ac:dyDescent="0.3">
      <c r="A44" s="3">
        <v>2</v>
      </c>
      <c r="B44" s="3">
        <v>3</v>
      </c>
    </row>
    <row r="45" spans="1:2" x14ac:dyDescent="0.3">
      <c r="A45" s="3">
        <v>2</v>
      </c>
      <c r="B45" s="3">
        <v>3</v>
      </c>
    </row>
    <row r="46" spans="1:2" x14ac:dyDescent="0.3">
      <c r="A46" s="3">
        <v>2</v>
      </c>
      <c r="B46" s="3">
        <v>2</v>
      </c>
    </row>
    <row r="47" spans="1:2" x14ac:dyDescent="0.3">
      <c r="A47" s="3">
        <v>2</v>
      </c>
      <c r="B47" s="3">
        <v>2</v>
      </c>
    </row>
    <row r="48" spans="1:2" x14ac:dyDescent="0.3">
      <c r="A48" s="3">
        <v>2</v>
      </c>
      <c r="B48" s="3">
        <v>2</v>
      </c>
    </row>
    <row r="49" spans="1:2" x14ac:dyDescent="0.3">
      <c r="A49" s="3">
        <v>2</v>
      </c>
      <c r="B49" s="3">
        <v>2</v>
      </c>
    </row>
    <row r="50" spans="1:2" x14ac:dyDescent="0.3">
      <c r="A50" s="3">
        <v>2</v>
      </c>
      <c r="B50" s="3">
        <v>2</v>
      </c>
    </row>
    <row r="51" spans="1:2" x14ac:dyDescent="0.3">
      <c r="A51" s="3">
        <v>2</v>
      </c>
      <c r="B51" s="3">
        <v>3</v>
      </c>
    </row>
    <row r="52" spans="1:2" x14ac:dyDescent="0.3">
      <c r="A52" s="3">
        <v>2</v>
      </c>
      <c r="B52" s="3">
        <v>3</v>
      </c>
    </row>
    <row r="53" spans="1:2" x14ac:dyDescent="0.3">
      <c r="A53" s="3">
        <v>2</v>
      </c>
      <c r="B53" s="3">
        <v>3</v>
      </c>
    </row>
    <row r="54" spans="1:2" x14ac:dyDescent="0.3">
      <c r="A54" s="3">
        <v>2</v>
      </c>
      <c r="B54" s="3">
        <v>3</v>
      </c>
    </row>
    <row r="55" spans="1:2" x14ac:dyDescent="0.3">
      <c r="A55" s="3">
        <v>2</v>
      </c>
      <c r="B55" s="3">
        <v>2</v>
      </c>
    </row>
    <row r="56" spans="1:2" x14ac:dyDescent="0.3">
      <c r="A56" s="3">
        <v>2</v>
      </c>
      <c r="B56" s="3">
        <v>2</v>
      </c>
    </row>
    <row r="57" spans="1:2" x14ac:dyDescent="0.3">
      <c r="A57" s="3">
        <v>2</v>
      </c>
      <c r="B57" s="3">
        <v>2</v>
      </c>
    </row>
    <row r="58" spans="1:2" x14ac:dyDescent="0.3">
      <c r="A58" s="3">
        <v>2</v>
      </c>
      <c r="B58" s="3">
        <v>2</v>
      </c>
    </row>
    <row r="59" spans="1:2" x14ac:dyDescent="0.3">
      <c r="A59" s="3">
        <v>2</v>
      </c>
      <c r="B59" s="3">
        <v>3</v>
      </c>
    </row>
    <row r="60" spans="1:2" x14ac:dyDescent="0.3">
      <c r="A60" s="3">
        <v>2</v>
      </c>
      <c r="B60" s="3">
        <v>3</v>
      </c>
    </row>
    <row r="61" spans="1:2" x14ac:dyDescent="0.3">
      <c r="A61" s="3">
        <v>3</v>
      </c>
      <c r="B61" s="3">
        <v>2</v>
      </c>
    </row>
    <row r="62" spans="1:2" x14ac:dyDescent="0.3">
      <c r="A62" s="3">
        <v>3</v>
      </c>
      <c r="B62" s="3">
        <v>2</v>
      </c>
    </row>
    <row r="63" spans="1:2" x14ac:dyDescent="0.3">
      <c r="A63" s="3">
        <v>3</v>
      </c>
      <c r="B63" s="3">
        <v>3</v>
      </c>
    </row>
    <row r="64" spans="1:2" x14ac:dyDescent="0.3">
      <c r="A64" s="3">
        <v>3</v>
      </c>
      <c r="B64" s="3">
        <v>3</v>
      </c>
    </row>
    <row r="65" spans="1:2" x14ac:dyDescent="0.3">
      <c r="A65" s="3">
        <v>3</v>
      </c>
      <c r="B65" s="3">
        <v>3</v>
      </c>
    </row>
    <row r="66" spans="1:2" x14ac:dyDescent="0.3">
      <c r="A66" s="3">
        <v>3</v>
      </c>
      <c r="B66" s="3">
        <v>2</v>
      </c>
    </row>
    <row r="67" spans="1:2" x14ac:dyDescent="0.3">
      <c r="A67" s="3">
        <v>3</v>
      </c>
      <c r="B67" s="3">
        <v>3</v>
      </c>
    </row>
    <row r="68" spans="1:2" x14ac:dyDescent="0.3">
      <c r="A68" s="3">
        <v>3</v>
      </c>
      <c r="B68" s="3">
        <v>3</v>
      </c>
    </row>
    <row r="69" spans="1:2" x14ac:dyDescent="0.3">
      <c r="A69" s="3">
        <v>3</v>
      </c>
      <c r="B69" s="3">
        <v>2</v>
      </c>
    </row>
    <row r="70" spans="1:2" x14ac:dyDescent="0.3">
      <c r="A70" s="3">
        <v>3</v>
      </c>
      <c r="B70" s="3">
        <v>2</v>
      </c>
    </row>
    <row r="71" spans="1:2" x14ac:dyDescent="0.3">
      <c r="A71" s="3">
        <v>3</v>
      </c>
      <c r="B71" s="3">
        <v>2</v>
      </c>
    </row>
    <row r="72" spans="1:2" x14ac:dyDescent="0.3">
      <c r="A72" s="3">
        <v>3</v>
      </c>
      <c r="B72" s="3">
        <v>2</v>
      </c>
    </row>
    <row r="73" spans="1:2" x14ac:dyDescent="0.3">
      <c r="A73" s="3">
        <v>3</v>
      </c>
      <c r="B73" s="3">
        <v>2</v>
      </c>
    </row>
    <row r="74" spans="1:2" x14ac:dyDescent="0.3">
      <c r="A74" s="3">
        <v>3</v>
      </c>
      <c r="B74" s="3">
        <v>3</v>
      </c>
    </row>
    <row r="75" spans="1:2" x14ac:dyDescent="0.3">
      <c r="A75" s="3">
        <v>3</v>
      </c>
      <c r="B75" s="3">
        <v>3</v>
      </c>
    </row>
    <row r="76" spans="1:2" x14ac:dyDescent="0.3">
      <c r="A76" s="3">
        <v>3</v>
      </c>
      <c r="B76" s="3">
        <v>3</v>
      </c>
    </row>
    <row r="77" spans="1:2" x14ac:dyDescent="0.3">
      <c r="A77" s="3">
        <v>3</v>
      </c>
      <c r="B77" s="3">
        <v>3</v>
      </c>
    </row>
    <row r="78" spans="1:2" x14ac:dyDescent="0.3">
      <c r="A78" s="3">
        <v>3</v>
      </c>
      <c r="B78" s="3">
        <v>3</v>
      </c>
    </row>
    <row r="79" spans="1:2" x14ac:dyDescent="0.3">
      <c r="A79" s="3">
        <v>3</v>
      </c>
      <c r="B79" s="3">
        <v>3</v>
      </c>
    </row>
    <row r="80" spans="1:2" x14ac:dyDescent="0.3">
      <c r="A80" s="3">
        <v>3</v>
      </c>
      <c r="B80" s="3">
        <v>3</v>
      </c>
    </row>
    <row r="81" spans="1:2" x14ac:dyDescent="0.3">
      <c r="A81" s="3">
        <v>3</v>
      </c>
      <c r="B81" s="3">
        <v>3</v>
      </c>
    </row>
  </sheetData>
  <autoFilter ref="A1:B81" xr:uid="{975FEDD5-F5FD-4378-8A70-885154F07988}">
    <sortState xmlns:xlrd2="http://schemas.microsoft.com/office/spreadsheetml/2017/richdata2" ref="A2:B81">
      <sortCondition ref="A1:A8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4D5F-6980-4F61-BB62-E0A3F2E018D9}">
  <dimension ref="A1:M101"/>
  <sheetViews>
    <sheetView workbookViewId="0">
      <selection activeCell="G14" sqref="G14"/>
    </sheetView>
  </sheetViews>
  <sheetFormatPr defaultRowHeight="14.4" x14ac:dyDescent="0.3"/>
  <cols>
    <col min="2" max="2" width="12.21875" customWidth="1"/>
    <col min="3" max="3" width="13.44140625" customWidth="1"/>
    <col min="4" max="4" width="16" customWidth="1"/>
    <col min="6" max="6" width="20.44140625" customWidth="1"/>
    <col min="10" max="10" width="17" customWidth="1"/>
    <col min="12" max="12" width="15.6640625" customWidth="1"/>
  </cols>
  <sheetData>
    <row r="1" spans="1:13" x14ac:dyDescent="0.3">
      <c r="A1" s="4" t="s">
        <v>12</v>
      </c>
      <c r="B1" s="4" t="s">
        <v>11</v>
      </c>
      <c r="C1" t="s">
        <v>78</v>
      </c>
      <c r="D1" t="s">
        <v>79</v>
      </c>
      <c r="F1" t="s">
        <v>80</v>
      </c>
    </row>
    <row r="2" spans="1:13" x14ac:dyDescent="0.3">
      <c r="A2" t="s">
        <v>1</v>
      </c>
      <c r="B2" s="2">
        <v>6.471830985915493</v>
      </c>
      <c r="C2" s="2">
        <f>B2-$G$4</f>
        <v>-2.0657276995303953E-2</v>
      </c>
      <c r="D2" s="8">
        <f>C2^2</f>
        <v>4.2672309286071391E-4</v>
      </c>
      <c r="F2" t="s">
        <v>81</v>
      </c>
    </row>
    <row r="3" spans="1:13" x14ac:dyDescent="0.3">
      <c r="A3" t="s">
        <v>1</v>
      </c>
      <c r="B3" s="2">
        <v>6.795774647887324</v>
      </c>
      <c r="C3" s="2">
        <f t="shared" ref="C3:C31" si="0">B3-$G$4</f>
        <v>0.30328638497652705</v>
      </c>
      <c r="D3" s="8">
        <f t="shared" ref="D3:D66" si="1">C3^2</f>
        <v>9.1982631312130164E-2</v>
      </c>
      <c r="G3" t="s">
        <v>1</v>
      </c>
      <c r="H3" t="s">
        <v>4</v>
      </c>
      <c r="I3" t="s">
        <v>2</v>
      </c>
      <c r="J3" t="s">
        <v>70</v>
      </c>
      <c r="L3" t="s">
        <v>83</v>
      </c>
      <c r="M3">
        <f>COUNT(B:B)</f>
        <v>80</v>
      </c>
    </row>
    <row r="4" spans="1:13" x14ac:dyDescent="0.3">
      <c r="A4" t="s">
        <v>1</v>
      </c>
      <c r="B4" s="2">
        <v>6.232394366197183</v>
      </c>
      <c r="C4" s="2">
        <f t="shared" si="0"/>
        <v>-0.26009389671361394</v>
      </c>
      <c r="D4" s="8">
        <f t="shared" si="1"/>
        <v>6.764883510767207E-2</v>
      </c>
      <c r="F4" t="s">
        <v>82</v>
      </c>
      <c r="G4" s="2">
        <f>AVERAGE(B2:B31)</f>
        <v>6.4924882629107969</v>
      </c>
      <c r="H4" s="2">
        <f>AVERAGE(B32:B56)</f>
        <v>6.2700174450862995</v>
      </c>
      <c r="I4" s="2">
        <f>AVERAGE(B57:B81)</f>
        <v>6.994685314685313</v>
      </c>
      <c r="J4">
        <f>AVERAGE(B:B)</f>
        <v>6.5799027110201775</v>
      </c>
      <c r="L4" t="s">
        <v>112</v>
      </c>
      <c r="M4">
        <f>COUNTIF(A:A,"CKD")</f>
        <v>30</v>
      </c>
    </row>
    <row r="5" spans="1:13" x14ac:dyDescent="0.3">
      <c r="A5" t="s">
        <v>1</v>
      </c>
      <c r="B5" s="2">
        <v>7.232394366197183</v>
      </c>
      <c r="C5" s="2">
        <f t="shared" si="0"/>
        <v>0.73990610328638606</v>
      </c>
      <c r="D5" s="8">
        <f t="shared" si="1"/>
        <v>0.54746104168044418</v>
      </c>
      <c r="F5" t="s">
        <v>71</v>
      </c>
      <c r="G5" s="2">
        <f>G4-$J$4</f>
        <v>-8.7414448109380594E-2</v>
      </c>
      <c r="H5" s="2">
        <f t="shared" ref="H5:I5" si="2">H4-$J$4</f>
        <v>-0.309885265933878</v>
      </c>
      <c r="I5" s="2">
        <f t="shared" si="2"/>
        <v>0.41478260366513542</v>
      </c>
      <c r="L5" t="s">
        <v>113</v>
      </c>
      <c r="M5">
        <f>COUNTIF(A:A,"CKS")</f>
        <v>25</v>
      </c>
    </row>
    <row r="6" spans="1:13" x14ac:dyDescent="0.3">
      <c r="A6" t="s">
        <v>1</v>
      </c>
      <c r="B6" s="2">
        <v>6.845070422535211</v>
      </c>
      <c r="C6" s="2">
        <f t="shared" si="0"/>
        <v>0.35258215962441408</v>
      </c>
      <c r="D6" s="8">
        <f t="shared" si="1"/>
        <v>0.12431417928541581</v>
      </c>
      <c r="F6" t="s">
        <v>72</v>
      </c>
      <c r="G6" s="7">
        <f>G5*G5</f>
        <v>7.6412857382675923E-3</v>
      </c>
      <c r="H6" s="7">
        <f t="shared" ref="H6:I6" si="3">H5*H5</f>
        <v>9.6028878042910285E-2</v>
      </c>
      <c r="I6" s="7">
        <f t="shared" si="3"/>
        <v>0.17204460830322882</v>
      </c>
      <c r="L6" t="s">
        <v>114</v>
      </c>
      <c r="M6">
        <f>COUNTIF(A:A,"CKT")</f>
        <v>25</v>
      </c>
    </row>
    <row r="7" spans="1:13" x14ac:dyDescent="0.3">
      <c r="A7" t="s">
        <v>1</v>
      </c>
      <c r="B7" s="2">
        <v>6.28169014084507</v>
      </c>
      <c r="C7" s="2">
        <f t="shared" si="0"/>
        <v>-0.2107981220657269</v>
      </c>
      <c r="D7" s="8">
        <f t="shared" si="1"/>
        <v>4.4435848266437102E-2</v>
      </c>
      <c r="F7" t="s">
        <v>73</v>
      </c>
      <c r="G7" s="7">
        <f>SUM(G6:I6)</f>
        <v>0.2757147720844067</v>
      </c>
    </row>
    <row r="8" spans="1:13" x14ac:dyDescent="0.3">
      <c r="A8" t="s">
        <v>1</v>
      </c>
      <c r="B8" s="2">
        <v>7.563380281690141</v>
      </c>
      <c r="C8" s="2">
        <f t="shared" si="0"/>
        <v>1.070892018779344</v>
      </c>
      <c r="D8" s="8">
        <f t="shared" si="1"/>
        <v>1.146809715885299</v>
      </c>
      <c r="F8" t="s">
        <v>74</v>
      </c>
      <c r="G8">
        <f>SUM(D:D)</f>
        <v>14.78256957514726</v>
      </c>
    </row>
    <row r="9" spans="1:13" x14ac:dyDescent="0.3">
      <c r="A9" t="s">
        <v>1</v>
      </c>
      <c r="B9" s="2">
        <v>6.415492957746479</v>
      </c>
      <c r="C9" s="2">
        <f t="shared" si="0"/>
        <v>-7.6995305164317962E-2</v>
      </c>
      <c r="D9" s="8">
        <f t="shared" si="1"/>
        <v>5.9282770173464481E-3</v>
      </c>
      <c r="F9" t="s">
        <v>75</v>
      </c>
      <c r="G9">
        <f>(G7/(3-1))/(G8/(M3-3))</f>
        <v>0.71807669642873395</v>
      </c>
    </row>
    <row r="10" spans="1:13" x14ac:dyDescent="0.3">
      <c r="A10" t="s">
        <v>1</v>
      </c>
      <c r="B10" s="2">
        <v>5.929577464788732</v>
      </c>
      <c r="C10" s="2">
        <f t="shared" si="0"/>
        <v>-0.5629107981220649</v>
      </c>
      <c r="D10" s="8">
        <f t="shared" si="1"/>
        <v>0.31686856664242014</v>
      </c>
      <c r="F10" t="s">
        <v>76</v>
      </c>
      <c r="G10">
        <f>_xlfn.F.INV.RT(5%,3-1,M3-3)</f>
        <v>3.1153657966336636</v>
      </c>
    </row>
    <row r="11" spans="1:13" x14ac:dyDescent="0.3">
      <c r="A11" t="s">
        <v>1</v>
      </c>
      <c r="B11" s="2">
        <v>6.887323943661972</v>
      </c>
      <c r="C11" s="2">
        <f t="shared" si="0"/>
        <v>0.39483568075117503</v>
      </c>
      <c r="D11" s="8">
        <f t="shared" si="1"/>
        <v>0.15589521479424381</v>
      </c>
      <c r="F11" t="s">
        <v>77</v>
      </c>
    </row>
    <row r="12" spans="1:13" x14ac:dyDescent="0.3">
      <c r="A12" t="s">
        <v>1</v>
      </c>
      <c r="B12" s="2">
        <v>6.816901408450704</v>
      </c>
      <c r="C12" s="2">
        <f t="shared" si="0"/>
        <v>0.32441314553990708</v>
      </c>
      <c r="D12" s="8">
        <f t="shared" si="1"/>
        <v>0.10524388899909694</v>
      </c>
      <c r="F12" t="s">
        <v>115</v>
      </c>
    </row>
    <row r="13" spans="1:13" x14ac:dyDescent="0.3">
      <c r="A13" t="s">
        <v>1</v>
      </c>
      <c r="B13" s="2">
        <v>7.183098591549296</v>
      </c>
      <c r="C13" s="2">
        <f t="shared" si="0"/>
        <v>0.69061032863849903</v>
      </c>
      <c r="D13" s="8">
        <f t="shared" si="1"/>
        <v>0.47694262602217563</v>
      </c>
    </row>
    <row r="14" spans="1:13" x14ac:dyDescent="0.3">
      <c r="A14" t="s">
        <v>1</v>
      </c>
      <c r="B14" s="2">
        <v>5.971830985915493</v>
      </c>
      <c r="C14" s="2">
        <f t="shared" si="0"/>
        <v>-0.52065727699530395</v>
      </c>
      <c r="D14" s="8">
        <f t="shared" si="1"/>
        <v>0.27108400008816469</v>
      </c>
    </row>
    <row r="15" spans="1:13" x14ac:dyDescent="0.3">
      <c r="A15" t="s">
        <v>1</v>
      </c>
      <c r="B15" s="2">
        <v>6.316901408450704</v>
      </c>
      <c r="C15" s="2">
        <f t="shared" si="0"/>
        <v>-0.17558685446009292</v>
      </c>
      <c r="D15" s="8">
        <f t="shared" si="1"/>
        <v>3.0830743459189854E-2</v>
      </c>
    </row>
    <row r="16" spans="1:13" x14ac:dyDescent="0.3">
      <c r="A16" t="s">
        <v>1</v>
      </c>
      <c r="B16" s="2">
        <v>6.26056338028169</v>
      </c>
      <c r="C16" s="2">
        <f t="shared" si="0"/>
        <v>-0.23192488262910693</v>
      </c>
      <c r="D16" s="8">
        <f t="shared" si="1"/>
        <v>5.3789151182525023E-2</v>
      </c>
    </row>
    <row r="17" spans="1:4" x14ac:dyDescent="0.3">
      <c r="A17" t="s">
        <v>1</v>
      </c>
      <c r="B17" s="2">
        <v>6.091549295774648</v>
      </c>
      <c r="C17" s="2">
        <f t="shared" si="0"/>
        <v>-0.40093896713614896</v>
      </c>
      <c r="D17" s="8">
        <f t="shared" si="1"/>
        <v>0.16075205536820195</v>
      </c>
    </row>
    <row r="18" spans="1:4" x14ac:dyDescent="0.3">
      <c r="A18" t="s">
        <v>1</v>
      </c>
      <c r="B18" s="2">
        <v>7.330985915492958</v>
      </c>
      <c r="C18" s="2">
        <f t="shared" si="0"/>
        <v>0.83849765258216102</v>
      </c>
      <c r="D18" s="8">
        <f t="shared" si="1"/>
        <v>0.70307831338579441</v>
      </c>
    </row>
    <row r="19" spans="1:4" x14ac:dyDescent="0.3">
      <c r="A19" t="s">
        <v>1</v>
      </c>
      <c r="B19" s="2">
        <v>6.612676056338028</v>
      </c>
      <c r="C19" s="2">
        <f t="shared" si="0"/>
        <v>0.12018779342723107</v>
      </c>
      <c r="D19" s="8">
        <f t="shared" si="1"/>
        <v>1.4445105688906768E-2</v>
      </c>
    </row>
    <row r="20" spans="1:4" x14ac:dyDescent="0.3">
      <c r="A20" t="s">
        <v>1</v>
      </c>
      <c r="B20" s="2">
        <v>5.8661971830985919</v>
      </c>
      <c r="C20" s="2">
        <f t="shared" si="0"/>
        <v>-0.626291079812205</v>
      </c>
      <c r="D20" s="8">
        <f t="shared" si="1"/>
        <v>0.39224051665233772</v>
      </c>
    </row>
    <row r="21" spans="1:4" x14ac:dyDescent="0.3">
      <c r="A21" t="s">
        <v>1</v>
      </c>
      <c r="B21" s="2">
        <v>5.654929577464789</v>
      </c>
      <c r="C21" s="2">
        <f t="shared" si="0"/>
        <v>-0.83755868544600798</v>
      </c>
      <c r="D21" s="8">
        <f t="shared" si="1"/>
        <v>0.70150455156604496</v>
      </c>
    </row>
    <row r="22" spans="1:4" x14ac:dyDescent="0.3">
      <c r="A22" t="s">
        <v>1</v>
      </c>
      <c r="B22" s="2">
        <v>5.996478873239437</v>
      </c>
      <c r="C22" s="2">
        <f t="shared" si="0"/>
        <v>-0.49600938967135999</v>
      </c>
      <c r="D22" s="8">
        <f t="shared" si="1"/>
        <v>0.24602531464215505</v>
      </c>
    </row>
    <row r="23" spans="1:4" x14ac:dyDescent="0.3">
      <c r="A23" t="s">
        <v>1</v>
      </c>
      <c r="B23" s="2">
        <v>6.577464788732394</v>
      </c>
      <c r="C23" s="2">
        <f t="shared" si="0"/>
        <v>8.4976525821597093E-2</v>
      </c>
      <c r="D23" s="8">
        <f t="shared" si="1"/>
        <v>7.2210099407085575E-3</v>
      </c>
    </row>
    <row r="24" spans="1:4" x14ac:dyDescent="0.3">
      <c r="A24" t="s">
        <v>1</v>
      </c>
      <c r="B24" s="2">
        <v>7.105633802816901</v>
      </c>
      <c r="C24" s="2">
        <f t="shared" si="0"/>
        <v>0.6131455399061041</v>
      </c>
      <c r="D24" s="8">
        <f t="shared" si="1"/>
        <v>0.37594745310674788</v>
      </c>
    </row>
    <row r="25" spans="1:4" x14ac:dyDescent="0.3">
      <c r="A25" t="s">
        <v>1</v>
      </c>
      <c r="B25" s="2">
        <v>6.401408450704225</v>
      </c>
      <c r="C25" s="2">
        <f t="shared" si="0"/>
        <v>-9.1079812206571908E-2</v>
      </c>
      <c r="D25" s="8">
        <f t="shared" si="1"/>
        <v>8.2955321915844059E-3</v>
      </c>
    </row>
    <row r="26" spans="1:4" x14ac:dyDescent="0.3">
      <c r="A26" t="s">
        <v>1</v>
      </c>
      <c r="B26" s="2">
        <v>6.380281690140845</v>
      </c>
      <c r="C26" s="2">
        <f t="shared" si="0"/>
        <v>-0.11220657276995194</v>
      </c>
      <c r="D26" s="8">
        <f t="shared" si="1"/>
        <v>1.2590314972778521E-2</v>
      </c>
    </row>
    <row r="27" spans="1:4" x14ac:dyDescent="0.3">
      <c r="A27" t="s">
        <v>1</v>
      </c>
      <c r="B27" s="2">
        <v>5.992957746478873</v>
      </c>
      <c r="C27" s="2">
        <f t="shared" si="0"/>
        <v>-0.49953051643192392</v>
      </c>
      <c r="D27" s="8">
        <f t="shared" si="1"/>
        <v>0.24953073684674462</v>
      </c>
    </row>
    <row r="28" spans="1:4" x14ac:dyDescent="0.3">
      <c r="A28" t="s">
        <v>1</v>
      </c>
      <c r="B28" s="2">
        <v>6.415492957746479</v>
      </c>
      <c r="C28" s="2">
        <f t="shared" si="0"/>
        <v>-7.6995305164317962E-2</v>
      </c>
      <c r="D28" s="8">
        <f t="shared" si="1"/>
        <v>5.9282770173464481E-3</v>
      </c>
    </row>
    <row r="29" spans="1:4" x14ac:dyDescent="0.3">
      <c r="A29" t="s">
        <v>1</v>
      </c>
      <c r="B29" s="2">
        <v>6.242957746478873</v>
      </c>
      <c r="C29" s="2">
        <f t="shared" si="0"/>
        <v>-0.24953051643192392</v>
      </c>
      <c r="D29" s="8">
        <f t="shared" si="1"/>
        <v>6.2265478630782654E-2</v>
      </c>
    </row>
    <row r="30" spans="1:4" x14ac:dyDescent="0.3">
      <c r="A30" t="s">
        <v>1</v>
      </c>
      <c r="B30" s="2">
        <v>6.105633802816901</v>
      </c>
      <c r="C30" s="2">
        <f t="shared" si="0"/>
        <v>-0.3868544600938959</v>
      </c>
      <c r="D30" s="8">
        <f t="shared" si="1"/>
        <v>0.14965637329453971</v>
      </c>
    </row>
    <row r="31" spans="1:4" x14ac:dyDescent="0.3">
      <c r="A31" t="s">
        <v>1</v>
      </c>
      <c r="B31" s="2">
        <v>6.795774647887324</v>
      </c>
      <c r="C31" s="2">
        <f t="shared" si="0"/>
        <v>0.30328638497652705</v>
      </c>
      <c r="D31" s="8">
        <f t="shared" si="1"/>
        <v>9.1982631312130164E-2</v>
      </c>
    </row>
    <row r="32" spans="1:4" x14ac:dyDescent="0.3">
      <c r="A32" t="s">
        <v>4</v>
      </c>
      <c r="B32" s="2">
        <v>7.0299003322259139</v>
      </c>
      <c r="C32" s="2">
        <f>B32-$H$4</f>
        <v>0.75988288713961438</v>
      </c>
      <c r="D32" s="8">
        <f t="shared" si="1"/>
        <v>0.57742200216763595</v>
      </c>
    </row>
    <row r="33" spans="1:4" x14ac:dyDescent="0.3">
      <c r="A33" t="s">
        <v>4</v>
      </c>
      <c r="B33" s="2">
        <v>6.177083333333333</v>
      </c>
      <c r="C33" s="2">
        <f t="shared" ref="C33:C56" si="4">B33-$H$4</f>
        <v>-9.2934111752966508E-2</v>
      </c>
      <c r="D33" s="8">
        <f t="shared" si="1"/>
        <v>8.6367491273128677E-3</v>
      </c>
    </row>
    <row r="34" spans="1:4" x14ac:dyDescent="0.3">
      <c r="A34" t="s">
        <v>4</v>
      </c>
      <c r="B34" s="2">
        <v>6.4584717607973419</v>
      </c>
      <c r="C34" s="2">
        <f t="shared" si="4"/>
        <v>0.18845431571104232</v>
      </c>
      <c r="D34" s="8">
        <f t="shared" si="1"/>
        <v>3.5515029110117211E-2</v>
      </c>
    </row>
    <row r="35" spans="1:4" x14ac:dyDescent="0.3">
      <c r="A35" t="s">
        <v>4</v>
      </c>
      <c r="B35" s="2">
        <v>6.1063122923588038</v>
      </c>
      <c r="C35" s="2">
        <f t="shared" si="4"/>
        <v>-0.16370515272749575</v>
      </c>
      <c r="D35" s="8">
        <f t="shared" si="1"/>
        <v>2.6799377029532709E-2</v>
      </c>
    </row>
    <row r="36" spans="1:4" x14ac:dyDescent="0.3">
      <c r="A36" t="s">
        <v>4</v>
      </c>
      <c r="B36" s="2">
        <v>6.2651162790697672</v>
      </c>
      <c r="C36" s="2">
        <f t="shared" si="4"/>
        <v>-4.9011660165323434E-3</v>
      </c>
      <c r="D36" s="8">
        <f t="shared" si="1"/>
        <v>2.4021428321611519E-5</v>
      </c>
    </row>
    <row r="37" spans="1:4" x14ac:dyDescent="0.3">
      <c r="A37" t="s">
        <v>4</v>
      </c>
      <c r="B37" s="2">
        <v>6.4726027397260273</v>
      </c>
      <c r="C37" s="2">
        <f t="shared" si="4"/>
        <v>0.20258529463972774</v>
      </c>
      <c r="D37" s="8">
        <f t="shared" si="1"/>
        <v>4.1040801604265299E-2</v>
      </c>
    </row>
    <row r="38" spans="1:4" x14ac:dyDescent="0.3">
      <c r="A38" t="s">
        <v>4</v>
      </c>
      <c r="B38" s="2">
        <v>6.3122923588039868</v>
      </c>
      <c r="C38" s="2">
        <f t="shared" si="4"/>
        <v>4.2274913717687213E-2</v>
      </c>
      <c r="D38" s="8">
        <f t="shared" si="1"/>
        <v>1.7871683298378985E-3</v>
      </c>
    </row>
    <row r="39" spans="1:4" x14ac:dyDescent="0.3">
      <c r="A39" t="s">
        <v>4</v>
      </c>
      <c r="B39" s="2">
        <v>6.2591362126245844</v>
      </c>
      <c r="C39" s="2">
        <f t="shared" si="4"/>
        <v>-1.0881232461715129E-2</v>
      </c>
      <c r="D39" s="8">
        <f t="shared" si="1"/>
        <v>1.1840121988588308E-4</v>
      </c>
    </row>
    <row r="40" spans="1:4" x14ac:dyDescent="0.3">
      <c r="A40" t="s">
        <v>4</v>
      </c>
      <c r="B40" s="2">
        <v>6.4053156146179404</v>
      </c>
      <c r="C40" s="2">
        <f t="shared" si="4"/>
        <v>0.13529816953164087</v>
      </c>
      <c r="D40" s="8">
        <f t="shared" si="1"/>
        <v>1.8305594678612633E-2</v>
      </c>
    </row>
    <row r="41" spans="1:4" x14ac:dyDescent="0.3">
      <c r="A41" t="s">
        <v>4</v>
      </c>
      <c r="B41" s="2">
        <v>5.9634551495016614</v>
      </c>
      <c r="C41" s="2">
        <f t="shared" si="4"/>
        <v>-0.3065622955846381</v>
      </c>
      <c r="D41" s="8">
        <f t="shared" si="1"/>
        <v>9.3980441074123025E-2</v>
      </c>
    </row>
    <row r="42" spans="1:4" x14ac:dyDescent="0.3">
      <c r="A42" t="s">
        <v>4</v>
      </c>
      <c r="B42" s="2">
        <v>6.514950166112957</v>
      </c>
      <c r="C42" s="2">
        <f t="shared" si="4"/>
        <v>0.24493272102665742</v>
      </c>
      <c r="D42" s="8">
        <f t="shared" si="1"/>
        <v>5.9992037829522386E-2</v>
      </c>
    </row>
    <row r="43" spans="1:4" x14ac:dyDescent="0.3">
      <c r="A43" t="s">
        <v>4</v>
      </c>
      <c r="B43" s="2">
        <v>6.1172413793103448</v>
      </c>
      <c r="C43" s="2">
        <f t="shared" si="4"/>
        <v>-0.15277606577595471</v>
      </c>
      <c r="D43" s="8">
        <f t="shared" si="1"/>
        <v>2.334052627397884E-2</v>
      </c>
    </row>
    <row r="44" spans="1:4" x14ac:dyDescent="0.3">
      <c r="A44" t="s">
        <v>4</v>
      </c>
      <c r="B44" s="2">
        <v>6.1627906976744189</v>
      </c>
      <c r="C44" s="2">
        <f t="shared" si="4"/>
        <v>-0.10722674741188065</v>
      </c>
      <c r="D44" s="8">
        <f t="shared" si="1"/>
        <v>1.1497575360531254E-2</v>
      </c>
    </row>
    <row r="45" spans="1:4" x14ac:dyDescent="0.3">
      <c r="A45" t="s">
        <v>4</v>
      </c>
      <c r="B45" s="2">
        <v>6.6279069767441863</v>
      </c>
      <c r="C45" s="2">
        <f t="shared" si="4"/>
        <v>0.35788953165788673</v>
      </c>
      <c r="D45" s="8">
        <f t="shared" si="1"/>
        <v>0.12808491687030152</v>
      </c>
    </row>
    <row r="46" spans="1:4" x14ac:dyDescent="0.3">
      <c r="A46" t="s">
        <v>4</v>
      </c>
      <c r="B46" s="2">
        <v>6.1129568106312293</v>
      </c>
      <c r="C46" s="2">
        <f t="shared" si="4"/>
        <v>-0.15706063445507024</v>
      </c>
      <c r="D46" s="8">
        <f t="shared" si="1"/>
        <v>2.4668042895429197E-2</v>
      </c>
    </row>
    <row r="47" spans="1:4" x14ac:dyDescent="0.3">
      <c r="A47" t="s">
        <v>4</v>
      </c>
      <c r="B47" s="2">
        <v>6.4651162790697674</v>
      </c>
      <c r="C47" s="2">
        <f t="shared" si="4"/>
        <v>0.19509883398346783</v>
      </c>
      <c r="D47" s="8">
        <f t="shared" si="1"/>
        <v>3.8063555021708745E-2</v>
      </c>
    </row>
    <row r="48" spans="1:4" x14ac:dyDescent="0.3">
      <c r="A48" t="s">
        <v>4</v>
      </c>
      <c r="B48" s="2">
        <v>6.0332225913621267</v>
      </c>
      <c r="C48" s="2">
        <f t="shared" si="4"/>
        <v>-0.23679485372417286</v>
      </c>
      <c r="D48" s="8">
        <f t="shared" si="1"/>
        <v>5.607180275025242E-2</v>
      </c>
    </row>
    <row r="49" spans="1:4" x14ac:dyDescent="0.3">
      <c r="A49" t="s">
        <v>4</v>
      </c>
      <c r="B49" s="2">
        <v>5.96875</v>
      </c>
      <c r="C49" s="2">
        <f t="shared" si="4"/>
        <v>-0.30126744508629955</v>
      </c>
      <c r="D49" s="8">
        <f t="shared" si="1"/>
        <v>9.0762073468826518E-2</v>
      </c>
    </row>
    <row r="50" spans="1:4" x14ac:dyDescent="0.3">
      <c r="A50" t="s">
        <v>4</v>
      </c>
      <c r="B50" s="2">
        <v>5.9966777408637872</v>
      </c>
      <c r="C50" s="2">
        <f t="shared" si="4"/>
        <v>-0.2733397042225123</v>
      </c>
      <c r="D50" s="8">
        <f t="shared" si="1"/>
        <v>7.471459390445051E-2</v>
      </c>
    </row>
    <row r="51" spans="1:4" x14ac:dyDescent="0.3">
      <c r="A51" t="s">
        <v>4</v>
      </c>
      <c r="B51" s="2">
        <v>6.6212624584717608</v>
      </c>
      <c r="C51" s="2">
        <f t="shared" si="4"/>
        <v>0.35124501338546121</v>
      </c>
      <c r="D51" s="8">
        <f t="shared" si="1"/>
        <v>0.12337305942815283</v>
      </c>
    </row>
    <row r="52" spans="1:4" x14ac:dyDescent="0.3">
      <c r="A52" t="s">
        <v>4</v>
      </c>
      <c r="B52" s="2">
        <v>6.7569444444444446</v>
      </c>
      <c r="C52" s="2">
        <f t="shared" si="4"/>
        <v>0.4869269993581451</v>
      </c>
      <c r="D52" s="8">
        <f t="shared" si="1"/>
        <v>0.23709790270392703</v>
      </c>
    </row>
    <row r="53" spans="1:4" x14ac:dyDescent="0.3">
      <c r="A53" t="s">
        <v>4</v>
      </c>
      <c r="B53" s="2">
        <v>5.864583333333333</v>
      </c>
      <c r="C53" s="2">
        <f t="shared" si="4"/>
        <v>-0.40543411175296651</v>
      </c>
      <c r="D53" s="8">
        <f t="shared" si="1"/>
        <v>0.16437681897291695</v>
      </c>
    </row>
    <row r="54" spans="1:4" x14ac:dyDescent="0.3">
      <c r="A54" t="s">
        <v>4</v>
      </c>
      <c r="B54" s="2">
        <v>5.8125</v>
      </c>
      <c r="C54" s="2">
        <f t="shared" si="4"/>
        <v>-0.45751744508629955</v>
      </c>
      <c r="D54" s="8">
        <f t="shared" si="1"/>
        <v>0.20932221255829511</v>
      </c>
    </row>
    <row r="55" spans="1:4" x14ac:dyDescent="0.3">
      <c r="A55" t="s">
        <v>4</v>
      </c>
      <c r="B55" s="2">
        <v>6.235880398671096</v>
      </c>
      <c r="C55" s="2">
        <f t="shared" si="4"/>
        <v>-3.4137046415203542E-2</v>
      </c>
      <c r="D55" s="8">
        <f t="shared" si="1"/>
        <v>1.1653379379537611E-3</v>
      </c>
    </row>
    <row r="56" spans="1:4" x14ac:dyDescent="0.3">
      <c r="A56" t="s">
        <v>4</v>
      </c>
      <c r="B56" s="2">
        <v>6.0099667774086383</v>
      </c>
      <c r="C56" s="2">
        <f t="shared" si="4"/>
        <v>-0.26005066767766127</v>
      </c>
      <c r="D56" s="8">
        <f t="shared" si="1"/>
        <v>6.7626349759597415E-2</v>
      </c>
    </row>
    <row r="57" spans="1:4" x14ac:dyDescent="0.3">
      <c r="A57" t="s">
        <v>2</v>
      </c>
      <c r="B57" s="2">
        <v>7.0979020979020975</v>
      </c>
      <c r="C57" s="2">
        <f>B57-$I$4</f>
        <v>0.10321678321678451</v>
      </c>
      <c r="D57" s="8">
        <f t="shared" si="1"/>
        <v>1.065370433762069E-2</v>
      </c>
    </row>
    <row r="58" spans="1:4" x14ac:dyDescent="0.3">
      <c r="A58" t="s">
        <v>2</v>
      </c>
      <c r="B58" s="2">
        <v>7.4755244755244759</v>
      </c>
      <c r="C58" s="2">
        <f t="shared" ref="C58:C81" si="5">B58-$I$4</f>
        <v>0.48083916083916289</v>
      </c>
      <c r="D58" s="8">
        <f t="shared" si="1"/>
        <v>0.23120629859651037</v>
      </c>
    </row>
    <row r="59" spans="1:4" x14ac:dyDescent="0.3">
      <c r="A59" t="s">
        <v>2</v>
      </c>
      <c r="B59" s="2">
        <v>7.1678321678321675</v>
      </c>
      <c r="C59" s="2">
        <f t="shared" si="5"/>
        <v>0.17314685314685452</v>
      </c>
      <c r="D59" s="8">
        <f t="shared" si="1"/>
        <v>2.9979832754658403E-2</v>
      </c>
    </row>
    <row r="60" spans="1:4" x14ac:dyDescent="0.3">
      <c r="A60" t="s">
        <v>2</v>
      </c>
      <c r="B60" s="2">
        <v>7.3356643356643358</v>
      </c>
      <c r="C60" s="2">
        <f t="shared" si="5"/>
        <v>0.34097902097902288</v>
      </c>
      <c r="D60" s="8">
        <f t="shared" si="1"/>
        <v>0.11626669274781293</v>
      </c>
    </row>
    <row r="61" spans="1:4" x14ac:dyDescent="0.3">
      <c r="A61" t="s">
        <v>2</v>
      </c>
      <c r="B61" s="2">
        <v>7.3356643356643358</v>
      </c>
      <c r="C61" s="2">
        <f t="shared" si="5"/>
        <v>0.34097902097902288</v>
      </c>
      <c r="D61" s="8">
        <f t="shared" si="1"/>
        <v>0.11626669274781293</v>
      </c>
    </row>
    <row r="62" spans="1:4" x14ac:dyDescent="0.3">
      <c r="A62" t="s">
        <v>2</v>
      </c>
      <c r="B62" s="2">
        <v>7.79020979020979</v>
      </c>
      <c r="C62" s="2">
        <f t="shared" si="5"/>
        <v>0.79552447552447703</v>
      </c>
      <c r="D62" s="8">
        <f t="shared" si="1"/>
        <v>0.63285919115849421</v>
      </c>
    </row>
    <row r="63" spans="1:4" x14ac:dyDescent="0.3">
      <c r="A63" t="s">
        <v>2</v>
      </c>
      <c r="B63" s="2">
        <v>7.1118881118881117</v>
      </c>
      <c r="C63" s="2">
        <f t="shared" si="5"/>
        <v>0.11720279720279869</v>
      </c>
      <c r="D63" s="8">
        <f t="shared" si="1"/>
        <v>1.3736495672160356E-2</v>
      </c>
    </row>
    <row r="64" spans="1:4" x14ac:dyDescent="0.3">
      <c r="A64" t="s">
        <v>2</v>
      </c>
      <c r="B64" s="2">
        <v>7.104895104895105</v>
      </c>
      <c r="C64" s="2">
        <f t="shared" si="5"/>
        <v>0.11020979020979205</v>
      </c>
      <c r="D64" s="8">
        <f t="shared" si="1"/>
        <v>1.2146197858086375E-2</v>
      </c>
    </row>
    <row r="65" spans="1:4" x14ac:dyDescent="0.3">
      <c r="A65" t="s">
        <v>2</v>
      </c>
      <c r="B65" s="2">
        <v>6.5804195804195809</v>
      </c>
      <c r="C65" s="2">
        <f t="shared" si="5"/>
        <v>-0.4142657342657321</v>
      </c>
      <c r="D65" s="8">
        <f t="shared" si="1"/>
        <v>0.17161609858672616</v>
      </c>
    </row>
    <row r="66" spans="1:4" x14ac:dyDescent="0.3">
      <c r="A66" t="s">
        <v>2</v>
      </c>
      <c r="B66" s="2">
        <v>6.5944055944055942</v>
      </c>
      <c r="C66" s="2">
        <f t="shared" si="5"/>
        <v>-0.40027972027971881</v>
      </c>
      <c r="D66" s="8">
        <f t="shared" si="1"/>
        <v>0.16022385446720994</v>
      </c>
    </row>
    <row r="67" spans="1:4" x14ac:dyDescent="0.3">
      <c r="A67" t="s">
        <v>2</v>
      </c>
      <c r="B67" s="2">
        <v>7.0909090909090908</v>
      </c>
      <c r="C67" s="2">
        <f t="shared" si="5"/>
        <v>9.6223776223777868E-2</v>
      </c>
      <c r="D67" s="8">
        <f t="shared" ref="D67:D81" si="6">C67^2</f>
        <v>9.2590151107636784E-3</v>
      </c>
    </row>
    <row r="68" spans="1:4" x14ac:dyDescent="0.3">
      <c r="A68" t="s">
        <v>2</v>
      </c>
      <c r="B68" s="2">
        <v>7.0279720279720284</v>
      </c>
      <c r="C68" s="2">
        <f t="shared" si="5"/>
        <v>3.3286713286715397E-2</v>
      </c>
      <c r="D68" s="8">
        <f t="shared" si="6"/>
        <v>1.1080052814319953E-3</v>
      </c>
    </row>
    <row r="69" spans="1:4" x14ac:dyDescent="0.3">
      <c r="A69" t="s">
        <v>2</v>
      </c>
      <c r="B69" s="2">
        <v>6.9580419580419584</v>
      </c>
      <c r="C69" s="2">
        <f t="shared" si="5"/>
        <v>-3.6643356643354608E-2</v>
      </c>
      <c r="D69" s="8">
        <f t="shared" si="6"/>
        <v>1.3427355860920803E-3</v>
      </c>
    </row>
    <row r="70" spans="1:4" x14ac:dyDescent="0.3">
      <c r="A70" t="s">
        <v>2</v>
      </c>
      <c r="B70" s="2">
        <v>6.5734265734265733</v>
      </c>
      <c r="C70" s="2">
        <f t="shared" si="5"/>
        <v>-0.42125874125873963</v>
      </c>
      <c r="D70" s="8">
        <f t="shared" si="6"/>
        <v>0.17745892708689776</v>
      </c>
    </row>
    <row r="71" spans="1:4" x14ac:dyDescent="0.3">
      <c r="A71" t="s">
        <v>2</v>
      </c>
      <c r="B71" s="2">
        <v>7.2307692307692308</v>
      </c>
      <c r="C71" s="2">
        <f t="shared" si="5"/>
        <v>0.23608391608391788</v>
      </c>
      <c r="D71" s="8">
        <f t="shared" si="6"/>
        <v>5.5735615433518376E-2</v>
      </c>
    </row>
    <row r="72" spans="1:4" x14ac:dyDescent="0.3">
      <c r="A72" t="s">
        <v>2</v>
      </c>
      <c r="B72" s="2">
        <v>6.9020979020979025</v>
      </c>
      <c r="C72" s="2">
        <f t="shared" si="5"/>
        <v>-9.2587412587410434E-2</v>
      </c>
      <c r="D72" s="8">
        <f t="shared" si="6"/>
        <v>8.5724289696313682E-3</v>
      </c>
    </row>
    <row r="73" spans="1:4" x14ac:dyDescent="0.3">
      <c r="A73" t="s">
        <v>2</v>
      </c>
      <c r="B73" s="2">
        <v>5.7062937062937067</v>
      </c>
      <c r="C73" s="2">
        <f t="shared" si="5"/>
        <v>-1.2883916083916063</v>
      </c>
      <c r="D73" s="8">
        <f t="shared" si="6"/>
        <v>1.6599529365739101</v>
      </c>
    </row>
    <row r="74" spans="1:4" x14ac:dyDescent="0.3">
      <c r="A74" t="s">
        <v>2</v>
      </c>
      <c r="B74" s="2">
        <v>7.5034965034965033</v>
      </c>
      <c r="C74" s="2">
        <f t="shared" si="5"/>
        <v>0.50881118881119036</v>
      </c>
      <c r="D74" s="8">
        <f t="shared" si="6"/>
        <v>0.25888882585945683</v>
      </c>
    </row>
    <row r="75" spans="1:4" x14ac:dyDescent="0.3">
      <c r="A75" t="s">
        <v>2</v>
      </c>
      <c r="B75" s="2">
        <v>6.6783216783216783</v>
      </c>
      <c r="C75" s="2">
        <f t="shared" si="5"/>
        <v>-0.31636363636363463</v>
      </c>
      <c r="D75" s="8">
        <f t="shared" si="6"/>
        <v>0.10008595041322205</v>
      </c>
    </row>
    <row r="76" spans="1:4" x14ac:dyDescent="0.3">
      <c r="A76" t="s">
        <v>2</v>
      </c>
      <c r="B76" s="2">
        <v>6.8391608391608392</v>
      </c>
      <c r="C76" s="2">
        <f t="shared" si="5"/>
        <v>-0.15552447552447379</v>
      </c>
      <c r="D76" s="8">
        <f t="shared" si="6"/>
        <v>2.4187862487162648E-2</v>
      </c>
    </row>
    <row r="77" spans="1:4" x14ac:dyDescent="0.3">
      <c r="A77" t="s">
        <v>2</v>
      </c>
      <c r="B77" s="2">
        <v>6.1678321678321675</v>
      </c>
      <c r="C77" s="2">
        <f t="shared" si="5"/>
        <v>-0.82685314685314548</v>
      </c>
      <c r="D77" s="8">
        <f t="shared" si="6"/>
        <v>0.68368612646094939</v>
      </c>
    </row>
    <row r="78" spans="1:4" x14ac:dyDescent="0.3">
      <c r="A78" t="s">
        <v>2</v>
      </c>
      <c r="B78" s="2">
        <v>7.3986013986013983</v>
      </c>
      <c r="C78" s="2">
        <f t="shared" si="5"/>
        <v>0.40391608391608536</v>
      </c>
      <c r="D78" s="8">
        <f t="shared" si="6"/>
        <v>0.16314820284610609</v>
      </c>
    </row>
    <row r="79" spans="1:4" x14ac:dyDescent="0.3">
      <c r="A79" t="s">
        <v>2</v>
      </c>
      <c r="B79" s="2">
        <v>7.7622377622377625</v>
      </c>
      <c r="C79" s="2">
        <f t="shared" si="5"/>
        <v>0.76755244755244956</v>
      </c>
      <c r="D79" s="8">
        <f t="shared" si="6"/>
        <v>0.58913675974375579</v>
      </c>
    </row>
    <row r="80" spans="1:4" x14ac:dyDescent="0.3">
      <c r="A80" t="s">
        <v>2</v>
      </c>
      <c r="B80" s="2">
        <v>7.2937062937062933</v>
      </c>
      <c r="C80" s="2">
        <f t="shared" si="5"/>
        <v>0.29902097902098035</v>
      </c>
      <c r="D80" s="8">
        <f t="shared" si="6"/>
        <v>8.9413545894665575E-2</v>
      </c>
    </row>
    <row r="81" spans="1:4" x14ac:dyDescent="0.3">
      <c r="A81" t="s">
        <v>2</v>
      </c>
      <c r="B81" s="2">
        <v>6.13986013986014</v>
      </c>
      <c r="C81" s="2">
        <f t="shared" si="5"/>
        <v>-0.85482517482517295</v>
      </c>
      <c r="D81" s="8">
        <f t="shared" si="6"/>
        <v>0.73072607951488755</v>
      </c>
    </row>
    <row r="82" spans="1:4" x14ac:dyDescent="0.3">
      <c r="C82" s="2"/>
      <c r="D82" s="8"/>
    </row>
    <row r="83" spans="1:4" x14ac:dyDescent="0.3">
      <c r="C83" s="2"/>
      <c r="D83" s="8"/>
    </row>
    <row r="84" spans="1:4" x14ac:dyDescent="0.3">
      <c r="C84" s="2"/>
      <c r="D84" s="8"/>
    </row>
    <row r="85" spans="1:4" x14ac:dyDescent="0.3">
      <c r="C85" s="2"/>
      <c r="D85" s="8"/>
    </row>
    <row r="86" spans="1:4" x14ac:dyDescent="0.3">
      <c r="C86" s="2"/>
      <c r="D86" s="8"/>
    </row>
    <row r="87" spans="1:4" x14ac:dyDescent="0.3">
      <c r="C87" s="2"/>
      <c r="D87" s="8"/>
    </row>
    <row r="88" spans="1:4" x14ac:dyDescent="0.3">
      <c r="C88" s="2"/>
      <c r="D88" s="8"/>
    </row>
    <row r="89" spans="1:4" x14ac:dyDescent="0.3">
      <c r="C89" s="2"/>
      <c r="D89" s="8"/>
    </row>
    <row r="90" spans="1:4" x14ac:dyDescent="0.3">
      <c r="C90" s="2"/>
      <c r="D90" s="8"/>
    </row>
    <row r="91" spans="1:4" x14ac:dyDescent="0.3">
      <c r="C91" s="2"/>
      <c r="D91" s="8"/>
    </row>
    <row r="92" spans="1:4" x14ac:dyDescent="0.3">
      <c r="C92" s="2"/>
      <c r="D92" s="8"/>
    </row>
    <row r="93" spans="1:4" x14ac:dyDescent="0.3">
      <c r="C93" s="2"/>
      <c r="D93" s="8"/>
    </row>
    <row r="94" spans="1:4" x14ac:dyDescent="0.3">
      <c r="C94" s="2"/>
      <c r="D94" s="8"/>
    </row>
    <row r="95" spans="1:4" x14ac:dyDescent="0.3">
      <c r="C95" s="2"/>
      <c r="D95" s="8"/>
    </row>
    <row r="96" spans="1:4" x14ac:dyDescent="0.3">
      <c r="C96" s="2"/>
      <c r="D96" s="8"/>
    </row>
    <row r="97" spans="3:4" x14ac:dyDescent="0.3">
      <c r="C97" s="2"/>
      <c r="D97" s="8"/>
    </row>
    <row r="98" spans="3:4" x14ac:dyDescent="0.3">
      <c r="C98" s="2"/>
      <c r="D98" s="8"/>
    </row>
    <row r="99" spans="3:4" x14ac:dyDescent="0.3">
      <c r="C99" s="2"/>
      <c r="D99" s="8"/>
    </row>
    <row r="100" spans="3:4" x14ac:dyDescent="0.3">
      <c r="C100" s="2"/>
      <c r="D100" s="8"/>
    </row>
    <row r="101" spans="3:4" x14ac:dyDescent="0.3">
      <c r="C101" s="2"/>
      <c r="D10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5028-BE49-4467-9083-01C02FBF0BCD}">
  <dimension ref="A1:L81"/>
  <sheetViews>
    <sheetView workbookViewId="0">
      <selection activeCell="J1" sqref="J1"/>
    </sheetView>
  </sheetViews>
  <sheetFormatPr defaultRowHeight="14.4" x14ac:dyDescent="0.3"/>
  <cols>
    <col min="1" max="2" width="12" customWidth="1"/>
    <col min="5" max="5" width="17.77734375" bestFit="1" customWidth="1"/>
    <col min="7" max="7" width="15.33203125" customWidth="1"/>
    <col min="10" max="10" width="20.77734375" customWidth="1"/>
  </cols>
  <sheetData>
    <row r="1" spans="1:12" x14ac:dyDescent="0.3">
      <c r="A1" s="4" t="s">
        <v>84</v>
      </c>
      <c r="B1" s="4" t="s">
        <v>85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</row>
    <row r="2" spans="1:12" x14ac:dyDescent="0.3">
      <c r="A2" s="2">
        <v>6.25</v>
      </c>
      <c r="B2" s="2">
        <v>6.5555555555555554</v>
      </c>
      <c r="C2">
        <f>$K$5*A2+$K$6</f>
        <v>7.0205924315239008</v>
      </c>
      <c r="D2" s="2">
        <f>B2-C2</f>
        <v>-0.46503687596834542</v>
      </c>
      <c r="E2" s="8">
        <f>D2^2</f>
        <v>0.21625929601039828</v>
      </c>
      <c r="F2" s="2">
        <f>A2-$K$22</f>
        <v>0.359375</v>
      </c>
      <c r="G2" s="9">
        <f>F2^2</f>
        <v>0.129150390625</v>
      </c>
    </row>
    <row r="3" spans="1:12" x14ac:dyDescent="0.3">
      <c r="A3" s="2">
        <v>5.1875</v>
      </c>
      <c r="B3" s="2">
        <v>7.2962962962962967</v>
      </c>
      <c r="C3">
        <f t="shared" ref="C3:C66" si="0">$K$5*A3+$K$6</f>
        <v>6.5380024594054467</v>
      </c>
      <c r="D3" s="2">
        <f t="shared" ref="D3:D66" si="1">B3-C3</f>
        <v>0.75829383689085006</v>
      </c>
      <c r="E3" s="8">
        <f t="shared" ref="E3:E66" si="2">D3^2</f>
        <v>0.57500954306664709</v>
      </c>
      <c r="F3" s="2">
        <f t="shared" ref="F3:F66" si="3">A3-$K$22</f>
        <v>-0.703125</v>
      </c>
      <c r="G3" s="9">
        <f t="shared" ref="G3:G66" si="4">F3^2</f>
        <v>0.494384765625</v>
      </c>
      <c r="J3" t="s">
        <v>86</v>
      </c>
    </row>
    <row r="4" spans="1:12" x14ac:dyDescent="0.3">
      <c r="A4" s="2">
        <v>6</v>
      </c>
      <c r="B4" s="2">
        <v>6.666666666666667</v>
      </c>
      <c r="C4">
        <f t="shared" si="0"/>
        <v>6.9070418498489703</v>
      </c>
      <c r="D4" s="2">
        <f t="shared" si="1"/>
        <v>-0.24037518318230333</v>
      </c>
      <c r="E4" s="8">
        <f t="shared" si="2"/>
        <v>5.7780228689925883E-2</v>
      </c>
      <c r="F4" s="2">
        <f t="shared" si="3"/>
        <v>0.109375</v>
      </c>
      <c r="G4" s="9">
        <f t="shared" si="4"/>
        <v>1.1962890625E-2</v>
      </c>
      <c r="J4" t="s">
        <v>94</v>
      </c>
      <c r="K4">
        <f>COUNT(A:A)</f>
        <v>80</v>
      </c>
    </row>
    <row r="5" spans="1:12" x14ac:dyDescent="0.3">
      <c r="A5" s="2">
        <v>6.1875</v>
      </c>
      <c r="B5" s="2">
        <v>8.0370370370370363</v>
      </c>
      <c r="C5">
        <f t="shared" si="0"/>
        <v>6.9922047861051677</v>
      </c>
      <c r="D5" s="2">
        <f t="shared" si="1"/>
        <v>1.0448322509318686</v>
      </c>
      <c r="E5" s="8">
        <f t="shared" si="2"/>
        <v>1.0916744325873553</v>
      </c>
      <c r="F5" s="2">
        <f t="shared" si="3"/>
        <v>0.296875</v>
      </c>
      <c r="G5" s="9">
        <f t="shared" si="4"/>
        <v>8.8134765625E-2</v>
      </c>
      <c r="J5" t="s">
        <v>87</v>
      </c>
      <c r="K5">
        <f>SLOPE(B:B,A:A)</f>
        <v>0.45420232669972149</v>
      </c>
    </row>
    <row r="6" spans="1:12" x14ac:dyDescent="0.3">
      <c r="A6" s="2">
        <v>5.375</v>
      </c>
      <c r="B6" s="2">
        <v>7.2962962962962967</v>
      </c>
      <c r="C6">
        <f t="shared" si="0"/>
        <v>6.6231653956616441</v>
      </c>
      <c r="D6" s="2">
        <f t="shared" si="1"/>
        <v>0.67313090063465264</v>
      </c>
      <c r="E6" s="8">
        <f t="shared" si="2"/>
        <v>0.45310520938921861</v>
      </c>
      <c r="F6" s="2">
        <f t="shared" si="3"/>
        <v>-0.515625</v>
      </c>
      <c r="G6" s="9">
        <f t="shared" si="4"/>
        <v>0.265869140625</v>
      </c>
      <c r="J6" t="s">
        <v>88</v>
      </c>
      <c r="K6">
        <f>INTERCEPT(B:B,A:A)</f>
        <v>4.1818278896506413</v>
      </c>
    </row>
    <row r="7" spans="1:12" x14ac:dyDescent="0.3">
      <c r="A7" s="2">
        <v>6.375</v>
      </c>
      <c r="B7" s="2">
        <v>6.4814814814814818</v>
      </c>
      <c r="C7">
        <f t="shared" si="0"/>
        <v>7.077367722361366</v>
      </c>
      <c r="D7" s="2">
        <f t="shared" si="1"/>
        <v>-0.59588624087988418</v>
      </c>
      <c r="E7" s="8">
        <f t="shared" si="2"/>
        <v>0.35508041206995933</v>
      </c>
      <c r="F7" s="2">
        <f t="shared" si="3"/>
        <v>0.484375</v>
      </c>
      <c r="G7" s="9">
        <f t="shared" si="4"/>
        <v>0.234619140625</v>
      </c>
      <c r="J7" t="s">
        <v>97</v>
      </c>
    </row>
    <row r="8" spans="1:12" x14ac:dyDescent="0.3">
      <c r="A8" s="2">
        <v>6.375</v>
      </c>
      <c r="B8" s="2">
        <v>7.8148148148148149</v>
      </c>
      <c r="C8">
        <f t="shared" si="0"/>
        <v>7.077367722361366</v>
      </c>
      <c r="D8" s="2">
        <f t="shared" si="1"/>
        <v>0.73744709245344886</v>
      </c>
      <c r="E8" s="8">
        <f t="shared" si="2"/>
        <v>0.5438282141680455</v>
      </c>
      <c r="F8" s="2">
        <f t="shared" si="3"/>
        <v>0.484375</v>
      </c>
      <c r="G8" s="9">
        <f t="shared" si="4"/>
        <v>0.234619140625</v>
      </c>
    </row>
    <row r="9" spans="1:12" x14ac:dyDescent="0.3">
      <c r="A9" s="2">
        <v>5.9375</v>
      </c>
      <c r="B9" s="2">
        <v>6.5185185185185182</v>
      </c>
      <c r="C9">
        <f t="shared" si="0"/>
        <v>6.8786542044302372</v>
      </c>
      <c r="D9" s="2">
        <f t="shared" si="1"/>
        <v>-0.36013568591171907</v>
      </c>
      <c r="E9" s="8">
        <f t="shared" si="2"/>
        <v>0.12969771226710436</v>
      </c>
      <c r="F9" s="2">
        <f t="shared" si="3"/>
        <v>4.6875E-2</v>
      </c>
      <c r="G9" s="9">
        <f t="shared" si="4"/>
        <v>2.197265625E-3</v>
      </c>
      <c r="J9" t="s">
        <v>89</v>
      </c>
    </row>
    <row r="10" spans="1:12" x14ac:dyDescent="0.3">
      <c r="A10" s="2">
        <v>5.75</v>
      </c>
      <c r="B10" s="2">
        <v>5.7777777777777777</v>
      </c>
      <c r="C10">
        <f t="shared" si="0"/>
        <v>6.7934912681740398</v>
      </c>
      <c r="D10" s="2">
        <f t="shared" si="1"/>
        <v>-1.0157134903962621</v>
      </c>
      <c r="E10" s="8">
        <f t="shared" si="2"/>
        <v>1.0316738945729578</v>
      </c>
      <c r="F10" s="2">
        <f t="shared" si="3"/>
        <v>-0.140625</v>
      </c>
      <c r="G10" s="9">
        <f t="shared" si="4"/>
        <v>1.9775390625E-2</v>
      </c>
      <c r="J10" t="s">
        <v>95</v>
      </c>
    </row>
    <row r="11" spans="1:12" x14ac:dyDescent="0.3">
      <c r="A11" s="2">
        <v>6.75</v>
      </c>
      <c r="B11" s="2">
        <v>7.0740740740740744</v>
      </c>
      <c r="C11">
        <f t="shared" si="0"/>
        <v>7.2476935948737609</v>
      </c>
      <c r="D11" s="2">
        <f t="shared" si="1"/>
        <v>-0.17361952079968646</v>
      </c>
      <c r="E11" s="8">
        <f t="shared" si="2"/>
        <v>3.0143738002712757E-2</v>
      </c>
      <c r="F11" s="2">
        <f t="shared" si="3"/>
        <v>0.859375</v>
      </c>
      <c r="G11" s="9">
        <f t="shared" si="4"/>
        <v>0.738525390625</v>
      </c>
      <c r="J11" t="s">
        <v>96</v>
      </c>
    </row>
    <row r="12" spans="1:12" x14ac:dyDescent="0.3">
      <c r="A12" s="2">
        <v>6.125</v>
      </c>
      <c r="B12" s="2">
        <v>7.2962962962962967</v>
      </c>
      <c r="C12">
        <f t="shared" si="0"/>
        <v>6.9638171406864355</v>
      </c>
      <c r="D12" s="2">
        <f t="shared" si="1"/>
        <v>0.33247915560986119</v>
      </c>
      <c r="E12" s="8">
        <f t="shared" si="2"/>
        <v>0.11054238891504629</v>
      </c>
      <c r="F12" s="2">
        <f>A12-$K$22</f>
        <v>0.234375</v>
      </c>
      <c r="G12" s="9">
        <f t="shared" si="4"/>
        <v>5.4931640625E-2</v>
      </c>
    </row>
    <row r="13" spans="1:12" x14ac:dyDescent="0.3">
      <c r="A13" s="2">
        <v>6.0625</v>
      </c>
      <c r="B13" s="2">
        <v>7.2962962962962967</v>
      </c>
      <c r="C13">
        <f t="shared" si="0"/>
        <v>6.9354294952677034</v>
      </c>
      <c r="D13" s="2">
        <f t="shared" si="1"/>
        <v>0.36086680102859336</v>
      </c>
      <c r="E13" s="8">
        <f t="shared" si="2"/>
        <v>0.13022484808461041</v>
      </c>
      <c r="F13" s="2">
        <f t="shared" si="3"/>
        <v>0.171875</v>
      </c>
      <c r="G13" s="9">
        <f t="shared" si="4"/>
        <v>2.9541015625E-2</v>
      </c>
      <c r="J13" t="s">
        <v>90</v>
      </c>
    </row>
    <row r="14" spans="1:12" x14ac:dyDescent="0.3">
      <c r="A14" s="2">
        <v>5.6875</v>
      </c>
      <c r="B14" s="2">
        <v>5.6296296296296298</v>
      </c>
      <c r="C14">
        <f t="shared" si="0"/>
        <v>6.7651036227553067</v>
      </c>
      <c r="D14" s="2">
        <f t="shared" si="1"/>
        <v>-1.135473993125677</v>
      </c>
      <c r="E14" s="8">
        <f t="shared" si="2"/>
        <v>1.2893011890647699</v>
      </c>
      <c r="F14" s="2">
        <f t="shared" si="3"/>
        <v>-0.203125</v>
      </c>
      <c r="G14" s="9">
        <f t="shared" si="4"/>
        <v>4.1259765625E-2</v>
      </c>
      <c r="J14" t="s">
        <v>91</v>
      </c>
      <c r="K14">
        <f>CORREL(B:B,C:C)</f>
        <v>0.33828560814281511</v>
      </c>
      <c r="L14" t="s">
        <v>92</v>
      </c>
    </row>
    <row r="15" spans="1:12" x14ac:dyDescent="0.3">
      <c r="A15" s="2">
        <v>6.375</v>
      </c>
      <c r="B15" s="2">
        <v>6.5185185185185182</v>
      </c>
      <c r="C15">
        <f t="shared" si="0"/>
        <v>7.077367722361366</v>
      </c>
      <c r="D15" s="2">
        <f t="shared" si="1"/>
        <v>-0.55884920384284786</v>
      </c>
      <c r="E15" s="8">
        <f t="shared" si="2"/>
        <v>0.3123124326357849</v>
      </c>
      <c r="F15" s="2">
        <f t="shared" si="3"/>
        <v>0.484375</v>
      </c>
      <c r="G15" s="9">
        <f t="shared" si="4"/>
        <v>0.234619140625</v>
      </c>
      <c r="J15" t="s">
        <v>93</v>
      </c>
      <c r="K15">
        <f>K14^2</f>
        <v>0.11443715267655426</v>
      </c>
      <c r="L15" t="s">
        <v>98</v>
      </c>
    </row>
    <row r="16" spans="1:12" x14ac:dyDescent="0.3">
      <c r="A16" s="2">
        <v>5.4375</v>
      </c>
      <c r="B16" s="2">
        <v>6.7777777777777777</v>
      </c>
      <c r="C16">
        <f t="shared" si="0"/>
        <v>6.6515530410803771</v>
      </c>
      <c r="D16" s="2">
        <f t="shared" si="1"/>
        <v>0.12622473669740053</v>
      </c>
      <c r="E16" s="8">
        <f t="shared" si="2"/>
        <v>1.5932684154328091E-2</v>
      </c>
      <c r="F16" s="2">
        <f t="shared" si="3"/>
        <v>-0.453125</v>
      </c>
      <c r="G16" s="9">
        <f t="shared" si="4"/>
        <v>0.205322265625</v>
      </c>
      <c r="J16" t="s">
        <v>99</v>
      </c>
    </row>
    <row r="17" spans="1:11" x14ac:dyDescent="0.3">
      <c r="A17" s="2">
        <v>6.375</v>
      </c>
      <c r="B17" s="2">
        <v>6.2222222222222223</v>
      </c>
      <c r="C17">
        <f t="shared" si="0"/>
        <v>7.077367722361366</v>
      </c>
      <c r="D17" s="2">
        <f t="shared" si="1"/>
        <v>-0.8551455001391437</v>
      </c>
      <c r="E17" s="8">
        <f t="shared" si="2"/>
        <v>0.73127382640822625</v>
      </c>
      <c r="F17" s="2">
        <f t="shared" si="3"/>
        <v>0.484375</v>
      </c>
      <c r="G17" s="9">
        <f t="shared" si="4"/>
        <v>0.234619140625</v>
      </c>
    </row>
    <row r="18" spans="1:11" x14ac:dyDescent="0.3">
      <c r="A18" s="2">
        <v>5.625</v>
      </c>
      <c r="B18" s="2">
        <v>8.1111111111111107</v>
      </c>
      <c r="C18">
        <f t="shared" si="0"/>
        <v>6.7367159773365746</v>
      </c>
      <c r="D18" s="2">
        <f t="shared" si="1"/>
        <v>1.3743951337745361</v>
      </c>
      <c r="E18" s="8">
        <f t="shared" si="2"/>
        <v>1.8889619837431251</v>
      </c>
      <c r="F18" s="2">
        <f t="shared" si="3"/>
        <v>-0.265625</v>
      </c>
      <c r="G18" s="9">
        <f t="shared" si="4"/>
        <v>7.0556640625E-2</v>
      </c>
      <c r="J18" t="s">
        <v>116</v>
      </c>
    </row>
    <row r="19" spans="1:11" x14ac:dyDescent="0.3">
      <c r="A19" s="2">
        <v>6</v>
      </c>
      <c r="B19" s="2">
        <v>7.2592592592592595</v>
      </c>
      <c r="C19">
        <f t="shared" si="0"/>
        <v>6.9070418498489703</v>
      </c>
      <c r="D19" s="2">
        <f t="shared" si="1"/>
        <v>0.35221740941028923</v>
      </c>
      <c r="E19" s="8">
        <f t="shared" si="2"/>
        <v>0.1240571034916953</v>
      </c>
      <c r="F19" s="2">
        <f t="shared" si="3"/>
        <v>0.109375</v>
      </c>
      <c r="G19" s="9">
        <f t="shared" si="4"/>
        <v>1.1962890625E-2</v>
      </c>
      <c r="J19" t="s">
        <v>117</v>
      </c>
    </row>
    <row r="20" spans="1:11" x14ac:dyDescent="0.3">
      <c r="A20" s="2">
        <v>5.25</v>
      </c>
      <c r="B20" s="2">
        <v>6.1851851851851851</v>
      </c>
      <c r="C20">
        <f t="shared" si="0"/>
        <v>6.5663901048241797</v>
      </c>
      <c r="D20" s="2">
        <f t="shared" si="1"/>
        <v>-0.38120491963899461</v>
      </c>
      <c r="E20" s="8">
        <f t="shared" si="2"/>
        <v>0.14531719075697233</v>
      </c>
      <c r="F20" s="2">
        <f t="shared" si="3"/>
        <v>-0.640625</v>
      </c>
      <c r="G20" s="9">
        <f t="shared" si="4"/>
        <v>0.410400390625</v>
      </c>
    </row>
    <row r="21" spans="1:11" x14ac:dyDescent="0.3">
      <c r="A21" s="2">
        <v>5.1875</v>
      </c>
      <c r="B21" s="2">
        <v>6.1111111111111107</v>
      </c>
      <c r="C21">
        <f t="shared" si="0"/>
        <v>6.5380024594054467</v>
      </c>
      <c r="D21" s="2">
        <f t="shared" si="1"/>
        <v>-0.42689134829433595</v>
      </c>
      <c r="E21" s="8">
        <f t="shared" si="2"/>
        <v>0.18223622324855604</v>
      </c>
      <c r="F21" s="2">
        <f t="shared" si="3"/>
        <v>-0.703125</v>
      </c>
      <c r="G21" s="9">
        <f t="shared" si="4"/>
        <v>0.494384765625</v>
      </c>
      <c r="J21" t="s">
        <v>100</v>
      </c>
      <c r="K21">
        <f>SUM(E:E)/(K4-2)</f>
        <v>0.41693734679457417</v>
      </c>
    </row>
    <row r="22" spans="1:11" x14ac:dyDescent="0.3">
      <c r="A22" s="2">
        <v>5.3125</v>
      </c>
      <c r="B22" s="2">
        <v>6.1111111111111107</v>
      </c>
      <c r="C22">
        <f t="shared" si="0"/>
        <v>6.5947777502429119</v>
      </c>
      <c r="D22" s="2">
        <f t="shared" si="1"/>
        <v>-0.48366663913180119</v>
      </c>
      <c r="E22" s="8">
        <f t="shared" si="2"/>
        <v>0.233933417809052</v>
      </c>
      <c r="F22" s="2">
        <f t="shared" si="3"/>
        <v>-0.578125</v>
      </c>
      <c r="G22" s="9">
        <f t="shared" si="4"/>
        <v>0.334228515625</v>
      </c>
      <c r="J22" t="s">
        <v>107</v>
      </c>
      <c r="K22">
        <f>AVERAGE(A:A)</f>
        <v>5.890625</v>
      </c>
    </row>
    <row r="23" spans="1:11" x14ac:dyDescent="0.3">
      <c r="A23" s="2">
        <v>6.1875</v>
      </c>
      <c r="B23" s="2">
        <v>7.2222222222222223</v>
      </c>
      <c r="C23">
        <f t="shared" si="0"/>
        <v>6.9922047861051677</v>
      </c>
      <c r="D23" s="2">
        <f t="shared" si="1"/>
        <v>0.23001743611705461</v>
      </c>
      <c r="E23" s="8">
        <f t="shared" si="2"/>
        <v>5.2908020917863299E-2</v>
      </c>
      <c r="F23" s="2">
        <f t="shared" si="3"/>
        <v>0.296875</v>
      </c>
      <c r="G23" s="9">
        <f t="shared" si="4"/>
        <v>8.8134765625E-2</v>
      </c>
      <c r="J23" t="s">
        <v>106</v>
      </c>
      <c r="K23">
        <f>K21/(SUM(G:G))</f>
        <v>2.0467106573233172E-2</v>
      </c>
    </row>
    <row r="24" spans="1:11" x14ac:dyDescent="0.3">
      <c r="A24" s="2">
        <v>5.75</v>
      </c>
      <c r="B24" s="2">
        <v>7.8148148148148149</v>
      </c>
      <c r="C24">
        <f t="shared" si="0"/>
        <v>6.7934912681740398</v>
      </c>
      <c r="D24" s="2">
        <f t="shared" si="1"/>
        <v>1.0213235466407751</v>
      </c>
      <c r="E24" s="8">
        <f t="shared" si="2"/>
        <v>1.0431017869228913</v>
      </c>
      <c r="F24" s="2">
        <f t="shared" si="3"/>
        <v>-0.140625</v>
      </c>
      <c r="G24" s="9">
        <f t="shared" si="4"/>
        <v>1.9775390625E-2</v>
      </c>
      <c r="J24" t="s">
        <v>108</v>
      </c>
      <c r="K24">
        <f>SQRT(K23)</f>
        <v>0.14306329568842308</v>
      </c>
    </row>
    <row r="25" spans="1:11" x14ac:dyDescent="0.3">
      <c r="A25" s="2">
        <v>5.5</v>
      </c>
      <c r="B25" s="2">
        <v>6.8888888888888893</v>
      </c>
      <c r="C25">
        <f t="shared" si="0"/>
        <v>6.6799406864991093</v>
      </c>
      <c r="D25" s="2">
        <f t="shared" si="1"/>
        <v>0.20894820238977996</v>
      </c>
      <c r="E25" s="8">
        <f t="shared" si="2"/>
        <v>4.3659351281920444E-2</v>
      </c>
      <c r="F25" s="2">
        <f t="shared" si="3"/>
        <v>-0.390625</v>
      </c>
      <c r="G25" s="9">
        <f t="shared" si="4"/>
        <v>0.152587890625</v>
      </c>
      <c r="J25" t="s">
        <v>21</v>
      </c>
      <c r="K25">
        <f>K24/K5</f>
        <v>0.31497702076502992</v>
      </c>
    </row>
    <row r="26" spans="1:11" x14ac:dyDescent="0.3">
      <c r="A26" s="2">
        <v>5.25</v>
      </c>
      <c r="B26" s="2">
        <v>6.5555555555555554</v>
      </c>
      <c r="C26">
        <f t="shared" si="0"/>
        <v>6.5663901048241797</v>
      </c>
      <c r="D26" s="2">
        <f t="shared" si="1"/>
        <v>-1.0834549268624372E-2</v>
      </c>
      <c r="E26" s="8">
        <f t="shared" si="2"/>
        <v>1.1738745785424891E-4</v>
      </c>
      <c r="F26" s="2">
        <f t="shared" si="3"/>
        <v>-0.640625</v>
      </c>
      <c r="G26" s="9">
        <f t="shared" si="4"/>
        <v>0.410400390625</v>
      </c>
      <c r="J26" t="s">
        <v>109</v>
      </c>
      <c r="K26">
        <f>_xlfn.T.INV.2T(5%,K4-2)</f>
        <v>1.9908470688116919</v>
      </c>
    </row>
    <row r="27" spans="1:11" x14ac:dyDescent="0.3">
      <c r="A27" s="2">
        <v>5.25</v>
      </c>
      <c r="B27" s="2">
        <v>6.2592592592592595</v>
      </c>
      <c r="C27">
        <f t="shared" si="0"/>
        <v>6.5663901048241797</v>
      </c>
      <c r="D27" s="2">
        <f t="shared" si="1"/>
        <v>-0.30713084556492021</v>
      </c>
      <c r="E27" s="8">
        <f t="shared" si="2"/>
        <v>9.4329356297422867E-2</v>
      </c>
      <c r="F27" s="2">
        <f t="shared" si="3"/>
        <v>-0.640625</v>
      </c>
      <c r="G27" s="9">
        <f t="shared" si="4"/>
        <v>0.410400390625</v>
      </c>
      <c r="J27" t="s">
        <v>110</v>
      </c>
    </row>
    <row r="28" spans="1:11" x14ac:dyDescent="0.3">
      <c r="A28" s="2">
        <v>5.5</v>
      </c>
      <c r="B28" s="2">
        <v>6.8888888888888893</v>
      </c>
      <c r="C28">
        <f t="shared" si="0"/>
        <v>6.6799406864991093</v>
      </c>
      <c r="D28" s="2">
        <f t="shared" si="1"/>
        <v>0.20894820238977996</v>
      </c>
      <c r="E28" s="8">
        <f t="shared" si="2"/>
        <v>4.3659351281920444E-2</v>
      </c>
      <c r="F28" s="2">
        <f t="shared" si="3"/>
        <v>-0.390625</v>
      </c>
      <c r="G28" s="9">
        <f t="shared" si="4"/>
        <v>0.152587890625</v>
      </c>
      <c r="J28" t="s">
        <v>111</v>
      </c>
    </row>
    <row r="29" spans="1:11" x14ac:dyDescent="0.3">
      <c r="A29" s="2">
        <v>5.25</v>
      </c>
      <c r="B29" s="2">
        <v>6.8888888888888893</v>
      </c>
      <c r="C29">
        <f t="shared" si="0"/>
        <v>6.5663901048241797</v>
      </c>
      <c r="D29" s="2">
        <f t="shared" si="1"/>
        <v>0.32249878406470955</v>
      </c>
      <c r="E29" s="8">
        <f t="shared" si="2"/>
        <v>0.10400546572321616</v>
      </c>
      <c r="F29" s="2">
        <f t="shared" si="3"/>
        <v>-0.640625</v>
      </c>
      <c r="G29" s="9">
        <f t="shared" si="4"/>
        <v>0.410400390625</v>
      </c>
    </row>
    <row r="30" spans="1:11" x14ac:dyDescent="0.3">
      <c r="A30" s="2">
        <v>5.25</v>
      </c>
      <c r="B30" s="2">
        <v>6.2962962962962967</v>
      </c>
      <c r="C30">
        <f t="shared" si="0"/>
        <v>6.5663901048241797</v>
      </c>
      <c r="D30" s="2">
        <f t="shared" si="1"/>
        <v>-0.27009380852788301</v>
      </c>
      <c r="E30" s="8">
        <f t="shared" si="2"/>
        <v>7.2950665405096732E-2</v>
      </c>
      <c r="F30" s="2">
        <f t="shared" si="3"/>
        <v>-0.640625</v>
      </c>
      <c r="G30" s="9">
        <f t="shared" si="4"/>
        <v>0.410400390625</v>
      </c>
    </row>
    <row r="31" spans="1:11" x14ac:dyDescent="0.3">
      <c r="A31" s="2">
        <v>5.625</v>
      </c>
      <c r="B31" s="2">
        <v>7.4074074074074074</v>
      </c>
      <c r="C31">
        <f t="shared" si="0"/>
        <v>6.7367159773365746</v>
      </c>
      <c r="D31" s="2">
        <f t="shared" si="1"/>
        <v>0.67069143007083287</v>
      </c>
      <c r="E31" s="8">
        <f t="shared" si="2"/>
        <v>0.44982699437045892</v>
      </c>
      <c r="F31" s="2">
        <f t="shared" si="3"/>
        <v>-0.265625</v>
      </c>
      <c r="G31" s="9">
        <f t="shared" si="4"/>
        <v>7.0556640625E-2</v>
      </c>
    </row>
    <row r="32" spans="1:11" x14ac:dyDescent="0.3">
      <c r="A32" s="2">
        <v>6.5</v>
      </c>
      <c r="B32" s="2">
        <v>7.709090909090909</v>
      </c>
      <c r="C32">
        <f t="shared" si="0"/>
        <v>7.1341430131988313</v>
      </c>
      <c r="D32" s="2">
        <f t="shared" si="1"/>
        <v>0.57494789589207773</v>
      </c>
      <c r="E32" s="8">
        <f t="shared" si="2"/>
        <v>0.33056508299072745</v>
      </c>
      <c r="F32" s="2">
        <f t="shared" si="3"/>
        <v>0.609375</v>
      </c>
      <c r="G32" s="9">
        <f t="shared" si="4"/>
        <v>0.371337890625</v>
      </c>
    </row>
    <row r="33" spans="1:7" x14ac:dyDescent="0.3">
      <c r="A33" s="2">
        <v>5.5625</v>
      </c>
      <c r="B33" s="2">
        <v>6.5652173913043477</v>
      </c>
      <c r="C33">
        <f t="shared" si="0"/>
        <v>6.7083283319178424</v>
      </c>
      <c r="D33" s="2">
        <f t="shared" si="1"/>
        <v>-0.14311094061349472</v>
      </c>
      <c r="E33" s="8">
        <f t="shared" si="2"/>
        <v>2.0480741323279213E-2</v>
      </c>
      <c r="F33" s="2">
        <f t="shared" si="3"/>
        <v>-0.328125</v>
      </c>
      <c r="G33" s="9">
        <f t="shared" si="4"/>
        <v>0.107666015625</v>
      </c>
    </row>
    <row r="34" spans="1:7" x14ac:dyDescent="0.3">
      <c r="A34" s="2">
        <v>5.5</v>
      </c>
      <c r="B34" s="2">
        <v>7.8545454545454545</v>
      </c>
      <c r="C34">
        <f t="shared" si="0"/>
        <v>6.6799406864991093</v>
      </c>
      <c r="D34" s="2">
        <f t="shared" si="1"/>
        <v>1.1746047680463452</v>
      </c>
      <c r="E34" s="8">
        <f t="shared" si="2"/>
        <v>1.3796963611172084</v>
      </c>
      <c r="F34" s="2">
        <f t="shared" si="3"/>
        <v>-0.390625</v>
      </c>
      <c r="G34" s="9">
        <f t="shared" si="4"/>
        <v>0.152587890625</v>
      </c>
    </row>
    <row r="35" spans="1:7" x14ac:dyDescent="0.3">
      <c r="A35" s="2">
        <v>5.5</v>
      </c>
      <c r="B35" s="2">
        <v>6.3818181818181818</v>
      </c>
      <c r="C35">
        <f t="shared" si="0"/>
        <v>6.6799406864991093</v>
      </c>
      <c r="D35" s="2">
        <f t="shared" si="1"/>
        <v>-0.29812250468092749</v>
      </c>
      <c r="E35" s="8">
        <f t="shared" si="2"/>
        <v>8.8877027797229641E-2</v>
      </c>
      <c r="F35" s="2">
        <f t="shared" si="3"/>
        <v>-0.390625</v>
      </c>
      <c r="G35" s="9">
        <f t="shared" si="4"/>
        <v>0.152587890625</v>
      </c>
    </row>
    <row r="36" spans="1:7" x14ac:dyDescent="0.3">
      <c r="A36" s="2">
        <v>5.5</v>
      </c>
      <c r="B36" s="2">
        <v>6.9636363636363638</v>
      </c>
      <c r="C36">
        <f t="shared" si="0"/>
        <v>6.6799406864991093</v>
      </c>
      <c r="D36" s="2">
        <f t="shared" si="1"/>
        <v>0.28369567713725452</v>
      </c>
      <c r="E36" s="8">
        <f t="shared" si="2"/>
        <v>8.0483237226365356E-2</v>
      </c>
      <c r="F36" s="2">
        <f t="shared" si="3"/>
        <v>-0.390625</v>
      </c>
      <c r="G36" s="9">
        <f t="shared" si="4"/>
        <v>0.152587890625</v>
      </c>
    </row>
    <row r="37" spans="1:7" x14ac:dyDescent="0.3">
      <c r="A37" s="2">
        <v>5.4375</v>
      </c>
      <c r="B37" s="2">
        <v>5.8181818181818183</v>
      </c>
      <c r="C37">
        <f t="shared" si="0"/>
        <v>6.6515530410803771</v>
      </c>
      <c r="D37" s="2">
        <f t="shared" si="1"/>
        <v>-0.83337122289855881</v>
      </c>
      <c r="E37" s="8">
        <f t="shared" si="2"/>
        <v>0.69450759515543936</v>
      </c>
      <c r="F37" s="2">
        <f t="shared" si="3"/>
        <v>-0.453125</v>
      </c>
      <c r="G37" s="9">
        <f t="shared" si="4"/>
        <v>0.205322265625</v>
      </c>
    </row>
    <row r="38" spans="1:7" x14ac:dyDescent="0.3">
      <c r="A38" s="2">
        <v>6.25</v>
      </c>
      <c r="B38" s="2">
        <v>6.6909090909090905</v>
      </c>
      <c r="C38">
        <f t="shared" si="0"/>
        <v>7.0205924315239008</v>
      </c>
      <c r="D38" s="2">
        <f t="shared" si="1"/>
        <v>-0.32968334061481031</v>
      </c>
      <c r="E38" s="8">
        <f t="shared" si="2"/>
        <v>0.10869110507894103</v>
      </c>
      <c r="F38" s="2">
        <f t="shared" si="3"/>
        <v>0.359375</v>
      </c>
      <c r="G38" s="9">
        <f t="shared" si="4"/>
        <v>0.129150390625</v>
      </c>
    </row>
    <row r="39" spans="1:7" x14ac:dyDescent="0.3">
      <c r="A39" s="2">
        <v>5.9375</v>
      </c>
      <c r="B39" s="2">
        <v>6.6545454545454543</v>
      </c>
      <c r="C39">
        <f t="shared" si="0"/>
        <v>6.8786542044302372</v>
      </c>
      <c r="D39" s="2">
        <f t="shared" si="1"/>
        <v>-0.22410874988478291</v>
      </c>
      <c r="E39" s="8">
        <f t="shared" si="2"/>
        <v>5.0224731774920185E-2</v>
      </c>
      <c r="F39" s="2">
        <f t="shared" si="3"/>
        <v>4.6875E-2</v>
      </c>
      <c r="G39" s="9">
        <f t="shared" si="4"/>
        <v>2.197265625E-3</v>
      </c>
    </row>
    <row r="40" spans="1:7" x14ac:dyDescent="0.3">
      <c r="A40" s="2">
        <v>6</v>
      </c>
      <c r="B40" s="2">
        <v>6.872727272727273</v>
      </c>
      <c r="C40">
        <f t="shared" si="0"/>
        <v>6.9070418498489703</v>
      </c>
      <c r="D40" s="2">
        <f t="shared" si="1"/>
        <v>-3.4314577121697276E-2</v>
      </c>
      <c r="E40" s="8">
        <f t="shared" si="2"/>
        <v>1.17749020304091E-3</v>
      </c>
      <c r="F40" s="2">
        <f t="shared" si="3"/>
        <v>0.109375</v>
      </c>
      <c r="G40" s="9">
        <f t="shared" si="4"/>
        <v>1.1962890625E-2</v>
      </c>
    </row>
    <row r="41" spans="1:7" x14ac:dyDescent="0.3">
      <c r="A41" s="2">
        <v>6.4375</v>
      </c>
      <c r="B41" s="2">
        <v>5.9818181818181815</v>
      </c>
      <c r="C41">
        <f t="shared" si="0"/>
        <v>7.1057553677800982</v>
      </c>
      <c r="D41" s="2">
        <f t="shared" si="1"/>
        <v>-1.1239371859619167</v>
      </c>
      <c r="E41" s="8">
        <f t="shared" si="2"/>
        <v>1.2632347979879921</v>
      </c>
      <c r="F41" s="2">
        <f t="shared" si="3"/>
        <v>0.546875</v>
      </c>
      <c r="G41" s="9">
        <f t="shared" si="4"/>
        <v>0.299072265625</v>
      </c>
    </row>
    <row r="42" spans="1:7" x14ac:dyDescent="0.3">
      <c r="A42" s="2">
        <v>5.6875</v>
      </c>
      <c r="B42" s="2">
        <v>7.1818181818181817</v>
      </c>
      <c r="C42">
        <f t="shared" si="0"/>
        <v>6.7651036227553067</v>
      </c>
      <c r="D42" s="2">
        <f t="shared" si="1"/>
        <v>0.41671455906287491</v>
      </c>
      <c r="E42" s="8">
        <f t="shared" si="2"/>
        <v>0.17365102373496627</v>
      </c>
      <c r="F42" s="2">
        <f t="shared" si="3"/>
        <v>-0.203125</v>
      </c>
      <c r="G42" s="9">
        <f t="shared" si="4"/>
        <v>4.1259765625E-2</v>
      </c>
    </row>
    <row r="43" spans="1:7" x14ac:dyDescent="0.3">
      <c r="A43" s="2">
        <v>5.5625</v>
      </c>
      <c r="B43" s="2">
        <v>6.125</v>
      </c>
      <c r="C43">
        <f t="shared" si="0"/>
        <v>6.7083283319178424</v>
      </c>
      <c r="D43" s="2">
        <f t="shared" si="1"/>
        <v>-0.58332833191784239</v>
      </c>
      <c r="E43" s="8">
        <f t="shared" si="2"/>
        <v>0.34027194281805251</v>
      </c>
      <c r="F43" s="2">
        <f t="shared" si="3"/>
        <v>-0.328125</v>
      </c>
      <c r="G43" s="9">
        <f t="shared" si="4"/>
        <v>0.107666015625</v>
      </c>
    </row>
    <row r="44" spans="1:7" x14ac:dyDescent="0.3">
      <c r="A44" s="2">
        <v>5.3125</v>
      </c>
      <c r="B44" s="2">
        <v>6.5272727272727273</v>
      </c>
      <c r="C44">
        <f t="shared" si="0"/>
        <v>6.5947777502429119</v>
      </c>
      <c r="D44" s="2">
        <f t="shared" si="1"/>
        <v>-6.7505022970184569E-2</v>
      </c>
      <c r="E44" s="8">
        <f t="shared" si="2"/>
        <v>4.5569281262051462E-3</v>
      </c>
      <c r="F44" s="2">
        <f t="shared" si="3"/>
        <v>-0.578125</v>
      </c>
      <c r="G44" s="9">
        <f t="shared" si="4"/>
        <v>0.334228515625</v>
      </c>
    </row>
    <row r="45" spans="1:7" x14ac:dyDescent="0.3">
      <c r="A45" s="2">
        <v>5.9375</v>
      </c>
      <c r="B45" s="2">
        <v>6.7818181818181822</v>
      </c>
      <c r="C45">
        <f t="shared" si="0"/>
        <v>6.8786542044302372</v>
      </c>
      <c r="D45" s="2">
        <f t="shared" si="1"/>
        <v>-9.6836022612055039E-2</v>
      </c>
      <c r="E45" s="8">
        <f t="shared" si="2"/>
        <v>9.3772152753224345E-3</v>
      </c>
      <c r="F45" s="2">
        <f t="shared" si="3"/>
        <v>4.6875E-2</v>
      </c>
      <c r="G45" s="9">
        <f t="shared" si="4"/>
        <v>2.197265625E-3</v>
      </c>
    </row>
    <row r="46" spans="1:7" x14ac:dyDescent="0.3">
      <c r="A46" s="2">
        <v>5.25</v>
      </c>
      <c r="B46" s="2">
        <v>6.9090909090909092</v>
      </c>
      <c r="C46">
        <f t="shared" si="0"/>
        <v>6.5663901048241797</v>
      </c>
      <c r="D46" s="2">
        <f t="shared" si="1"/>
        <v>0.34270080426672944</v>
      </c>
      <c r="E46" s="8">
        <f t="shared" si="2"/>
        <v>0.1174438412450632</v>
      </c>
      <c r="F46" s="2">
        <f t="shared" si="3"/>
        <v>-0.640625</v>
      </c>
      <c r="G46" s="9">
        <f t="shared" si="4"/>
        <v>0.410400390625</v>
      </c>
    </row>
    <row r="47" spans="1:7" x14ac:dyDescent="0.3">
      <c r="A47" s="2">
        <v>6.25</v>
      </c>
      <c r="B47" s="2">
        <v>6.8</v>
      </c>
      <c r="C47">
        <f t="shared" si="0"/>
        <v>7.0205924315239008</v>
      </c>
      <c r="D47" s="2">
        <f t="shared" si="1"/>
        <v>-0.22059243152390096</v>
      </c>
      <c r="E47" s="8">
        <f t="shared" si="2"/>
        <v>4.8661020845626929E-2</v>
      </c>
      <c r="F47" s="2">
        <f t="shared" si="3"/>
        <v>0.359375</v>
      </c>
      <c r="G47" s="9">
        <f t="shared" si="4"/>
        <v>0.129150390625</v>
      </c>
    </row>
    <row r="48" spans="1:7" x14ac:dyDescent="0.3">
      <c r="A48" s="2">
        <v>6.1875</v>
      </c>
      <c r="B48" s="2">
        <v>6.2545454545454549</v>
      </c>
      <c r="C48">
        <f t="shared" si="0"/>
        <v>6.9922047861051677</v>
      </c>
      <c r="D48" s="2">
        <f t="shared" si="1"/>
        <v>-0.73765933155971286</v>
      </c>
      <c r="E48" s="8">
        <f t="shared" si="2"/>
        <v>0.54414128943712237</v>
      </c>
      <c r="F48" s="2">
        <f t="shared" si="3"/>
        <v>0.296875</v>
      </c>
      <c r="G48" s="9">
        <f t="shared" si="4"/>
        <v>8.8134765625E-2</v>
      </c>
    </row>
    <row r="49" spans="1:7" x14ac:dyDescent="0.3">
      <c r="A49" s="2">
        <v>5.1875</v>
      </c>
      <c r="B49" s="2">
        <v>6.3913043478260869</v>
      </c>
      <c r="C49">
        <f t="shared" si="0"/>
        <v>6.5380024594054467</v>
      </c>
      <c r="D49" s="2">
        <f t="shared" si="1"/>
        <v>-0.14669811157935975</v>
      </c>
      <c r="E49" s="8">
        <f t="shared" si="2"/>
        <v>2.1520335940950281E-2</v>
      </c>
      <c r="F49" s="2">
        <f t="shared" si="3"/>
        <v>-0.703125</v>
      </c>
      <c r="G49" s="9">
        <f t="shared" si="4"/>
        <v>0.494384765625</v>
      </c>
    </row>
    <row r="50" spans="1:7" x14ac:dyDescent="0.3">
      <c r="A50" s="2">
        <v>5.6875</v>
      </c>
      <c r="B50" s="2">
        <v>6.3818181818181818</v>
      </c>
      <c r="C50">
        <f t="shared" si="0"/>
        <v>6.7651036227553067</v>
      </c>
      <c r="D50" s="2">
        <f t="shared" si="1"/>
        <v>-0.38328544093712491</v>
      </c>
      <c r="E50" s="8">
        <f t="shared" si="2"/>
        <v>0.14690772923436626</v>
      </c>
      <c r="F50" s="2">
        <f t="shared" si="3"/>
        <v>-0.203125</v>
      </c>
      <c r="G50" s="9">
        <f t="shared" si="4"/>
        <v>4.1259765625E-2</v>
      </c>
    </row>
    <row r="51" spans="1:7" x14ac:dyDescent="0.3">
      <c r="A51" s="2">
        <v>6.1875</v>
      </c>
      <c r="B51" s="2">
        <v>6.7818181818181822</v>
      </c>
      <c r="C51">
        <f t="shared" si="0"/>
        <v>6.9922047861051677</v>
      </c>
      <c r="D51" s="2">
        <f t="shared" si="1"/>
        <v>-0.21038660428698552</v>
      </c>
      <c r="E51" s="8">
        <f t="shared" si="2"/>
        <v>4.4262523263408633E-2</v>
      </c>
      <c r="F51" s="2">
        <f t="shared" si="3"/>
        <v>0.296875</v>
      </c>
      <c r="G51" s="9">
        <f t="shared" si="4"/>
        <v>8.8134765625E-2</v>
      </c>
    </row>
    <row r="52" spans="1:7" x14ac:dyDescent="0.3">
      <c r="A52" s="2">
        <v>6.75</v>
      </c>
      <c r="B52" s="2">
        <v>6.8695652173913047</v>
      </c>
      <c r="C52">
        <f t="shared" si="0"/>
        <v>7.2476935948737609</v>
      </c>
      <c r="D52" s="2">
        <f t="shared" si="1"/>
        <v>-0.3781283774824562</v>
      </c>
      <c r="E52" s="8">
        <f t="shared" si="2"/>
        <v>0.14298106985751488</v>
      </c>
      <c r="F52" s="2">
        <f t="shared" si="3"/>
        <v>0.859375</v>
      </c>
      <c r="G52" s="9">
        <f t="shared" si="4"/>
        <v>0.738525390625</v>
      </c>
    </row>
    <row r="53" spans="1:7" x14ac:dyDescent="0.3">
      <c r="A53" s="2">
        <v>5.4375</v>
      </c>
      <c r="B53" s="2">
        <v>6.3478260869565215</v>
      </c>
      <c r="C53">
        <f t="shared" si="0"/>
        <v>6.6515530410803771</v>
      </c>
      <c r="D53" s="2">
        <f t="shared" si="1"/>
        <v>-0.30372695412385564</v>
      </c>
      <c r="E53" s="8">
        <f t="shared" si="2"/>
        <v>9.2250062661354715E-2</v>
      </c>
      <c r="F53" s="2">
        <f t="shared" si="3"/>
        <v>-0.453125</v>
      </c>
      <c r="G53" s="9">
        <f t="shared" si="4"/>
        <v>0.205322265625</v>
      </c>
    </row>
    <row r="54" spans="1:7" x14ac:dyDescent="0.3">
      <c r="A54" s="2">
        <v>5.75</v>
      </c>
      <c r="B54" s="2">
        <v>5.7391304347826084</v>
      </c>
      <c r="C54">
        <f t="shared" si="0"/>
        <v>6.7934912681740398</v>
      </c>
      <c r="D54" s="2">
        <f t="shared" si="1"/>
        <v>-1.0543608333914314</v>
      </c>
      <c r="E54" s="8">
        <f t="shared" si="2"/>
        <v>1.1116767669898737</v>
      </c>
      <c r="F54" s="2">
        <f t="shared" si="3"/>
        <v>-0.140625</v>
      </c>
      <c r="G54" s="9">
        <f t="shared" si="4"/>
        <v>1.9775390625E-2</v>
      </c>
    </row>
    <row r="55" spans="1:7" x14ac:dyDescent="0.3">
      <c r="A55" s="2">
        <v>5.1875</v>
      </c>
      <c r="B55" s="2">
        <v>6.6</v>
      </c>
      <c r="C55">
        <f t="shared" si="0"/>
        <v>6.5380024594054467</v>
      </c>
      <c r="D55" s="2">
        <f t="shared" si="1"/>
        <v>6.199754059455298E-2</v>
      </c>
      <c r="E55" s="8">
        <f t="shared" si="2"/>
        <v>3.8436950397732449E-3</v>
      </c>
      <c r="F55" s="2">
        <f t="shared" si="3"/>
        <v>-0.703125</v>
      </c>
      <c r="G55" s="9">
        <f t="shared" si="4"/>
        <v>0.494384765625</v>
      </c>
    </row>
    <row r="56" spans="1:7" x14ac:dyDescent="0.3">
      <c r="A56" s="2">
        <v>5.1875</v>
      </c>
      <c r="B56" s="2">
        <v>6.5272727272727273</v>
      </c>
      <c r="C56">
        <f t="shared" si="0"/>
        <v>6.5380024594054467</v>
      </c>
      <c r="D56" s="2">
        <f t="shared" si="1"/>
        <v>-1.0729732132719327E-2</v>
      </c>
      <c r="E56" s="8">
        <f t="shared" si="2"/>
        <v>1.1512715163990965E-4</v>
      </c>
      <c r="F56" s="2">
        <f t="shared" si="3"/>
        <v>-0.703125</v>
      </c>
      <c r="G56" s="9">
        <f t="shared" si="4"/>
        <v>0.494384765625</v>
      </c>
    </row>
    <row r="57" spans="1:7" x14ac:dyDescent="0.3">
      <c r="A57" s="2">
        <v>5.75</v>
      </c>
      <c r="B57" s="2">
        <v>7.3809523809523814</v>
      </c>
      <c r="C57">
        <f t="shared" si="0"/>
        <v>6.7934912681740398</v>
      </c>
      <c r="D57" s="2">
        <f t="shared" si="1"/>
        <v>0.58746111277834157</v>
      </c>
      <c r="E57" s="8">
        <f t="shared" si="2"/>
        <v>0.34511055902676735</v>
      </c>
      <c r="F57" s="2">
        <f t="shared" si="3"/>
        <v>-0.140625</v>
      </c>
      <c r="G57" s="9">
        <f t="shared" si="4"/>
        <v>1.9775390625E-2</v>
      </c>
    </row>
    <row r="58" spans="1:7" x14ac:dyDescent="0.3">
      <c r="A58" s="2">
        <v>6.1875</v>
      </c>
      <c r="B58" s="2">
        <v>8.1904761904761898</v>
      </c>
      <c r="C58">
        <f t="shared" si="0"/>
        <v>6.9922047861051677</v>
      </c>
      <c r="D58" s="2">
        <f t="shared" si="1"/>
        <v>1.1982714043710221</v>
      </c>
      <c r="E58" s="8">
        <f t="shared" si="2"/>
        <v>1.4358543585333015</v>
      </c>
      <c r="F58" s="2">
        <f t="shared" si="3"/>
        <v>0.296875</v>
      </c>
      <c r="G58" s="9">
        <f t="shared" si="4"/>
        <v>8.8134765625E-2</v>
      </c>
    </row>
    <row r="59" spans="1:7" x14ac:dyDescent="0.3">
      <c r="A59" s="2">
        <v>6.1875</v>
      </c>
      <c r="B59" s="2">
        <v>6.9523809523809526</v>
      </c>
      <c r="C59">
        <f t="shared" si="0"/>
        <v>6.9922047861051677</v>
      </c>
      <c r="D59" s="2">
        <f t="shared" si="1"/>
        <v>-3.9823833724215163E-2</v>
      </c>
      <c r="E59" s="8">
        <f t="shared" si="2"/>
        <v>1.585937732493937E-3</v>
      </c>
      <c r="F59" s="2">
        <f t="shared" si="3"/>
        <v>0.296875</v>
      </c>
      <c r="G59" s="9">
        <f t="shared" si="4"/>
        <v>8.8134765625E-2</v>
      </c>
    </row>
    <row r="60" spans="1:7" x14ac:dyDescent="0.3">
      <c r="A60" s="2">
        <v>6.8125</v>
      </c>
      <c r="B60" s="2">
        <v>7.4285714285714288</v>
      </c>
      <c r="C60">
        <f t="shared" si="0"/>
        <v>7.2760812402924939</v>
      </c>
      <c r="D60" s="2">
        <f t="shared" si="1"/>
        <v>0.1524901882789349</v>
      </c>
      <c r="E60" s="8">
        <f t="shared" si="2"/>
        <v>2.3253257521345015E-2</v>
      </c>
      <c r="F60" s="2">
        <f t="shared" si="3"/>
        <v>0.921875</v>
      </c>
      <c r="G60" s="9">
        <f t="shared" si="4"/>
        <v>0.849853515625</v>
      </c>
    </row>
    <row r="61" spans="1:7" x14ac:dyDescent="0.3">
      <c r="A61" s="2">
        <v>6.8125</v>
      </c>
      <c r="B61" s="2">
        <v>7.4285714285714288</v>
      </c>
      <c r="C61">
        <f t="shared" si="0"/>
        <v>7.2760812402924939</v>
      </c>
      <c r="D61" s="2">
        <f t="shared" si="1"/>
        <v>0.1524901882789349</v>
      </c>
      <c r="E61" s="8">
        <f t="shared" si="2"/>
        <v>2.3253257521345015E-2</v>
      </c>
      <c r="F61" s="2">
        <f t="shared" si="3"/>
        <v>0.921875</v>
      </c>
      <c r="G61" s="9">
        <f t="shared" si="4"/>
        <v>0.849853515625</v>
      </c>
    </row>
    <row r="62" spans="1:7" x14ac:dyDescent="0.3">
      <c r="A62" s="2">
        <v>6.875</v>
      </c>
      <c r="B62" s="2">
        <v>8.0952380952380949</v>
      </c>
      <c r="C62">
        <f t="shared" si="0"/>
        <v>7.304468885711227</v>
      </c>
      <c r="D62" s="2">
        <f t="shared" si="1"/>
        <v>0.79076920952686791</v>
      </c>
      <c r="E62" s="8">
        <f t="shared" si="2"/>
        <v>0.62531594273574753</v>
      </c>
      <c r="F62" s="2">
        <f t="shared" si="3"/>
        <v>0.984375</v>
      </c>
      <c r="G62" s="9">
        <f t="shared" si="4"/>
        <v>0.968994140625</v>
      </c>
    </row>
    <row r="63" spans="1:7" x14ac:dyDescent="0.3">
      <c r="A63" s="2">
        <v>5.25</v>
      </c>
      <c r="B63" s="2">
        <v>7.8571428571428568</v>
      </c>
      <c r="C63">
        <f t="shared" si="0"/>
        <v>6.5663901048241797</v>
      </c>
      <c r="D63" s="2">
        <f t="shared" si="1"/>
        <v>1.290752752318677</v>
      </c>
      <c r="E63" s="8">
        <f t="shared" si="2"/>
        <v>1.66604266761824</v>
      </c>
      <c r="F63" s="2">
        <f t="shared" si="3"/>
        <v>-0.640625</v>
      </c>
      <c r="G63" s="9">
        <f t="shared" si="4"/>
        <v>0.410400390625</v>
      </c>
    </row>
    <row r="64" spans="1:7" x14ac:dyDescent="0.3">
      <c r="A64" s="2">
        <v>5.625</v>
      </c>
      <c r="B64" s="2">
        <v>8</v>
      </c>
      <c r="C64">
        <f t="shared" si="0"/>
        <v>6.7367159773365746</v>
      </c>
      <c r="D64" s="2">
        <f t="shared" si="1"/>
        <v>1.2632840226634254</v>
      </c>
      <c r="E64" s="8">
        <f t="shared" si="2"/>
        <v>1.595886521916686</v>
      </c>
      <c r="F64" s="2">
        <f t="shared" si="3"/>
        <v>-0.265625</v>
      </c>
      <c r="G64" s="9">
        <f t="shared" si="4"/>
        <v>7.0556640625E-2</v>
      </c>
    </row>
    <row r="65" spans="1:7" x14ac:dyDescent="0.3">
      <c r="A65" s="2">
        <v>6.3125</v>
      </c>
      <c r="B65" s="2">
        <v>6.8095238095238093</v>
      </c>
      <c r="C65">
        <f t="shared" si="0"/>
        <v>7.0489800769426338</v>
      </c>
      <c r="D65" s="2">
        <f t="shared" si="1"/>
        <v>-0.23945626741882453</v>
      </c>
      <c r="E65" s="8">
        <f t="shared" si="2"/>
        <v>5.7339304006155604E-2</v>
      </c>
      <c r="F65" s="2">
        <f t="shared" si="3"/>
        <v>0.421875</v>
      </c>
      <c r="G65" s="9">
        <f t="shared" si="4"/>
        <v>0.177978515625</v>
      </c>
    </row>
    <row r="66" spans="1:7" x14ac:dyDescent="0.3">
      <c r="A66" s="2">
        <v>5.5</v>
      </c>
      <c r="B66" s="2">
        <v>6.2857142857142856</v>
      </c>
      <c r="C66">
        <f t="shared" si="0"/>
        <v>6.6799406864991093</v>
      </c>
      <c r="D66" s="2">
        <f t="shared" si="1"/>
        <v>-0.39422640078482374</v>
      </c>
      <c r="E66" s="8">
        <f t="shared" si="2"/>
        <v>0.15541445507575646</v>
      </c>
      <c r="F66" s="2">
        <f t="shared" si="3"/>
        <v>-0.390625</v>
      </c>
      <c r="G66" s="9">
        <f t="shared" si="4"/>
        <v>0.152587890625</v>
      </c>
    </row>
    <row r="67" spans="1:7" x14ac:dyDescent="0.3">
      <c r="A67" s="2">
        <v>5.8125</v>
      </c>
      <c r="B67" s="2">
        <v>7.8571428571428568</v>
      </c>
      <c r="C67">
        <f t="shared" ref="C67:C81" si="5">$K$5*A67+$K$6</f>
        <v>6.8218789135927729</v>
      </c>
      <c r="D67" s="2">
        <f t="shared" ref="D67:D81" si="6">B67-C67</f>
        <v>1.0352639435500839</v>
      </c>
      <c r="E67" s="8">
        <f t="shared" ref="E67:E81" si="7">D67^2</f>
        <v>1.0717714328148713</v>
      </c>
      <c r="F67" s="2">
        <f t="shared" ref="F67:F81" si="8">A67-$K$22</f>
        <v>-7.8125E-2</v>
      </c>
      <c r="G67" s="9">
        <f t="shared" ref="G67:G81" si="9">F67^2</f>
        <v>6.103515625E-3</v>
      </c>
    </row>
    <row r="68" spans="1:7" x14ac:dyDescent="0.3">
      <c r="A68" s="2">
        <v>6.5625</v>
      </c>
      <c r="B68" s="2">
        <v>7.0476190476190474</v>
      </c>
      <c r="C68">
        <f t="shared" si="5"/>
        <v>7.1625306586175634</v>
      </c>
      <c r="D68" s="2">
        <f t="shared" si="6"/>
        <v>-0.11491161099851599</v>
      </c>
      <c r="E68" s="8">
        <f t="shared" si="7"/>
        <v>1.320467834227426E-2</v>
      </c>
      <c r="F68" s="2">
        <f t="shared" si="8"/>
        <v>0.671875</v>
      </c>
      <c r="G68" s="9">
        <f t="shared" si="9"/>
        <v>0.451416015625</v>
      </c>
    </row>
    <row r="69" spans="1:7" x14ac:dyDescent="0.3">
      <c r="A69" s="2">
        <v>6.1875</v>
      </c>
      <c r="B69" s="2">
        <v>6.7142857142857144</v>
      </c>
      <c r="C69">
        <f t="shared" si="5"/>
        <v>6.9922047861051677</v>
      </c>
      <c r="D69" s="2">
        <f t="shared" si="6"/>
        <v>-0.2779190718194533</v>
      </c>
      <c r="E69" s="8">
        <f t="shared" si="7"/>
        <v>7.7239010480986442E-2</v>
      </c>
      <c r="F69" s="2">
        <f t="shared" si="8"/>
        <v>0.296875</v>
      </c>
      <c r="G69" s="9">
        <f t="shared" si="9"/>
        <v>8.8134765625E-2</v>
      </c>
    </row>
    <row r="70" spans="1:7" x14ac:dyDescent="0.3">
      <c r="A70" s="2">
        <v>5.6875</v>
      </c>
      <c r="B70" s="2">
        <v>6.4285714285714288</v>
      </c>
      <c r="C70">
        <f t="shared" si="5"/>
        <v>6.7651036227553067</v>
      </c>
      <c r="D70" s="2">
        <f t="shared" si="6"/>
        <v>-0.33653219418387792</v>
      </c>
      <c r="E70" s="8">
        <f t="shared" si="7"/>
        <v>0.11325391772221531</v>
      </c>
      <c r="F70" s="2">
        <f t="shared" si="8"/>
        <v>-0.203125</v>
      </c>
      <c r="G70" s="9">
        <f t="shared" si="9"/>
        <v>4.1259765625E-2</v>
      </c>
    </row>
    <row r="71" spans="1:7" x14ac:dyDescent="0.3">
      <c r="A71" s="2">
        <v>6.4375</v>
      </c>
      <c r="B71" s="2">
        <v>7.0476190476190474</v>
      </c>
      <c r="C71">
        <f t="shared" si="5"/>
        <v>7.1057553677800982</v>
      </c>
      <c r="D71" s="2">
        <f t="shared" si="6"/>
        <v>-5.8136320161050747E-2</v>
      </c>
      <c r="E71" s="8">
        <f t="shared" si="7"/>
        <v>3.3798317218681957E-3</v>
      </c>
      <c r="F71" s="2">
        <f t="shared" si="8"/>
        <v>0.546875</v>
      </c>
      <c r="G71" s="9">
        <f t="shared" si="9"/>
        <v>0.299072265625</v>
      </c>
    </row>
    <row r="72" spans="1:7" x14ac:dyDescent="0.3">
      <c r="A72" s="2">
        <v>6</v>
      </c>
      <c r="B72" s="2">
        <v>6.7619047619047619</v>
      </c>
      <c r="C72">
        <f t="shared" si="5"/>
        <v>6.9070418498489703</v>
      </c>
      <c r="D72" s="2">
        <f t="shared" si="6"/>
        <v>-0.14513708794420843</v>
      </c>
      <c r="E72" s="8">
        <f t="shared" si="7"/>
        <v>2.1064774296924892E-2</v>
      </c>
      <c r="F72" s="2">
        <f t="shared" si="8"/>
        <v>0.109375</v>
      </c>
      <c r="G72" s="9">
        <f t="shared" si="9"/>
        <v>1.1962890625E-2</v>
      </c>
    </row>
    <row r="73" spans="1:7" x14ac:dyDescent="0.3">
      <c r="A73" s="2">
        <v>5.5</v>
      </c>
      <c r="B73" s="2">
        <v>5.2857142857142856</v>
      </c>
      <c r="C73">
        <f t="shared" si="5"/>
        <v>6.6799406864991093</v>
      </c>
      <c r="D73" s="2">
        <f t="shared" si="6"/>
        <v>-1.3942264007848237</v>
      </c>
      <c r="E73" s="8">
        <f t="shared" si="7"/>
        <v>1.9438672566454041</v>
      </c>
      <c r="F73" s="2">
        <f t="shared" si="8"/>
        <v>-0.390625</v>
      </c>
      <c r="G73" s="9">
        <f t="shared" si="9"/>
        <v>0.152587890625</v>
      </c>
    </row>
    <row r="74" spans="1:7" x14ac:dyDescent="0.3">
      <c r="A74" s="2">
        <v>6.4375</v>
      </c>
      <c r="B74" s="2">
        <v>8.3809523809523814</v>
      </c>
      <c r="C74">
        <f t="shared" si="5"/>
        <v>7.1057553677800982</v>
      </c>
      <c r="D74" s="2">
        <f t="shared" si="6"/>
        <v>1.2751970131722832</v>
      </c>
      <c r="E74" s="8">
        <f t="shared" si="7"/>
        <v>1.626127422403512</v>
      </c>
      <c r="F74" s="2">
        <f t="shared" si="8"/>
        <v>0.546875</v>
      </c>
      <c r="G74" s="9">
        <f t="shared" si="9"/>
        <v>0.299072265625</v>
      </c>
    </row>
    <row r="75" spans="1:7" x14ac:dyDescent="0.3">
      <c r="A75" s="2">
        <v>6.9375</v>
      </c>
      <c r="B75" s="2">
        <v>6.666666666666667</v>
      </c>
      <c r="C75">
        <f t="shared" si="5"/>
        <v>7.3328565311299592</v>
      </c>
      <c r="D75" s="2">
        <f t="shared" si="6"/>
        <v>-0.6661898644632922</v>
      </c>
      <c r="E75" s="8">
        <f t="shared" si="7"/>
        <v>0.44380893551361966</v>
      </c>
      <c r="F75" s="2">
        <f t="shared" si="8"/>
        <v>1.046875</v>
      </c>
      <c r="G75" s="9">
        <f t="shared" si="9"/>
        <v>1.095947265625</v>
      </c>
    </row>
    <row r="76" spans="1:7" x14ac:dyDescent="0.3">
      <c r="A76" s="2">
        <v>6.0625</v>
      </c>
      <c r="B76" s="2">
        <v>6.333333333333333</v>
      </c>
      <c r="C76">
        <f t="shared" si="5"/>
        <v>6.9354294952677034</v>
      </c>
      <c r="D76" s="2">
        <f t="shared" si="6"/>
        <v>-0.60209616193437032</v>
      </c>
      <c r="E76" s="8">
        <f t="shared" si="7"/>
        <v>0.36251978821609948</v>
      </c>
      <c r="F76" s="2">
        <f t="shared" si="8"/>
        <v>0.171875</v>
      </c>
      <c r="G76" s="9">
        <f t="shared" si="9"/>
        <v>2.9541015625E-2</v>
      </c>
    </row>
    <row r="77" spans="1:7" x14ac:dyDescent="0.3">
      <c r="A77" s="2">
        <v>5.25</v>
      </c>
      <c r="B77" s="2">
        <v>5.6190476190476186</v>
      </c>
      <c r="C77">
        <f t="shared" si="5"/>
        <v>6.5663901048241797</v>
      </c>
      <c r="D77" s="2">
        <f t="shared" si="6"/>
        <v>-0.94734248577656111</v>
      </c>
      <c r="E77" s="8">
        <f t="shared" si="7"/>
        <v>0.89745778535731391</v>
      </c>
      <c r="F77" s="2">
        <f t="shared" si="8"/>
        <v>-0.640625</v>
      </c>
      <c r="G77" s="9">
        <f t="shared" si="9"/>
        <v>0.410400390625</v>
      </c>
    </row>
    <row r="78" spans="1:7" x14ac:dyDescent="0.3">
      <c r="A78" s="2">
        <v>6.5625</v>
      </c>
      <c r="B78" s="2">
        <v>7.4285714285714288</v>
      </c>
      <c r="C78">
        <f t="shared" si="5"/>
        <v>7.1625306586175634</v>
      </c>
      <c r="D78" s="2">
        <f t="shared" si="6"/>
        <v>0.26604076995386539</v>
      </c>
      <c r="E78" s="8">
        <f t="shared" si="7"/>
        <v>7.0777691277645521E-2</v>
      </c>
      <c r="F78" s="2">
        <f t="shared" si="8"/>
        <v>0.671875</v>
      </c>
      <c r="G78" s="9">
        <f t="shared" si="9"/>
        <v>0.451416015625</v>
      </c>
    </row>
    <row r="79" spans="1:7" x14ac:dyDescent="0.3">
      <c r="A79" s="2">
        <v>6.1875</v>
      </c>
      <c r="B79" s="2">
        <v>8.0476190476190474</v>
      </c>
      <c r="C79">
        <f t="shared" si="5"/>
        <v>6.9922047861051677</v>
      </c>
      <c r="D79" s="2">
        <f t="shared" si="6"/>
        <v>1.0554142615138797</v>
      </c>
      <c r="E79" s="8">
        <f t="shared" si="7"/>
        <v>1.1138992634068881</v>
      </c>
      <c r="F79" s="2">
        <f t="shared" si="8"/>
        <v>0.296875</v>
      </c>
      <c r="G79" s="9">
        <f t="shared" si="9"/>
        <v>8.8134765625E-2</v>
      </c>
    </row>
    <row r="80" spans="1:7" x14ac:dyDescent="0.3">
      <c r="A80" s="2">
        <v>7.125</v>
      </c>
      <c r="B80" s="2">
        <v>7.4285714285714288</v>
      </c>
      <c r="C80">
        <f t="shared" si="5"/>
        <v>7.4180194673861575</v>
      </c>
      <c r="D80" s="2">
        <f t="shared" si="6"/>
        <v>1.0551961185271352E-2</v>
      </c>
      <c r="E80" s="8">
        <f t="shared" si="7"/>
        <v>1.113438848554732E-4</v>
      </c>
      <c r="F80" s="2">
        <f t="shared" si="8"/>
        <v>1.234375</v>
      </c>
      <c r="G80" s="9">
        <f t="shared" si="9"/>
        <v>1.523681640625</v>
      </c>
    </row>
    <row r="81" spans="1:7" x14ac:dyDescent="0.3">
      <c r="A81" s="2">
        <v>5.8125</v>
      </c>
      <c r="B81" s="2">
        <v>6.1428571428571432</v>
      </c>
      <c r="C81">
        <f t="shared" si="5"/>
        <v>6.8218789135927729</v>
      </c>
      <c r="D81" s="2">
        <f t="shared" si="6"/>
        <v>-0.67902177073562964</v>
      </c>
      <c r="E81" s="8">
        <f t="shared" si="7"/>
        <v>0.46107056513294997</v>
      </c>
      <c r="F81" s="2">
        <f t="shared" si="8"/>
        <v>-7.8125E-2</v>
      </c>
      <c r="G81" s="9">
        <f t="shared" si="9"/>
        <v>6.103515625E-3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FinalExaminData_03</vt:lpstr>
      <vt:lpstr>Prob 1</vt:lpstr>
      <vt:lpstr>Prob 2</vt:lpstr>
      <vt:lpstr>Prob 3</vt:lpstr>
      <vt:lpstr>Prob 4</vt:lpstr>
      <vt:lpstr>Prob 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Xuân Tùng Nguyễn</cp:lastModifiedBy>
  <dcterms:created xsi:type="dcterms:W3CDTF">2011-08-01T14:22:18Z</dcterms:created>
  <dcterms:modified xsi:type="dcterms:W3CDTF">2023-06-29T08:01:27Z</dcterms:modified>
</cp:coreProperties>
</file>