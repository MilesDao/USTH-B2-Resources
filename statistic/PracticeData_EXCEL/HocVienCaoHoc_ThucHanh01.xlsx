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8" yWindow="-108" windowWidth="23256" windowHeight="12576" activeTab="4"/>
  </bookViews>
  <sheets>
    <sheet name="HocVienCaoHoc" sheetId="1" r:id="rId1"/>
    <sheet name="Sheet1" sheetId="7" r:id="rId2"/>
    <sheet name="Sheet2" sheetId="8" r:id="rId3"/>
    <sheet name="Sheet3" sheetId="9" r:id="rId4"/>
    <sheet name="Sheet4" sheetId="10" r:id="rId5"/>
  </sheets>
  <calcPr calcId="124519"/>
</workbook>
</file>

<file path=xl/calcChain.xml><?xml version="1.0" encoding="utf-8"?>
<calcChain xmlns="http://schemas.openxmlformats.org/spreadsheetml/2006/main">
  <c r="G13" i="10"/>
  <c r="G12"/>
  <c r="G11"/>
  <c r="G9"/>
  <c r="D3"/>
  <c r="D4"/>
  <c r="D5"/>
  <c r="D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37"/>
  <c r="D38"/>
  <c r="D39"/>
  <c r="D40"/>
  <c r="D41"/>
  <c r="D42"/>
  <c r="D43"/>
  <c r="D44"/>
  <c r="D45"/>
  <c r="D46"/>
  <c r="D2"/>
  <c r="C43"/>
  <c r="C44"/>
  <c r="C45"/>
  <c r="C46"/>
  <c r="C42"/>
  <c r="C26"/>
  <c r="C27"/>
  <c r="C28"/>
  <c r="C29"/>
  <c r="C30"/>
  <c r="C31"/>
  <c r="C32"/>
  <c r="C33"/>
  <c r="C34"/>
  <c r="C35"/>
  <c r="C36"/>
  <c r="C37"/>
  <c r="C38"/>
  <c r="C39"/>
  <c r="C40"/>
  <c r="C41"/>
  <c r="C25"/>
  <c r="C18"/>
  <c r="C19"/>
  <c r="C20"/>
  <c r="C21"/>
  <c r="C22"/>
  <c r="C23"/>
  <c r="C24"/>
  <c r="C17"/>
  <c r="C3"/>
  <c r="C4"/>
  <c r="C5"/>
  <c r="C6"/>
  <c r="C7"/>
  <c r="C8"/>
  <c r="C9"/>
  <c r="C10"/>
  <c r="C11"/>
  <c r="C12"/>
  <c r="C13"/>
  <c r="C14"/>
  <c r="C15"/>
  <c r="C16"/>
  <c r="C2"/>
  <c r="G4"/>
  <c r="J3"/>
  <c r="J5" s="1"/>
  <c r="J6" s="1"/>
  <c r="I3"/>
  <c r="I5" s="1"/>
  <c r="I6" s="1"/>
  <c r="H3"/>
  <c r="H5" s="1"/>
  <c r="H6" s="1"/>
  <c r="G3"/>
  <c r="G5" s="1"/>
  <c r="G6" s="1"/>
  <c r="G8" s="1"/>
  <c r="J2"/>
  <c r="I2"/>
  <c r="H2"/>
  <c r="G2"/>
  <c r="K2" s="1"/>
  <c r="G9" i="9"/>
  <c r="F9"/>
  <c r="F8"/>
  <c r="G8"/>
  <c r="G7"/>
  <c r="F7"/>
  <c r="G5"/>
  <c r="F5"/>
  <c r="G6"/>
  <c r="F6"/>
  <c r="G17" i="8"/>
  <c r="G16"/>
  <c r="G13"/>
  <c r="I9"/>
  <c r="G8"/>
  <c r="G9"/>
  <c r="G7"/>
  <c r="G6"/>
  <c r="G5"/>
  <c r="G4"/>
  <c r="C3"/>
  <c r="C4"/>
  <c r="C5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37"/>
  <c r="C38"/>
  <c r="C39"/>
  <c r="C40"/>
  <c r="C41"/>
  <c r="C42"/>
  <c r="C43"/>
  <c r="C44"/>
  <c r="C45"/>
  <c r="C46"/>
  <c r="C2"/>
  <c r="N28" i="7" l="1"/>
  <c r="O26"/>
  <c r="O25"/>
  <c r="I25"/>
  <c r="J29"/>
  <c r="H25" l="1"/>
  <c r="I24"/>
  <c r="H24"/>
  <c r="I23"/>
  <c r="I32" s="1"/>
  <c r="H23"/>
  <c r="U6"/>
  <c r="U7"/>
  <c r="U8"/>
  <c r="U9"/>
  <c r="U5"/>
  <c r="T6"/>
  <c r="T7"/>
  <c r="T8"/>
  <c r="T9"/>
  <c r="T5"/>
  <c r="I8"/>
  <c r="M7" s="1"/>
  <c r="H8"/>
  <c r="I7"/>
  <c r="H7"/>
  <c r="I6"/>
  <c r="H6"/>
  <c r="H16" s="1"/>
  <c r="H26" l="1"/>
  <c r="H28" s="1"/>
  <c r="H32"/>
  <c r="H33" s="1"/>
  <c r="I33"/>
  <c r="I34"/>
  <c r="H17"/>
  <c r="H18"/>
  <c r="M8"/>
  <c r="I16"/>
  <c r="I17" s="1"/>
  <c r="H27"/>
  <c r="H10"/>
  <c r="J12" s="1"/>
  <c r="H9"/>
  <c r="H60" i="1"/>
  <c r="H58"/>
  <c r="H57"/>
  <c r="C61"/>
  <c r="B61"/>
  <c r="D63"/>
  <c r="D62"/>
  <c r="C57"/>
  <c r="B57"/>
  <c r="D59"/>
  <c r="D58"/>
  <c r="D48"/>
  <c r="D53" s="1"/>
  <c r="D54" s="1"/>
  <c r="D55"/>
  <c r="D51"/>
  <c r="D50"/>
  <c r="D49"/>
  <c r="H29" i="7" l="1"/>
  <c r="H12"/>
  <c r="H11"/>
  <c r="H34"/>
  <c r="I18"/>
  <c r="E61" i="1"/>
  <c r="E57"/>
</calcChain>
</file>

<file path=xl/sharedStrings.xml><?xml version="1.0" encoding="utf-8"?>
<sst xmlns="http://schemas.openxmlformats.org/spreadsheetml/2006/main" count="248" uniqueCount="120">
  <si>
    <t>Lop</t>
  </si>
  <si>
    <t>tuoi</t>
  </si>
  <si>
    <t>gioitinh</t>
  </si>
  <si>
    <t>chieucao</t>
  </si>
  <si>
    <t>cannang</t>
  </si>
  <si>
    <t>gthong</t>
  </si>
  <si>
    <t>khcach</t>
  </si>
  <si>
    <t>thgian</t>
  </si>
  <si>
    <t>tacduong</t>
  </si>
  <si>
    <t>xemphim</t>
  </si>
  <si>
    <t>thethao</t>
  </si>
  <si>
    <t>canhac</t>
  </si>
  <si>
    <t>docsach</t>
  </si>
  <si>
    <t>bongda</t>
  </si>
  <si>
    <t>dulich</t>
  </si>
  <si>
    <t>ab</t>
  </si>
  <si>
    <t>nhdphong</t>
  </si>
  <si>
    <t>nhdtroi</t>
  </si>
  <si>
    <t>Nu</t>
  </si>
  <si>
    <t>nam</t>
  </si>
  <si>
    <t>nu</t>
  </si>
  <si>
    <t>TBNam</t>
  </si>
  <si>
    <t>TBNu</t>
  </si>
  <si>
    <t>PSNam</t>
  </si>
  <si>
    <t>PSNu</t>
  </si>
  <si>
    <t>Thống kê T</t>
  </si>
  <si>
    <t>p-value</t>
  </si>
  <si>
    <t>Critical V</t>
  </si>
  <si>
    <t>95%CI</t>
  </si>
  <si>
    <t>Tke T Nam</t>
  </si>
  <si>
    <t>CRVal Nam</t>
  </si>
  <si>
    <t>Tke T Nu</t>
  </si>
  <si>
    <t>CRVal Nu</t>
  </si>
  <si>
    <t>ThKe F</t>
  </si>
  <si>
    <t>CV</t>
  </si>
  <si>
    <t>SS Phuong sai</t>
  </si>
  <si>
    <t>Giả thuyết H: TB chiều cao của học viên lớp 1 = TB chiều cao của học viên lớp  2</t>
  </si>
  <si>
    <r>
      <t xml:space="preserve">Đối thuyết K: TB chiều cao của học viên lớp 1 </t>
    </r>
    <r>
      <rPr>
        <sz val="11"/>
        <color theme="1"/>
        <rFont val="Calibri"/>
        <family val="2"/>
      </rPr>
      <t>≠</t>
    </r>
    <r>
      <rPr>
        <sz val="11"/>
        <color theme="1"/>
        <rFont val="Calibri"/>
        <family val="2"/>
        <scheme val="minor"/>
      </rPr>
      <t xml:space="preserve"> TB chiều cao của học viên lớp  2</t>
    </r>
  </si>
  <si>
    <t>PP Giá trị tới hạn:</t>
  </si>
  <si>
    <t>Lớp 1</t>
  </si>
  <si>
    <t>Lớp 2</t>
  </si>
  <si>
    <t>N (cỡ mẫu)</t>
  </si>
  <si>
    <t>Mean (X)</t>
  </si>
  <si>
    <t>Var (X)</t>
  </si>
  <si>
    <t>TK kiểm định</t>
  </si>
  <si>
    <t>Cr(T(5%,N1+N2 - 2))</t>
  </si>
  <si>
    <t>DF</t>
  </si>
  <si>
    <t>Cr(T(5%,df))</t>
  </si>
  <si>
    <t>Cr(T(10%,df))</t>
  </si>
  <si>
    <t>Trị TĐ của TKKĐ</t>
  </si>
  <si>
    <t>nhỏ hơn CR</t>
  </si>
  <si>
    <t>, vậy ta chấp nhận giả thuyết H</t>
  </si>
  <si>
    <t>Kết luận TB chiều cao của học viên lớp 1 = TB chiều cao của học viên lớp  2</t>
  </si>
  <si>
    <t>Giả thuyết H: TB chiều cao của học viên nam = TB chiều cao của học viên nữ</t>
  </si>
  <si>
    <r>
      <t xml:space="preserve">Đối thuyết K: TB chiều cao của học viên nam </t>
    </r>
    <r>
      <rPr>
        <sz val="11"/>
        <color theme="1"/>
        <rFont val="Calibri"/>
        <family val="2"/>
      </rPr>
      <t>≠</t>
    </r>
    <r>
      <rPr>
        <sz val="11"/>
        <color theme="1"/>
        <rFont val="Calibri"/>
        <family val="2"/>
        <scheme val="minor"/>
      </rPr>
      <t xml:space="preserve"> TB chiều cao của học viên nữ</t>
    </r>
  </si>
  <si>
    <t>Nam</t>
  </si>
  <si>
    <t>Nữ</t>
  </si>
  <si>
    <t>lớn hơn CR</t>
  </si>
  <si>
    <t>, vậy ta bác bỏ giả thuyết H</t>
  </si>
  <si>
    <t>Kết luận TB chiều cao của học viên nam khác TB chiều cao của học viên nữ</t>
  </si>
  <si>
    <t>Significance probab.</t>
  </si>
  <si>
    <t>&gt;5%</t>
  </si>
  <si>
    <t>&gt;&gt; Chấp nhận GT</t>
  </si>
  <si>
    <t>&lt; 5%</t>
  </si>
  <si>
    <t>&gt;&gt; Bác bỏ GT</t>
  </si>
  <si>
    <t>PP Khoảng tin cậy</t>
  </si>
  <si>
    <t>Cr(T(5%,N1|N2 - 1))</t>
  </si>
  <si>
    <t>LB</t>
  </si>
  <si>
    <t>UB</t>
  </si>
  <si>
    <t>Lower Bound</t>
  </si>
  <si>
    <t>Upper Bound</t>
  </si>
  <si>
    <t>Hai KTC giao nhau ==&gt; chấp nhận GT</t>
  </si>
  <si>
    <t>Hai KTC không giao nhau ==&gt; bác bỏ GT</t>
  </si>
  <si>
    <t>So sánh hai PS</t>
  </si>
  <si>
    <t>Giả thuyết H: PS1 = PS2</t>
  </si>
  <si>
    <t>Đối thuyết K PS1 khác PS2</t>
  </si>
  <si>
    <t>TK KĐ</t>
  </si>
  <si>
    <t>Cr(F(5%,N2,N1)</t>
  </si>
  <si>
    <t>TKKĐ &gt; Cr ==&gt; Bác bỏ GT</t>
  </si>
  <si>
    <t>TKKĐ &lt; Cr ==&gt; chấp nhận GT</t>
  </si>
  <si>
    <t>Cr(F(10%,N2,N1)</t>
  </si>
  <si>
    <t>sig. p</t>
  </si>
  <si>
    <t>Z=X-Y</t>
  </si>
  <si>
    <t>Giả thuyết H: Trung bình nhiệt độ trong phòng = Trung bình nhiệt độ ngoài trời</t>
  </si>
  <si>
    <t>Đối thuyết K: Trung bình nhiệt độ trong phòng KHÁC Trung bình nhiệt độ ngoài trời</t>
  </si>
  <si>
    <t>Mean(Z)</t>
  </si>
  <si>
    <t>SD(Z)</t>
  </si>
  <si>
    <t>TKKĐ</t>
  </si>
  <si>
    <t>Cr(T(5%,N-1))</t>
  </si>
  <si>
    <t>Trị tuyệt đối của TKKĐ</t>
  </si>
  <si>
    <t xml:space="preserve"> &gt; GTTH</t>
  </si>
  <si>
    <t>Vậy ta bác bỏ GT H, kết luận Trung bình nhiệt độ trong phòng KHÁC Trung bình nhiệt độ ngoài trời</t>
  </si>
  <si>
    <t>PP XS ý nghĩa</t>
  </si>
  <si>
    <t>Sig. probability</t>
  </si>
  <si>
    <t>Vậy ta bác bỏ GT, kết luận …</t>
  </si>
  <si>
    <t>PP khoảng tin cậy</t>
  </si>
  <si>
    <t>Khoảng TC của Mean(Z) = (-2.34818;-0.7407) không chứa 0. Vậy ta bác bỏ giả thuyết, kết luận …</t>
  </si>
  <si>
    <t>Giả thuyết H: Tỷ lệ thích đọc sánh của Lớp 1 = Tỷ lệ thích đọc sánh của Lớp 2</t>
  </si>
  <si>
    <t>Đối thuyết K: Tỷ lệ thích đọc sánh của Lớp 1 KHÁC Tỷ lệ thích đọc sánh của Lớp 2</t>
  </si>
  <si>
    <t>PP KTC</t>
  </si>
  <si>
    <t>Tần số Thích Đọc sách</t>
  </si>
  <si>
    <t xml:space="preserve">Tỷ lệ </t>
  </si>
  <si>
    <t>Cỡ mẫu N</t>
  </si>
  <si>
    <t>Hai KTC giao nhau, ta chấp nhận GT, kết luận Tỷ lệ thích đọc sánh của Lớp 1 = Tỷ lệ thích đọc sánh của Lớp 2</t>
  </si>
  <si>
    <t>Nhóm 1</t>
  </si>
  <si>
    <t>Nhóm 2</t>
  </si>
  <si>
    <t>Nhóm 3</t>
  </si>
  <si>
    <t>Nhóm 4</t>
  </si>
  <si>
    <t>n_i</t>
  </si>
  <si>
    <t>Total N</t>
  </si>
  <si>
    <t>mu_i</t>
  </si>
  <si>
    <t>mu</t>
  </si>
  <si>
    <t>alpha_i</t>
  </si>
  <si>
    <t>(alpha_i)^2</t>
  </si>
  <si>
    <t>BSS</t>
  </si>
  <si>
    <t>X-mu_i</t>
  </si>
  <si>
    <t>(X-mu_i)^2</t>
  </si>
  <si>
    <t>RSS</t>
  </si>
  <si>
    <t>F</t>
  </si>
  <si>
    <t>Cr(F(5%,k-1,N-k)</t>
  </si>
</sst>
</file>

<file path=xl/styles.xml><?xml version="1.0" encoding="utf-8"?>
<styleSheet xmlns="http://schemas.openxmlformats.org/spreadsheetml/2006/main">
  <numFmts count="2">
    <numFmt numFmtId="164" formatCode="0.0"/>
    <numFmt numFmtId="166" formatCode="0.0000"/>
  </numFmts>
  <fonts count="2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2" fontId="0" fillId="0" borderId="0" xfId="0" applyNumberFormat="1"/>
    <xf numFmtId="1" fontId="0" fillId="0" borderId="0" xfId="0" applyNumberFormat="1"/>
    <xf numFmtId="0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63"/>
  <sheetViews>
    <sheetView topLeftCell="E1" zoomScale="144" zoomScaleNormal="144" workbookViewId="0">
      <selection activeCell="I1" sqref="H1:I1048576"/>
    </sheetView>
  </sheetViews>
  <sheetFormatPr defaultRowHeight="14.4"/>
  <cols>
    <col min="1" max="1" width="5.44140625" customWidth="1"/>
    <col min="2" max="2" width="6.21875" customWidth="1"/>
    <col min="3" max="3" width="7.21875" customWidth="1"/>
    <col min="4" max="4" width="8.6640625" customWidth="1"/>
    <col min="5" max="5" width="7.77734375" customWidth="1"/>
    <col min="6" max="7" width="7.21875" customWidth="1"/>
    <col min="8" max="8" width="7.109375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s="3">
        <v>1</v>
      </c>
      <c r="B2" s="3">
        <v>23</v>
      </c>
      <c r="C2" t="s">
        <v>19</v>
      </c>
      <c r="D2" s="3">
        <v>166</v>
      </c>
      <c r="E2" s="1">
        <v>62</v>
      </c>
      <c r="F2" s="3">
        <v>2</v>
      </c>
      <c r="G2" s="2">
        <v>1</v>
      </c>
      <c r="H2" s="2">
        <v>5</v>
      </c>
      <c r="I2" s="3">
        <v>1</v>
      </c>
      <c r="J2" s="3">
        <v>0</v>
      </c>
      <c r="K2" s="3">
        <v>1</v>
      </c>
      <c r="L2" s="3">
        <v>1</v>
      </c>
      <c r="M2" s="3">
        <v>0</v>
      </c>
      <c r="N2" s="3">
        <v>1</v>
      </c>
      <c r="O2" s="3">
        <v>0</v>
      </c>
      <c r="P2" s="2">
        <v>55</v>
      </c>
      <c r="Q2" s="1">
        <v>22</v>
      </c>
      <c r="R2" s="1">
        <v>25</v>
      </c>
      <c r="S2" s="3">
        <v>0</v>
      </c>
    </row>
    <row r="3" spans="1:19">
      <c r="A3" s="3">
        <v>1</v>
      </c>
      <c r="B3" s="3">
        <v>25</v>
      </c>
      <c r="C3" t="s">
        <v>19</v>
      </c>
      <c r="D3" s="3">
        <v>168</v>
      </c>
      <c r="E3" s="1">
        <v>57</v>
      </c>
      <c r="F3" s="3">
        <v>2</v>
      </c>
      <c r="G3" s="2">
        <v>10</v>
      </c>
      <c r="H3" s="2">
        <v>20</v>
      </c>
      <c r="I3" s="3">
        <v>3</v>
      </c>
      <c r="J3" s="3">
        <v>1</v>
      </c>
      <c r="K3" s="3">
        <v>1</v>
      </c>
      <c r="L3" s="3">
        <v>1</v>
      </c>
      <c r="M3" s="3">
        <v>1</v>
      </c>
      <c r="N3" s="3">
        <v>1</v>
      </c>
      <c r="O3" s="3">
        <v>0</v>
      </c>
      <c r="P3" s="2">
        <v>60</v>
      </c>
      <c r="Q3" s="1">
        <v>24</v>
      </c>
      <c r="R3" s="1">
        <v>26</v>
      </c>
      <c r="S3" s="3">
        <v>0</v>
      </c>
    </row>
    <row r="4" spans="1:19">
      <c r="A4" s="3">
        <v>1</v>
      </c>
      <c r="B4" s="3">
        <v>26</v>
      </c>
      <c r="C4" t="s">
        <v>19</v>
      </c>
      <c r="D4" s="3">
        <v>172</v>
      </c>
      <c r="E4" s="1">
        <v>55</v>
      </c>
      <c r="F4" s="3">
        <v>2</v>
      </c>
      <c r="G4" s="2">
        <v>5</v>
      </c>
      <c r="H4" s="2">
        <v>20</v>
      </c>
      <c r="I4" s="3">
        <v>3</v>
      </c>
      <c r="J4" s="3">
        <v>1</v>
      </c>
      <c r="K4" s="3">
        <v>1</v>
      </c>
      <c r="L4" s="3">
        <v>0</v>
      </c>
      <c r="M4" s="3">
        <v>0</v>
      </c>
      <c r="N4" s="3">
        <v>1</v>
      </c>
      <c r="O4" s="3">
        <v>1</v>
      </c>
      <c r="P4" s="2">
        <v>50</v>
      </c>
      <c r="Q4" s="1">
        <v>18</v>
      </c>
      <c r="R4" s="1">
        <v>22</v>
      </c>
      <c r="S4" s="3">
        <v>0</v>
      </c>
    </row>
    <row r="5" spans="1:19">
      <c r="A5" s="3">
        <v>1</v>
      </c>
      <c r="B5" s="3">
        <v>31</v>
      </c>
      <c r="C5" t="s">
        <v>19</v>
      </c>
      <c r="D5" s="3">
        <v>160</v>
      </c>
      <c r="E5" s="1">
        <v>60</v>
      </c>
      <c r="F5" s="3">
        <v>0</v>
      </c>
      <c r="G5" s="2">
        <v>0.05</v>
      </c>
      <c r="H5" s="2">
        <v>5</v>
      </c>
      <c r="I5" s="3">
        <v>1</v>
      </c>
      <c r="J5" s="3">
        <v>0</v>
      </c>
      <c r="K5" s="3">
        <v>0</v>
      </c>
      <c r="L5" s="3">
        <v>0</v>
      </c>
      <c r="M5" s="3">
        <v>1</v>
      </c>
      <c r="N5" s="3">
        <v>0</v>
      </c>
      <c r="O5" s="3">
        <v>0</v>
      </c>
      <c r="P5" s="2">
        <v>40</v>
      </c>
      <c r="Q5" s="1">
        <v>20</v>
      </c>
      <c r="R5" s="1">
        <v>22</v>
      </c>
      <c r="S5" s="3">
        <v>0</v>
      </c>
    </row>
    <row r="6" spans="1:19">
      <c r="A6" s="3">
        <v>1</v>
      </c>
      <c r="B6" s="3">
        <v>25</v>
      </c>
      <c r="C6" t="s">
        <v>19</v>
      </c>
      <c r="D6" s="3">
        <v>172</v>
      </c>
      <c r="E6" s="1">
        <v>62</v>
      </c>
      <c r="F6" s="3">
        <v>2</v>
      </c>
      <c r="G6" s="2">
        <v>3</v>
      </c>
      <c r="H6" s="2">
        <v>10</v>
      </c>
      <c r="I6" s="3">
        <v>2</v>
      </c>
      <c r="J6" s="3">
        <v>1</v>
      </c>
      <c r="K6" s="3">
        <v>1</v>
      </c>
      <c r="L6" s="3">
        <v>1</v>
      </c>
      <c r="M6" s="3">
        <v>0</v>
      </c>
      <c r="N6" s="3">
        <v>1</v>
      </c>
      <c r="O6" s="3">
        <v>1</v>
      </c>
      <c r="P6" s="2">
        <v>50</v>
      </c>
      <c r="Q6" s="1">
        <v>22</v>
      </c>
      <c r="R6" s="1">
        <v>25</v>
      </c>
      <c r="S6" s="3">
        <v>0</v>
      </c>
    </row>
    <row r="7" spans="1:19">
      <c r="A7" s="3">
        <v>1</v>
      </c>
      <c r="B7" s="3">
        <v>23</v>
      </c>
      <c r="C7" t="s">
        <v>19</v>
      </c>
      <c r="D7" s="3">
        <v>168</v>
      </c>
      <c r="E7" s="1">
        <v>56</v>
      </c>
      <c r="F7" s="3">
        <v>2</v>
      </c>
      <c r="G7" s="2">
        <v>2</v>
      </c>
      <c r="H7" s="2">
        <v>5</v>
      </c>
      <c r="I7" s="3">
        <v>2</v>
      </c>
      <c r="J7" s="3">
        <v>0</v>
      </c>
      <c r="K7" s="3">
        <v>0</v>
      </c>
      <c r="L7" s="3">
        <v>0</v>
      </c>
      <c r="M7" s="3">
        <v>0</v>
      </c>
      <c r="N7" s="3">
        <v>1</v>
      </c>
      <c r="O7" s="3">
        <v>0</v>
      </c>
      <c r="P7" s="2">
        <v>13</v>
      </c>
      <c r="Q7" s="1">
        <v>21</v>
      </c>
      <c r="R7" s="1">
        <v>26</v>
      </c>
      <c r="S7" s="3">
        <v>0</v>
      </c>
    </row>
    <row r="8" spans="1:19">
      <c r="A8" s="3">
        <v>1</v>
      </c>
      <c r="B8" s="3">
        <v>23</v>
      </c>
      <c r="C8" t="s">
        <v>19</v>
      </c>
      <c r="D8" s="3">
        <v>170</v>
      </c>
      <c r="E8" s="1">
        <v>56.5</v>
      </c>
      <c r="F8" s="3">
        <v>2</v>
      </c>
      <c r="G8" s="2">
        <v>6</v>
      </c>
      <c r="H8" s="2">
        <v>10</v>
      </c>
      <c r="I8" s="3">
        <v>2</v>
      </c>
      <c r="J8" s="3">
        <v>1</v>
      </c>
      <c r="K8" s="3">
        <v>1</v>
      </c>
      <c r="L8" s="3">
        <v>1</v>
      </c>
      <c r="M8" s="3">
        <v>1</v>
      </c>
      <c r="N8" s="3">
        <v>1</v>
      </c>
      <c r="O8" s="3">
        <v>1</v>
      </c>
      <c r="P8" s="2">
        <v>33</v>
      </c>
      <c r="Q8" s="1">
        <v>20</v>
      </c>
      <c r="R8" s="1">
        <v>25</v>
      </c>
      <c r="S8" s="3">
        <v>0</v>
      </c>
    </row>
    <row r="9" spans="1:19">
      <c r="A9" s="3">
        <v>1</v>
      </c>
      <c r="B9" s="3">
        <v>23</v>
      </c>
      <c r="C9" t="s">
        <v>19</v>
      </c>
      <c r="D9" s="3">
        <v>161</v>
      </c>
      <c r="E9" s="1">
        <v>53</v>
      </c>
      <c r="F9" s="3">
        <v>2</v>
      </c>
      <c r="G9" s="2">
        <v>1</v>
      </c>
      <c r="H9" s="2">
        <v>5</v>
      </c>
      <c r="I9" s="3">
        <v>1</v>
      </c>
      <c r="J9" s="3">
        <v>1</v>
      </c>
      <c r="K9" s="3">
        <v>1</v>
      </c>
      <c r="L9" s="3">
        <v>1</v>
      </c>
      <c r="M9" s="3">
        <v>1</v>
      </c>
      <c r="N9" s="3">
        <v>1</v>
      </c>
      <c r="O9" s="3">
        <v>1</v>
      </c>
      <c r="P9" s="2">
        <v>57</v>
      </c>
      <c r="Q9" s="1">
        <v>23</v>
      </c>
      <c r="R9" s="1">
        <v>27</v>
      </c>
      <c r="S9" s="3">
        <v>0</v>
      </c>
    </row>
    <row r="10" spans="1:19">
      <c r="A10" s="3">
        <v>1</v>
      </c>
      <c r="B10" s="3">
        <v>26</v>
      </c>
      <c r="C10" t="s">
        <v>19</v>
      </c>
      <c r="D10" s="3">
        <v>172</v>
      </c>
      <c r="E10" s="1">
        <v>63</v>
      </c>
      <c r="F10" s="3">
        <v>2</v>
      </c>
      <c r="G10" s="2">
        <v>1</v>
      </c>
      <c r="H10" s="2">
        <v>5</v>
      </c>
      <c r="I10" s="3">
        <v>1</v>
      </c>
      <c r="J10" s="3">
        <v>0</v>
      </c>
      <c r="K10" s="3">
        <v>1</v>
      </c>
      <c r="L10" s="3">
        <v>0</v>
      </c>
      <c r="M10" s="3">
        <v>1</v>
      </c>
      <c r="N10" s="3">
        <v>0</v>
      </c>
      <c r="O10" s="3">
        <v>1</v>
      </c>
      <c r="P10" s="2">
        <v>60</v>
      </c>
      <c r="Q10" s="1">
        <v>22</v>
      </c>
      <c r="R10" s="1">
        <v>25</v>
      </c>
      <c r="S10" s="3">
        <v>0</v>
      </c>
    </row>
    <row r="11" spans="1:19">
      <c r="A11" s="3">
        <v>1</v>
      </c>
      <c r="B11" s="3">
        <v>27</v>
      </c>
      <c r="C11" t="s">
        <v>19</v>
      </c>
      <c r="D11" s="3">
        <v>175</v>
      </c>
      <c r="E11" s="1">
        <v>60</v>
      </c>
      <c r="F11" s="3">
        <v>2</v>
      </c>
      <c r="G11" s="2">
        <v>0.2</v>
      </c>
      <c r="H11" s="2">
        <v>3</v>
      </c>
      <c r="I11" s="3">
        <v>1</v>
      </c>
      <c r="J11" s="3">
        <v>1</v>
      </c>
      <c r="K11" s="3">
        <v>1</v>
      </c>
      <c r="L11" s="3">
        <v>1</v>
      </c>
      <c r="M11" s="3">
        <v>1</v>
      </c>
      <c r="N11" s="3">
        <v>1</v>
      </c>
      <c r="O11" s="3">
        <v>1</v>
      </c>
      <c r="P11" s="2">
        <v>70</v>
      </c>
      <c r="Q11" s="1">
        <v>24</v>
      </c>
      <c r="R11" s="1">
        <v>27</v>
      </c>
      <c r="S11" s="3">
        <v>0</v>
      </c>
    </row>
    <row r="12" spans="1:19">
      <c r="A12" s="3">
        <v>1</v>
      </c>
      <c r="B12" s="3">
        <v>29</v>
      </c>
      <c r="C12" t="s">
        <v>19</v>
      </c>
      <c r="D12" s="3">
        <v>170</v>
      </c>
      <c r="E12" s="1">
        <v>70</v>
      </c>
      <c r="F12" s="3">
        <v>2</v>
      </c>
      <c r="G12" s="2">
        <v>25</v>
      </c>
      <c r="H12" s="2">
        <v>45</v>
      </c>
      <c r="I12" s="3">
        <v>3</v>
      </c>
      <c r="J12" s="3">
        <v>1</v>
      </c>
      <c r="K12" s="3">
        <v>1</v>
      </c>
      <c r="L12" s="3">
        <v>1</v>
      </c>
      <c r="M12" s="3">
        <v>1</v>
      </c>
      <c r="N12" s="3">
        <v>1</v>
      </c>
      <c r="O12" s="3">
        <v>1</v>
      </c>
      <c r="P12" s="2">
        <v>60</v>
      </c>
      <c r="Q12" s="1">
        <v>28</v>
      </c>
      <c r="R12" s="1">
        <v>30</v>
      </c>
      <c r="S12" s="3">
        <v>0</v>
      </c>
    </row>
    <row r="13" spans="1:19">
      <c r="A13" s="3">
        <v>1</v>
      </c>
      <c r="B13" s="3">
        <v>40</v>
      </c>
      <c r="C13" t="s">
        <v>19</v>
      </c>
      <c r="D13" s="3">
        <v>165</v>
      </c>
      <c r="E13" s="1">
        <v>55</v>
      </c>
      <c r="F13" s="3">
        <v>2</v>
      </c>
      <c r="G13" s="2">
        <v>0.5</v>
      </c>
      <c r="H13" s="2">
        <v>15</v>
      </c>
      <c r="I13" s="3">
        <v>3</v>
      </c>
      <c r="J13" s="3">
        <v>0</v>
      </c>
      <c r="K13" s="3">
        <v>0</v>
      </c>
      <c r="L13" s="3">
        <v>0</v>
      </c>
      <c r="M13" s="3">
        <v>1</v>
      </c>
      <c r="N13" s="3">
        <v>0</v>
      </c>
      <c r="O13" s="3">
        <v>0</v>
      </c>
      <c r="P13" s="2">
        <v>62</v>
      </c>
      <c r="Q13" s="1">
        <v>23</v>
      </c>
      <c r="R13" s="1">
        <v>26</v>
      </c>
      <c r="S13" s="3">
        <v>0</v>
      </c>
    </row>
    <row r="14" spans="1:19">
      <c r="A14" s="3">
        <v>1</v>
      </c>
      <c r="B14" s="3">
        <v>26</v>
      </c>
      <c r="C14" t="s">
        <v>19</v>
      </c>
      <c r="D14" s="3">
        <v>170</v>
      </c>
      <c r="E14" s="1">
        <v>61</v>
      </c>
      <c r="F14" s="3">
        <v>2</v>
      </c>
      <c r="G14" s="2">
        <v>0.1</v>
      </c>
      <c r="H14" s="2">
        <v>10</v>
      </c>
      <c r="I14" s="3">
        <v>1</v>
      </c>
      <c r="J14" s="3">
        <v>0</v>
      </c>
      <c r="K14" s="3">
        <v>0</v>
      </c>
      <c r="L14" s="3">
        <v>0</v>
      </c>
      <c r="M14" s="3">
        <v>1</v>
      </c>
      <c r="N14" s="3">
        <v>0</v>
      </c>
      <c r="O14" s="3">
        <v>0</v>
      </c>
      <c r="P14" s="2">
        <v>78</v>
      </c>
      <c r="Q14" s="1">
        <v>27</v>
      </c>
      <c r="R14" s="1">
        <v>30</v>
      </c>
      <c r="S14" s="3">
        <v>0</v>
      </c>
    </row>
    <row r="15" spans="1:19">
      <c r="A15" s="3">
        <v>1</v>
      </c>
      <c r="B15" s="3">
        <v>45</v>
      </c>
      <c r="C15" t="s">
        <v>19</v>
      </c>
      <c r="D15" s="3">
        <v>168</v>
      </c>
      <c r="E15" s="1">
        <v>70</v>
      </c>
      <c r="F15" s="3">
        <v>2</v>
      </c>
      <c r="G15" s="2">
        <v>2.5</v>
      </c>
      <c r="H15" s="2">
        <v>10</v>
      </c>
      <c r="I15" s="3">
        <v>3</v>
      </c>
      <c r="J15" s="3">
        <v>1</v>
      </c>
      <c r="K15" s="3">
        <v>1</v>
      </c>
      <c r="L15" s="3">
        <v>0</v>
      </c>
      <c r="M15" s="3">
        <v>1</v>
      </c>
      <c r="N15" s="3">
        <v>1</v>
      </c>
      <c r="O15" s="3">
        <v>1</v>
      </c>
      <c r="P15" s="2">
        <v>61</v>
      </c>
      <c r="Q15" s="1">
        <v>17</v>
      </c>
      <c r="R15" s="1">
        <v>19</v>
      </c>
      <c r="S15" s="3">
        <v>0</v>
      </c>
    </row>
    <row r="16" spans="1:19">
      <c r="A16" s="3">
        <v>1</v>
      </c>
      <c r="B16" s="3">
        <v>27</v>
      </c>
      <c r="C16" t="s">
        <v>19</v>
      </c>
      <c r="D16" s="3">
        <v>170</v>
      </c>
      <c r="E16" s="1">
        <v>53</v>
      </c>
      <c r="F16" s="3">
        <v>1</v>
      </c>
      <c r="G16" s="2">
        <v>2</v>
      </c>
      <c r="H16" s="2">
        <v>17</v>
      </c>
      <c r="I16" s="3">
        <v>3</v>
      </c>
      <c r="J16" s="3">
        <v>0</v>
      </c>
      <c r="K16" s="3">
        <v>1</v>
      </c>
      <c r="L16" s="3">
        <v>0</v>
      </c>
      <c r="M16" s="3">
        <v>1</v>
      </c>
      <c r="N16" s="3">
        <v>1</v>
      </c>
      <c r="O16" s="3">
        <v>0</v>
      </c>
      <c r="P16" s="2">
        <v>68</v>
      </c>
      <c r="Q16" s="1">
        <v>21</v>
      </c>
      <c r="R16" s="1">
        <v>23</v>
      </c>
      <c r="S16" s="3">
        <v>0</v>
      </c>
    </row>
    <row r="17" spans="1:19">
      <c r="A17" s="3">
        <v>1</v>
      </c>
      <c r="B17" s="3">
        <v>44</v>
      </c>
      <c r="C17" t="s">
        <v>19</v>
      </c>
      <c r="D17" s="3">
        <v>163</v>
      </c>
      <c r="E17" s="1">
        <v>63</v>
      </c>
      <c r="F17" s="3">
        <v>2</v>
      </c>
      <c r="G17" s="2">
        <v>10</v>
      </c>
      <c r="H17" s="2">
        <v>20</v>
      </c>
      <c r="I17" s="3">
        <v>3</v>
      </c>
      <c r="J17" s="3">
        <v>1</v>
      </c>
      <c r="K17" s="3">
        <v>0</v>
      </c>
      <c r="L17" s="3">
        <v>0</v>
      </c>
      <c r="M17" s="3">
        <v>0</v>
      </c>
      <c r="N17" s="3">
        <v>1</v>
      </c>
      <c r="O17" s="3">
        <v>1</v>
      </c>
      <c r="P17" s="2">
        <v>70</v>
      </c>
      <c r="Q17" s="1">
        <v>25</v>
      </c>
      <c r="R17" s="1">
        <v>28</v>
      </c>
      <c r="S17" s="3">
        <v>0</v>
      </c>
    </row>
    <row r="18" spans="1:19">
      <c r="A18" s="3">
        <v>1</v>
      </c>
      <c r="B18" s="3">
        <v>38</v>
      </c>
      <c r="C18" t="s">
        <v>19</v>
      </c>
      <c r="D18" s="3">
        <v>168</v>
      </c>
      <c r="E18" s="1">
        <v>70</v>
      </c>
      <c r="F18" s="3">
        <v>2</v>
      </c>
      <c r="G18" s="2">
        <v>1.5</v>
      </c>
      <c r="H18" s="2">
        <v>3</v>
      </c>
      <c r="I18" s="3">
        <v>3</v>
      </c>
      <c r="J18" s="3">
        <v>1</v>
      </c>
      <c r="K18" s="3">
        <v>1</v>
      </c>
      <c r="L18" s="3">
        <v>0</v>
      </c>
      <c r="M18" s="3">
        <v>1</v>
      </c>
      <c r="N18" s="3">
        <v>1</v>
      </c>
      <c r="O18" s="3">
        <v>0</v>
      </c>
      <c r="P18" s="2">
        <v>63</v>
      </c>
      <c r="Q18" s="1">
        <v>23</v>
      </c>
      <c r="R18" s="1">
        <v>26</v>
      </c>
      <c r="S18" s="3">
        <v>0</v>
      </c>
    </row>
    <row r="19" spans="1:19">
      <c r="A19" s="3">
        <v>1</v>
      </c>
      <c r="B19" s="3">
        <v>30</v>
      </c>
      <c r="C19" t="s">
        <v>19</v>
      </c>
      <c r="D19" s="3">
        <v>170</v>
      </c>
      <c r="E19" s="1">
        <v>62</v>
      </c>
      <c r="F19" s="3">
        <v>2</v>
      </c>
      <c r="G19" s="2">
        <v>10</v>
      </c>
      <c r="H19" s="2">
        <v>20</v>
      </c>
      <c r="I19" s="3">
        <v>3</v>
      </c>
      <c r="J19" s="3">
        <v>1</v>
      </c>
      <c r="K19" s="3">
        <v>1</v>
      </c>
      <c r="L19" s="3">
        <v>1</v>
      </c>
      <c r="M19" s="3">
        <v>1</v>
      </c>
      <c r="N19" s="3">
        <v>1</v>
      </c>
      <c r="O19" s="3">
        <v>1</v>
      </c>
      <c r="P19" s="2">
        <v>52</v>
      </c>
      <c r="Q19" s="1">
        <v>25</v>
      </c>
      <c r="R19" s="1">
        <v>27</v>
      </c>
      <c r="S19" s="3">
        <v>0</v>
      </c>
    </row>
    <row r="20" spans="1:19">
      <c r="A20" s="3">
        <v>1</v>
      </c>
      <c r="B20" s="3">
        <v>30</v>
      </c>
      <c r="C20" t="s">
        <v>19</v>
      </c>
      <c r="D20" s="3">
        <v>167</v>
      </c>
      <c r="E20" s="1">
        <v>58</v>
      </c>
      <c r="F20" s="3">
        <v>2</v>
      </c>
      <c r="G20" s="2">
        <v>7</v>
      </c>
      <c r="H20" s="2">
        <v>15</v>
      </c>
      <c r="I20" s="3">
        <v>1</v>
      </c>
      <c r="J20" s="3">
        <v>1</v>
      </c>
      <c r="K20" s="3">
        <v>1</v>
      </c>
      <c r="L20" s="3">
        <v>1</v>
      </c>
      <c r="M20" s="3">
        <v>0</v>
      </c>
      <c r="N20" s="3">
        <v>1</v>
      </c>
      <c r="O20" s="3">
        <v>1</v>
      </c>
      <c r="P20" s="2">
        <v>64</v>
      </c>
      <c r="Q20" s="1">
        <v>27</v>
      </c>
      <c r="R20" s="1">
        <v>28</v>
      </c>
      <c r="S20" s="3">
        <v>0</v>
      </c>
    </row>
    <row r="21" spans="1:19">
      <c r="A21" s="3">
        <v>1</v>
      </c>
      <c r="B21" s="3">
        <v>36</v>
      </c>
      <c r="C21" t="s">
        <v>19</v>
      </c>
      <c r="D21" s="3">
        <v>161</v>
      </c>
      <c r="E21" s="1">
        <v>58</v>
      </c>
      <c r="F21" s="3">
        <v>2</v>
      </c>
      <c r="G21" s="2">
        <v>4</v>
      </c>
      <c r="H21" s="2">
        <v>15</v>
      </c>
      <c r="I21" s="3">
        <v>2</v>
      </c>
      <c r="J21" s="3">
        <v>0</v>
      </c>
      <c r="K21" s="3">
        <v>1</v>
      </c>
      <c r="L21" s="3">
        <v>0</v>
      </c>
      <c r="M21" s="3">
        <v>0</v>
      </c>
      <c r="N21" s="3">
        <v>1</v>
      </c>
      <c r="O21" s="3">
        <v>0</v>
      </c>
      <c r="P21" s="2">
        <v>50</v>
      </c>
      <c r="Q21" s="1">
        <v>20</v>
      </c>
      <c r="R21" s="1">
        <v>25</v>
      </c>
      <c r="S21" s="3">
        <v>0</v>
      </c>
    </row>
    <row r="22" spans="1:19">
      <c r="A22" s="3">
        <v>1</v>
      </c>
      <c r="B22" s="3">
        <v>25</v>
      </c>
      <c r="C22" t="s">
        <v>19</v>
      </c>
      <c r="D22" s="3">
        <v>163</v>
      </c>
      <c r="E22" s="1">
        <v>57</v>
      </c>
      <c r="F22" s="3">
        <v>2</v>
      </c>
      <c r="G22" s="2">
        <v>13</v>
      </c>
      <c r="H22" s="2">
        <v>25</v>
      </c>
      <c r="I22" s="3">
        <v>4</v>
      </c>
      <c r="J22" s="3">
        <v>0</v>
      </c>
      <c r="K22" s="3">
        <v>1</v>
      </c>
      <c r="L22" s="3">
        <v>0</v>
      </c>
      <c r="M22" s="3">
        <v>0</v>
      </c>
      <c r="N22" s="3">
        <v>0</v>
      </c>
      <c r="O22" s="3">
        <v>0</v>
      </c>
      <c r="P22" s="2">
        <v>50</v>
      </c>
      <c r="Q22" s="1">
        <v>20</v>
      </c>
      <c r="R22" s="1">
        <v>22</v>
      </c>
      <c r="S22" s="3">
        <v>0</v>
      </c>
    </row>
    <row r="23" spans="1:19">
      <c r="A23" s="3">
        <v>1</v>
      </c>
      <c r="B23" s="3">
        <v>40</v>
      </c>
      <c r="C23" t="s">
        <v>19</v>
      </c>
      <c r="D23" s="3">
        <v>167</v>
      </c>
      <c r="E23" s="1">
        <v>60</v>
      </c>
      <c r="F23" s="3">
        <v>2</v>
      </c>
      <c r="G23" s="2">
        <v>1</v>
      </c>
      <c r="H23" s="2">
        <v>2</v>
      </c>
      <c r="I23" s="3">
        <v>1</v>
      </c>
      <c r="J23" s="3">
        <v>0</v>
      </c>
      <c r="K23" s="3">
        <v>0</v>
      </c>
      <c r="L23" s="3">
        <v>0</v>
      </c>
      <c r="M23" s="3">
        <v>0</v>
      </c>
      <c r="N23" s="3">
        <v>1</v>
      </c>
      <c r="O23" s="3">
        <v>0</v>
      </c>
      <c r="P23" s="2">
        <v>80</v>
      </c>
      <c r="Q23" s="1">
        <v>24</v>
      </c>
      <c r="R23" s="1">
        <v>28</v>
      </c>
      <c r="S23" s="3">
        <v>0</v>
      </c>
    </row>
    <row r="24" spans="1:19">
      <c r="A24" s="3">
        <v>2</v>
      </c>
      <c r="B24" s="3">
        <v>25</v>
      </c>
      <c r="C24" t="s">
        <v>19</v>
      </c>
      <c r="D24" s="3">
        <v>172</v>
      </c>
      <c r="E24" s="1">
        <v>61</v>
      </c>
      <c r="F24" s="3">
        <v>2</v>
      </c>
      <c r="G24" s="2">
        <v>1</v>
      </c>
      <c r="H24" s="2">
        <v>5</v>
      </c>
      <c r="I24" s="3">
        <v>1</v>
      </c>
      <c r="J24" s="3">
        <v>1</v>
      </c>
      <c r="K24" s="3">
        <v>1</v>
      </c>
      <c r="L24" s="3">
        <v>1</v>
      </c>
      <c r="M24" s="3">
        <v>1</v>
      </c>
      <c r="N24" s="3">
        <v>1</v>
      </c>
      <c r="O24" s="3">
        <v>1</v>
      </c>
      <c r="P24" s="2">
        <v>40</v>
      </c>
      <c r="Q24" s="1">
        <v>28</v>
      </c>
      <c r="R24" s="1">
        <v>23</v>
      </c>
      <c r="S24" s="3">
        <v>0</v>
      </c>
    </row>
    <row r="25" spans="1:19">
      <c r="A25" s="3">
        <v>2</v>
      </c>
      <c r="B25" s="3">
        <v>27</v>
      </c>
      <c r="C25" t="s">
        <v>19</v>
      </c>
      <c r="D25" s="3">
        <v>166</v>
      </c>
      <c r="E25" s="1">
        <v>53</v>
      </c>
      <c r="F25" s="3">
        <v>2</v>
      </c>
      <c r="G25" s="2">
        <v>1</v>
      </c>
      <c r="H25" s="2">
        <v>7</v>
      </c>
      <c r="I25" s="3">
        <v>2</v>
      </c>
      <c r="J25" s="3">
        <v>0</v>
      </c>
      <c r="K25" s="3">
        <v>1</v>
      </c>
      <c r="L25" s="3">
        <v>0</v>
      </c>
      <c r="M25" s="3">
        <v>1</v>
      </c>
      <c r="N25" s="3">
        <v>1</v>
      </c>
      <c r="O25" s="3">
        <v>0</v>
      </c>
      <c r="P25" s="2">
        <v>70</v>
      </c>
      <c r="Q25" s="1">
        <v>24</v>
      </c>
      <c r="R25" s="1">
        <v>26</v>
      </c>
      <c r="S25" s="3">
        <v>0</v>
      </c>
    </row>
    <row r="26" spans="1:19">
      <c r="A26" s="3">
        <v>2</v>
      </c>
      <c r="B26" s="3">
        <v>25</v>
      </c>
      <c r="C26" t="s">
        <v>19</v>
      </c>
      <c r="D26" s="3">
        <v>166</v>
      </c>
      <c r="E26" s="1">
        <v>54</v>
      </c>
      <c r="F26" s="3">
        <v>2</v>
      </c>
      <c r="G26" s="2">
        <v>7.5</v>
      </c>
      <c r="H26" s="2">
        <v>30</v>
      </c>
      <c r="I26" s="3">
        <v>4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1</v>
      </c>
      <c r="P26" s="2">
        <v>75</v>
      </c>
      <c r="Q26" s="1">
        <v>20</v>
      </c>
      <c r="R26" s="1">
        <v>24</v>
      </c>
      <c r="S26" s="3">
        <v>0</v>
      </c>
    </row>
    <row r="27" spans="1:19">
      <c r="A27" s="3">
        <v>2</v>
      </c>
      <c r="B27" s="3">
        <v>29</v>
      </c>
      <c r="C27" t="s">
        <v>19</v>
      </c>
      <c r="D27" s="3">
        <v>170</v>
      </c>
      <c r="E27" s="1">
        <v>58</v>
      </c>
      <c r="F27" s="3">
        <v>2</v>
      </c>
      <c r="G27" s="2">
        <v>7</v>
      </c>
      <c r="H27" s="2">
        <v>40</v>
      </c>
      <c r="I27" s="3">
        <v>4</v>
      </c>
      <c r="J27" s="3">
        <v>1</v>
      </c>
      <c r="K27" s="3">
        <v>0</v>
      </c>
      <c r="L27" s="3">
        <v>0</v>
      </c>
      <c r="M27" s="3">
        <v>1</v>
      </c>
      <c r="N27" s="3">
        <v>0</v>
      </c>
      <c r="O27" s="3">
        <v>0</v>
      </c>
      <c r="P27" s="2">
        <v>40</v>
      </c>
      <c r="Q27" s="1">
        <v>25</v>
      </c>
      <c r="R27" s="1">
        <v>27</v>
      </c>
      <c r="S27" s="3">
        <v>0</v>
      </c>
    </row>
    <row r="28" spans="1:19">
      <c r="A28" s="3">
        <v>2</v>
      </c>
      <c r="B28" s="3">
        <v>27</v>
      </c>
      <c r="C28" t="s">
        <v>19</v>
      </c>
      <c r="D28" s="3">
        <v>174</v>
      </c>
      <c r="E28" s="1">
        <v>75</v>
      </c>
      <c r="F28" s="3">
        <v>2</v>
      </c>
      <c r="G28" s="2">
        <v>7</v>
      </c>
      <c r="H28" s="2">
        <v>20</v>
      </c>
      <c r="I28" s="3">
        <v>2</v>
      </c>
      <c r="J28" s="3">
        <v>1</v>
      </c>
      <c r="K28" s="3">
        <v>1</v>
      </c>
      <c r="L28" s="3">
        <v>1</v>
      </c>
      <c r="M28" s="3">
        <v>1</v>
      </c>
      <c r="N28" s="3">
        <v>1</v>
      </c>
      <c r="O28" s="3">
        <v>1</v>
      </c>
      <c r="P28" s="2">
        <v>55</v>
      </c>
      <c r="Q28" s="1">
        <v>22</v>
      </c>
      <c r="R28" s="1">
        <v>23</v>
      </c>
      <c r="S28" s="3">
        <v>0</v>
      </c>
    </row>
    <row r="29" spans="1:19">
      <c r="A29" s="3">
        <v>2</v>
      </c>
      <c r="B29" s="3">
        <v>31</v>
      </c>
      <c r="C29" t="s">
        <v>19</v>
      </c>
      <c r="D29" s="3">
        <v>167</v>
      </c>
      <c r="E29" s="1">
        <v>62</v>
      </c>
      <c r="F29" s="3">
        <v>2</v>
      </c>
      <c r="G29" s="2">
        <v>3</v>
      </c>
      <c r="H29" s="2">
        <v>10</v>
      </c>
      <c r="I29" s="3">
        <v>3</v>
      </c>
      <c r="J29" s="3">
        <v>0</v>
      </c>
      <c r="K29" s="3">
        <v>1</v>
      </c>
      <c r="L29" s="3">
        <v>0</v>
      </c>
      <c r="M29" s="3">
        <v>1</v>
      </c>
      <c r="N29" s="3">
        <v>1</v>
      </c>
      <c r="O29" s="3">
        <v>0</v>
      </c>
      <c r="P29" s="2">
        <v>40</v>
      </c>
      <c r="Q29" s="1">
        <v>24</v>
      </c>
      <c r="R29" s="1">
        <v>16</v>
      </c>
      <c r="S29" s="3">
        <v>0</v>
      </c>
    </row>
    <row r="30" spans="1:19">
      <c r="A30" s="3">
        <v>2</v>
      </c>
      <c r="B30" s="3">
        <v>25</v>
      </c>
      <c r="C30" t="s">
        <v>19</v>
      </c>
      <c r="D30" s="3">
        <v>165</v>
      </c>
      <c r="E30" s="1">
        <v>64</v>
      </c>
      <c r="F30" s="3">
        <v>3</v>
      </c>
      <c r="G30" s="2">
        <v>8</v>
      </c>
      <c r="H30" s="2">
        <v>30</v>
      </c>
      <c r="I30" s="3">
        <v>3</v>
      </c>
      <c r="J30" s="3">
        <v>1</v>
      </c>
      <c r="K30" s="3">
        <v>0</v>
      </c>
      <c r="L30" s="3">
        <v>0</v>
      </c>
      <c r="M30" s="3">
        <v>0</v>
      </c>
      <c r="N30" s="3">
        <v>1</v>
      </c>
      <c r="O30" s="3">
        <v>0</v>
      </c>
      <c r="P30" s="2">
        <v>50</v>
      </c>
      <c r="Q30" s="1">
        <v>26</v>
      </c>
      <c r="R30" s="1">
        <v>27</v>
      </c>
      <c r="S30" s="3">
        <v>0</v>
      </c>
    </row>
    <row r="31" spans="1:19">
      <c r="A31" s="3">
        <v>2</v>
      </c>
      <c r="B31" s="3">
        <v>26</v>
      </c>
      <c r="C31" t="s">
        <v>19</v>
      </c>
      <c r="D31" s="3">
        <v>170</v>
      </c>
      <c r="E31" s="1">
        <v>68</v>
      </c>
      <c r="F31" s="3">
        <v>2</v>
      </c>
      <c r="G31" s="2">
        <v>4</v>
      </c>
      <c r="H31" s="2">
        <v>20</v>
      </c>
      <c r="I31" s="3">
        <v>3</v>
      </c>
      <c r="J31" s="3">
        <v>0</v>
      </c>
      <c r="K31" s="3">
        <v>1</v>
      </c>
      <c r="L31" s="3">
        <v>0</v>
      </c>
      <c r="M31" s="3">
        <v>0</v>
      </c>
      <c r="N31" s="3">
        <v>0</v>
      </c>
      <c r="O31" s="3">
        <v>0</v>
      </c>
      <c r="P31" s="2">
        <v>42</v>
      </c>
      <c r="Q31" s="1">
        <v>22</v>
      </c>
      <c r="R31" s="1">
        <v>25</v>
      </c>
      <c r="S31" s="3">
        <v>0</v>
      </c>
    </row>
    <row r="32" spans="1:19">
      <c r="A32" s="3">
        <v>2</v>
      </c>
      <c r="B32" s="3">
        <v>34</v>
      </c>
      <c r="C32" t="s">
        <v>19</v>
      </c>
      <c r="D32" s="3">
        <v>168</v>
      </c>
      <c r="E32" s="1">
        <v>62</v>
      </c>
      <c r="F32" s="3">
        <v>2</v>
      </c>
      <c r="G32" s="2">
        <v>8</v>
      </c>
      <c r="H32" s="2">
        <v>20</v>
      </c>
      <c r="I32" s="3">
        <v>2</v>
      </c>
      <c r="J32" s="3">
        <v>1</v>
      </c>
      <c r="K32" s="3">
        <v>1</v>
      </c>
      <c r="L32" s="3">
        <v>1</v>
      </c>
      <c r="M32" s="3">
        <v>1</v>
      </c>
      <c r="N32" s="3">
        <v>1</v>
      </c>
      <c r="O32" s="3">
        <v>0</v>
      </c>
      <c r="P32" s="2">
        <v>60</v>
      </c>
      <c r="Q32" s="1">
        <v>23</v>
      </c>
      <c r="R32" s="1">
        <v>22</v>
      </c>
      <c r="S32" s="3">
        <v>0</v>
      </c>
    </row>
    <row r="33" spans="1:19">
      <c r="A33" s="3">
        <v>2</v>
      </c>
      <c r="B33" s="3">
        <v>29</v>
      </c>
      <c r="C33" t="s">
        <v>19</v>
      </c>
      <c r="D33" s="3">
        <v>170</v>
      </c>
      <c r="E33" s="1">
        <v>61</v>
      </c>
      <c r="F33" s="3">
        <v>2</v>
      </c>
      <c r="G33" s="2">
        <v>2.5</v>
      </c>
      <c r="H33" s="2">
        <v>10</v>
      </c>
      <c r="I33" s="3">
        <v>3</v>
      </c>
      <c r="J33" s="3">
        <v>0</v>
      </c>
      <c r="K33" s="3">
        <v>0</v>
      </c>
      <c r="L33" s="3">
        <v>1</v>
      </c>
      <c r="M33" s="3">
        <v>0</v>
      </c>
      <c r="N33" s="3">
        <v>0</v>
      </c>
      <c r="O33" s="3">
        <v>1</v>
      </c>
      <c r="P33" s="2">
        <v>50</v>
      </c>
      <c r="Q33" s="1">
        <v>20</v>
      </c>
      <c r="R33" s="1">
        <v>19</v>
      </c>
      <c r="S33" s="3">
        <v>0</v>
      </c>
    </row>
    <row r="34" spans="1:19">
      <c r="A34" s="3">
        <v>2</v>
      </c>
      <c r="B34" s="3">
        <v>32</v>
      </c>
      <c r="C34" t="s">
        <v>19</v>
      </c>
      <c r="D34" s="3">
        <v>165</v>
      </c>
      <c r="E34" s="1">
        <v>64</v>
      </c>
      <c r="F34" s="3">
        <v>2</v>
      </c>
      <c r="G34" s="2">
        <v>10</v>
      </c>
      <c r="H34" s="2">
        <v>20</v>
      </c>
      <c r="I34" s="3">
        <v>3</v>
      </c>
      <c r="J34" s="3">
        <v>1</v>
      </c>
      <c r="K34" s="3">
        <v>1</v>
      </c>
      <c r="L34" s="3">
        <v>1</v>
      </c>
      <c r="M34" s="3">
        <v>1</v>
      </c>
      <c r="N34" s="3">
        <v>0</v>
      </c>
      <c r="O34" s="3">
        <v>1</v>
      </c>
      <c r="P34" s="2">
        <v>42</v>
      </c>
      <c r="Q34" s="1">
        <v>20.5</v>
      </c>
      <c r="R34" s="1">
        <v>22</v>
      </c>
      <c r="S34" s="3">
        <v>0</v>
      </c>
    </row>
    <row r="35" spans="1:19">
      <c r="A35" s="3">
        <v>2</v>
      </c>
      <c r="B35" s="3">
        <v>28</v>
      </c>
      <c r="C35" t="s">
        <v>19</v>
      </c>
      <c r="D35" s="3">
        <v>169</v>
      </c>
      <c r="E35" s="1">
        <v>56</v>
      </c>
      <c r="F35" s="3">
        <v>2</v>
      </c>
      <c r="G35" s="2">
        <v>8</v>
      </c>
      <c r="H35" s="2">
        <v>30</v>
      </c>
      <c r="I35" s="3">
        <v>4</v>
      </c>
      <c r="J35" s="3">
        <v>1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2">
        <v>45</v>
      </c>
      <c r="Q35" s="1">
        <v>21</v>
      </c>
      <c r="R35" s="1">
        <v>20</v>
      </c>
      <c r="S35" s="3">
        <v>0</v>
      </c>
    </row>
    <row r="36" spans="1:19">
      <c r="A36" s="3">
        <v>2</v>
      </c>
      <c r="B36" s="3">
        <v>48</v>
      </c>
      <c r="C36" t="s">
        <v>19</v>
      </c>
      <c r="D36" s="3">
        <v>162</v>
      </c>
      <c r="E36" s="1">
        <v>65</v>
      </c>
      <c r="F36" s="3">
        <v>0</v>
      </c>
      <c r="G36" s="2">
        <v>0.7</v>
      </c>
      <c r="H36" s="2">
        <v>10</v>
      </c>
      <c r="I36" s="3">
        <v>1</v>
      </c>
      <c r="J36" s="3">
        <v>0</v>
      </c>
      <c r="K36" s="3">
        <v>0</v>
      </c>
      <c r="L36" s="3">
        <v>1</v>
      </c>
      <c r="M36" s="3">
        <v>0</v>
      </c>
      <c r="N36" s="3">
        <v>0</v>
      </c>
      <c r="O36" s="3">
        <v>1</v>
      </c>
      <c r="P36" s="2">
        <v>40</v>
      </c>
      <c r="Q36" s="1">
        <v>25</v>
      </c>
      <c r="R36" s="1">
        <v>26</v>
      </c>
      <c r="S36" s="3">
        <v>0</v>
      </c>
    </row>
    <row r="37" spans="1:19">
      <c r="A37" s="3">
        <v>2</v>
      </c>
      <c r="B37" s="3">
        <v>30</v>
      </c>
      <c r="C37" t="s">
        <v>19</v>
      </c>
      <c r="D37" s="3">
        <v>169</v>
      </c>
      <c r="E37" s="1">
        <v>55</v>
      </c>
      <c r="F37" s="3">
        <v>2</v>
      </c>
      <c r="G37" s="2">
        <v>6</v>
      </c>
      <c r="H37" s="2">
        <v>20</v>
      </c>
      <c r="I37" s="3">
        <v>4</v>
      </c>
      <c r="J37" s="3">
        <v>0</v>
      </c>
      <c r="K37" s="3">
        <v>1</v>
      </c>
      <c r="L37" s="3">
        <v>0</v>
      </c>
      <c r="M37" s="3">
        <v>0</v>
      </c>
      <c r="N37" s="3">
        <v>1</v>
      </c>
      <c r="O37" s="3">
        <v>1</v>
      </c>
      <c r="P37" s="2">
        <v>45</v>
      </c>
      <c r="Q37" s="1">
        <v>30</v>
      </c>
      <c r="R37" s="1">
        <v>32</v>
      </c>
      <c r="S37" s="3">
        <v>0</v>
      </c>
    </row>
    <row r="38" spans="1:19">
      <c r="A38" s="3">
        <v>1</v>
      </c>
      <c r="B38" s="3">
        <v>29</v>
      </c>
      <c r="C38" t="s">
        <v>20</v>
      </c>
      <c r="D38" s="3">
        <v>155</v>
      </c>
      <c r="E38" s="1">
        <v>48</v>
      </c>
      <c r="F38" s="3">
        <v>0</v>
      </c>
      <c r="G38" s="2">
        <v>7.0000000000000007E-2</v>
      </c>
      <c r="H38" s="2">
        <v>3</v>
      </c>
      <c r="I38" s="3">
        <v>1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1</v>
      </c>
      <c r="P38" s="2">
        <v>60</v>
      </c>
      <c r="Q38" s="1">
        <v>15</v>
      </c>
      <c r="R38" s="1">
        <v>20</v>
      </c>
      <c r="S38" s="3">
        <v>1</v>
      </c>
    </row>
    <row r="39" spans="1:19">
      <c r="A39" s="3">
        <v>1</v>
      </c>
      <c r="B39" s="3">
        <v>24</v>
      </c>
      <c r="C39" t="s">
        <v>20</v>
      </c>
      <c r="D39" s="3">
        <v>153</v>
      </c>
      <c r="E39" s="1">
        <v>42</v>
      </c>
      <c r="F39" s="3">
        <v>2</v>
      </c>
      <c r="G39" s="2">
        <v>3</v>
      </c>
      <c r="H39" s="2">
        <v>10</v>
      </c>
      <c r="I39" s="3">
        <v>3</v>
      </c>
      <c r="J39" s="3">
        <v>1</v>
      </c>
      <c r="K39" s="3">
        <v>0</v>
      </c>
      <c r="L39" s="3">
        <v>0</v>
      </c>
      <c r="M39" s="3">
        <v>1</v>
      </c>
      <c r="N39" s="3">
        <v>0</v>
      </c>
      <c r="O39" s="3">
        <v>1</v>
      </c>
      <c r="P39" s="2">
        <v>60</v>
      </c>
      <c r="Q39" s="1">
        <v>23</v>
      </c>
      <c r="R39" s="1">
        <v>22</v>
      </c>
      <c r="S39" s="3">
        <v>1</v>
      </c>
    </row>
    <row r="40" spans="1:19">
      <c r="A40" s="3">
        <v>1</v>
      </c>
      <c r="B40" s="3">
        <v>30</v>
      </c>
      <c r="C40" t="s">
        <v>20</v>
      </c>
      <c r="D40" s="3">
        <v>155</v>
      </c>
      <c r="E40" s="1">
        <v>45</v>
      </c>
      <c r="F40" s="3">
        <v>2</v>
      </c>
      <c r="G40" s="2">
        <v>1</v>
      </c>
      <c r="H40" s="2">
        <v>10</v>
      </c>
      <c r="I40" s="3">
        <v>1</v>
      </c>
      <c r="J40" s="3">
        <v>0</v>
      </c>
      <c r="K40" s="3">
        <v>0</v>
      </c>
      <c r="L40" s="3">
        <v>1</v>
      </c>
      <c r="M40" s="3">
        <v>1</v>
      </c>
      <c r="N40" s="3">
        <v>0</v>
      </c>
      <c r="O40" s="3">
        <v>1</v>
      </c>
      <c r="P40" s="2">
        <v>45</v>
      </c>
      <c r="Q40" s="1">
        <v>20</v>
      </c>
      <c r="R40" s="1">
        <v>22</v>
      </c>
      <c r="S40" s="3">
        <v>1</v>
      </c>
    </row>
    <row r="41" spans="1:19">
      <c r="A41" s="3">
        <v>2</v>
      </c>
      <c r="B41" s="3">
        <v>34</v>
      </c>
      <c r="C41" t="s">
        <v>20</v>
      </c>
      <c r="D41" s="3">
        <v>156</v>
      </c>
      <c r="E41" s="1">
        <v>47</v>
      </c>
      <c r="F41" s="3">
        <v>2</v>
      </c>
      <c r="G41" s="2">
        <v>0.6</v>
      </c>
      <c r="H41" s="2">
        <v>5</v>
      </c>
      <c r="I41" s="3">
        <v>1</v>
      </c>
      <c r="J41" s="3">
        <v>1</v>
      </c>
      <c r="K41" s="3">
        <v>0</v>
      </c>
      <c r="L41" s="3">
        <v>0</v>
      </c>
      <c r="M41" s="3">
        <v>1</v>
      </c>
      <c r="N41" s="3">
        <v>0</v>
      </c>
      <c r="O41" s="3">
        <v>1</v>
      </c>
      <c r="P41" s="2">
        <v>35</v>
      </c>
      <c r="Q41" s="1">
        <v>22</v>
      </c>
      <c r="R41" s="1">
        <v>20</v>
      </c>
      <c r="S41" s="3">
        <v>1</v>
      </c>
    </row>
    <row r="42" spans="1:19">
      <c r="A42" s="3">
        <v>2</v>
      </c>
      <c r="B42" s="3">
        <v>34</v>
      </c>
      <c r="C42" t="s">
        <v>20</v>
      </c>
      <c r="D42" s="3">
        <v>155</v>
      </c>
      <c r="E42" s="1">
        <v>55</v>
      </c>
      <c r="F42" s="3">
        <v>2</v>
      </c>
      <c r="G42" s="2">
        <v>4</v>
      </c>
      <c r="H42" s="2">
        <v>10</v>
      </c>
      <c r="I42" s="3">
        <v>1</v>
      </c>
      <c r="J42" s="3">
        <v>0</v>
      </c>
      <c r="K42" s="3">
        <v>0</v>
      </c>
      <c r="L42" s="3">
        <v>1</v>
      </c>
      <c r="M42" s="3">
        <v>0</v>
      </c>
      <c r="N42" s="3">
        <v>0</v>
      </c>
      <c r="O42" s="3">
        <v>0</v>
      </c>
      <c r="P42" s="2">
        <v>10</v>
      </c>
      <c r="Q42" s="1">
        <v>20</v>
      </c>
      <c r="R42" s="1">
        <v>19</v>
      </c>
      <c r="S42" s="3">
        <v>1</v>
      </c>
    </row>
    <row r="43" spans="1:19">
      <c r="A43" s="3">
        <v>2</v>
      </c>
      <c r="B43" s="3">
        <v>23</v>
      </c>
      <c r="C43" t="s">
        <v>20</v>
      </c>
      <c r="D43" s="3">
        <v>150</v>
      </c>
      <c r="E43" s="1">
        <v>45</v>
      </c>
      <c r="F43" s="3">
        <v>1</v>
      </c>
      <c r="G43" s="2">
        <v>6.5</v>
      </c>
      <c r="H43" s="2">
        <v>35</v>
      </c>
      <c r="I43" s="3">
        <v>3</v>
      </c>
      <c r="J43" s="3">
        <v>1</v>
      </c>
      <c r="K43" s="3">
        <v>0</v>
      </c>
      <c r="L43" s="3">
        <v>1</v>
      </c>
      <c r="M43" s="3">
        <v>1</v>
      </c>
      <c r="N43" s="3">
        <v>0</v>
      </c>
      <c r="O43" s="3">
        <v>0</v>
      </c>
      <c r="P43" s="2">
        <v>45</v>
      </c>
      <c r="Q43" s="1">
        <v>22</v>
      </c>
      <c r="R43" s="1">
        <v>26</v>
      </c>
      <c r="S43" s="3">
        <v>1</v>
      </c>
    </row>
    <row r="44" spans="1:19">
      <c r="A44" s="3">
        <v>2</v>
      </c>
      <c r="B44" s="3">
        <v>28</v>
      </c>
      <c r="C44" t="s">
        <v>20</v>
      </c>
      <c r="D44" s="3">
        <v>152</v>
      </c>
      <c r="E44" s="1">
        <v>44</v>
      </c>
      <c r="F44" s="3">
        <v>2</v>
      </c>
      <c r="G44" s="2">
        <v>5</v>
      </c>
      <c r="H44" s="2">
        <v>20</v>
      </c>
      <c r="I44" s="3">
        <v>3</v>
      </c>
      <c r="J44" s="3">
        <v>1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2">
        <v>200</v>
      </c>
      <c r="Q44" s="1">
        <v>25</v>
      </c>
      <c r="R44" s="1">
        <v>23</v>
      </c>
      <c r="S44" s="3">
        <v>1</v>
      </c>
    </row>
    <row r="45" spans="1:19">
      <c r="A45" s="3">
        <v>2</v>
      </c>
      <c r="B45" s="3">
        <v>33</v>
      </c>
      <c r="C45" t="s">
        <v>20</v>
      </c>
      <c r="D45" s="3">
        <v>157</v>
      </c>
      <c r="E45" s="1">
        <v>56</v>
      </c>
      <c r="F45" s="3">
        <v>2</v>
      </c>
      <c r="G45" s="2">
        <v>1</v>
      </c>
      <c r="H45" s="2">
        <v>5</v>
      </c>
      <c r="I45" s="3">
        <v>1</v>
      </c>
      <c r="J45" s="3">
        <v>1</v>
      </c>
      <c r="K45" s="3">
        <v>0</v>
      </c>
      <c r="L45" s="3">
        <v>0</v>
      </c>
      <c r="M45" s="3">
        <v>0</v>
      </c>
      <c r="N45" s="3">
        <v>0</v>
      </c>
      <c r="O45" s="3">
        <v>1</v>
      </c>
      <c r="P45" s="2">
        <v>60</v>
      </c>
      <c r="Q45" s="1">
        <v>22</v>
      </c>
      <c r="R45" s="1">
        <v>19</v>
      </c>
      <c r="S45" s="3">
        <v>1</v>
      </c>
    </row>
    <row r="46" spans="1:19">
      <c r="A46" s="3">
        <v>2</v>
      </c>
      <c r="B46" s="3">
        <v>35</v>
      </c>
      <c r="C46" t="s">
        <v>20</v>
      </c>
      <c r="D46" s="3">
        <v>160</v>
      </c>
      <c r="E46" s="1">
        <v>56</v>
      </c>
      <c r="F46" s="3">
        <v>2</v>
      </c>
      <c r="G46" s="2">
        <v>5</v>
      </c>
      <c r="H46" s="2">
        <v>20</v>
      </c>
      <c r="I46" s="3">
        <v>2</v>
      </c>
      <c r="J46" s="3">
        <v>1</v>
      </c>
      <c r="K46" s="3">
        <v>0</v>
      </c>
      <c r="L46" s="3">
        <v>1</v>
      </c>
      <c r="M46" s="3">
        <v>1</v>
      </c>
      <c r="N46" s="3">
        <v>0</v>
      </c>
      <c r="O46" s="3">
        <v>1</v>
      </c>
      <c r="P46" s="2">
        <v>65</v>
      </c>
      <c r="Q46" s="1">
        <v>25</v>
      </c>
      <c r="R46" s="1">
        <v>25</v>
      </c>
      <c r="S46" s="3">
        <v>1</v>
      </c>
    </row>
    <row r="48" spans="1:19">
      <c r="C48" t="s">
        <v>21</v>
      </c>
      <c r="D48" s="2">
        <f>AVERAGE(D2:D37)</f>
        <v>167.75</v>
      </c>
    </row>
    <row r="49" spans="1:8">
      <c r="C49" t="s">
        <v>22</v>
      </c>
      <c r="D49" s="3">
        <f>AVERAGE(D38:D46)</f>
        <v>154.77777777777777</v>
      </c>
    </row>
    <row r="50" spans="1:8">
      <c r="C50" t="s">
        <v>23</v>
      </c>
      <c r="D50">
        <f>VAR(D2:D37)</f>
        <v>13.45</v>
      </c>
    </row>
    <row r="51" spans="1:8">
      <c r="C51" t="s">
        <v>24</v>
      </c>
      <c r="D51">
        <f>VAR(D38:D46)</f>
        <v>8.4444444444444446</v>
      </c>
    </row>
    <row r="53" spans="1:8">
      <c r="C53" t="s">
        <v>25</v>
      </c>
      <c r="D53">
        <f>(D48-D49)*SQRT(36*9/(36+9))*SQRT((36+9-2)/((36-1)*D50+(9-1)*D51))</f>
        <v>9.8378551725462895</v>
      </c>
    </row>
    <row r="54" spans="1:8">
      <c r="C54" t="s">
        <v>26</v>
      </c>
      <c r="D54" s="4">
        <f>1-_xlfn.T.DIST(D53,36+9-2,TRUE)</f>
        <v>7.0721206668622472E-13</v>
      </c>
    </row>
    <row r="55" spans="1:8">
      <c r="C55" t="s">
        <v>27</v>
      </c>
      <c r="D55">
        <f>ABS(_xlfn.T.INV(0.025,43))</f>
        <v>2.0166921992278248</v>
      </c>
    </row>
    <row r="56" spans="1:8">
      <c r="G56" t="s">
        <v>35</v>
      </c>
    </row>
    <row r="57" spans="1:8">
      <c r="A57" t="s">
        <v>28</v>
      </c>
      <c r="B57">
        <f>D48-(D59*SQRT(D50/35))</f>
        <v>166.49152020511551</v>
      </c>
      <c r="C57">
        <f>D48+(D59*SQRT(D50/35))</f>
        <v>169.00847979488449</v>
      </c>
      <c r="E57">
        <f>(B57+C57)/2</f>
        <v>167.75</v>
      </c>
      <c r="G57" t="s">
        <v>33</v>
      </c>
      <c r="H57">
        <f>D50/D51</f>
        <v>1.5927631578947368</v>
      </c>
    </row>
    <row r="58" spans="1:8">
      <c r="A58" t="s">
        <v>29</v>
      </c>
      <c r="D58">
        <f>D48/SQRT(35*D50)</f>
        <v>7.7315641651430305</v>
      </c>
      <c r="G58" t="s">
        <v>26</v>
      </c>
      <c r="H58">
        <f>1-_xlfn.F.DIST(H57,35,8,TRUE)</f>
        <v>0.25126984159971666</v>
      </c>
    </row>
    <row r="59" spans="1:8">
      <c r="A59" t="s">
        <v>30</v>
      </c>
      <c r="D59">
        <f>ABS(_xlfn.T.INV(0.025,35))</f>
        <v>2.0301079282503438</v>
      </c>
      <c r="G59" t="s">
        <v>34</v>
      </c>
    </row>
    <row r="60" spans="1:8">
      <c r="H60">
        <f>_xlfn.F.INV.RT(0.05,35,8)</f>
        <v>3.0585763584278953</v>
      </c>
    </row>
    <row r="61" spans="1:8">
      <c r="A61" t="s">
        <v>28</v>
      </c>
      <c r="B61">
        <f>D49-(D63*SQRT(D51/8))</f>
        <v>152.40858374745162</v>
      </c>
      <c r="C61">
        <f>D49+(D63*SQRT(D51/8))</f>
        <v>157.14697180810393</v>
      </c>
      <c r="E61">
        <f>(B61+C61)/2</f>
        <v>154.77777777777777</v>
      </c>
    </row>
    <row r="62" spans="1:8">
      <c r="A62" t="s">
        <v>31</v>
      </c>
      <c r="D62">
        <f>D49/SQRT(8*D51)</f>
        <v>18.83120330292935</v>
      </c>
    </row>
    <row r="63" spans="1:8">
      <c r="A63" t="s">
        <v>32</v>
      </c>
      <c r="D63">
        <f>ABS(_xlfn.T.INV(0.025,8))</f>
        <v>2.3060041352041671</v>
      </c>
    </row>
  </sheetData>
  <sortState ref="A2:S46">
    <sortCondition ref="C1:C46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U60"/>
  <sheetViews>
    <sheetView topLeftCell="E15" zoomScale="162" zoomScaleNormal="162" workbookViewId="0">
      <selection activeCell="H11" sqref="H11"/>
    </sheetView>
  </sheetViews>
  <sheetFormatPr defaultRowHeight="14.4"/>
  <cols>
    <col min="1" max="1" width="5.44140625" customWidth="1"/>
    <col min="2" max="2" width="7.21875" customWidth="1"/>
    <col min="3" max="3" width="10.109375" customWidth="1"/>
    <col min="4" max="4" width="7.77734375" customWidth="1"/>
    <col min="5" max="5" width="6.21875" customWidth="1"/>
    <col min="7" max="7" width="18.33203125" customWidth="1"/>
    <col min="8" max="8" width="12.109375" bestFit="1" customWidth="1"/>
    <col min="9" max="9" width="11.109375" customWidth="1"/>
    <col min="11" max="11" width="11.109375" customWidth="1"/>
    <col min="12" max="12" width="4.33203125" customWidth="1"/>
    <col min="13" max="13" width="10.33203125" customWidth="1"/>
  </cols>
  <sheetData>
    <row r="1" spans="1:21">
      <c r="A1" t="s">
        <v>0</v>
      </c>
      <c r="B1" t="s">
        <v>2</v>
      </c>
      <c r="C1" t="s">
        <v>3</v>
      </c>
      <c r="D1" t="s">
        <v>4</v>
      </c>
      <c r="E1" t="s">
        <v>1</v>
      </c>
      <c r="G1" t="s">
        <v>36</v>
      </c>
    </row>
    <row r="2" spans="1:21">
      <c r="A2" s="3">
        <v>1</v>
      </c>
      <c r="B2" t="s">
        <v>20</v>
      </c>
      <c r="C2" s="3">
        <v>153</v>
      </c>
      <c r="D2" s="1">
        <v>42</v>
      </c>
      <c r="E2" s="3">
        <v>24</v>
      </c>
      <c r="G2" t="s">
        <v>37</v>
      </c>
    </row>
    <row r="3" spans="1:21">
      <c r="A3" s="3">
        <v>1</v>
      </c>
      <c r="B3" t="s">
        <v>20</v>
      </c>
      <c r="C3" s="3">
        <v>155</v>
      </c>
      <c r="D3" s="1">
        <v>45</v>
      </c>
      <c r="E3" s="3">
        <v>30</v>
      </c>
    </row>
    <row r="4" spans="1:21">
      <c r="A4" s="3">
        <v>1</v>
      </c>
      <c r="B4" t="s">
        <v>20</v>
      </c>
      <c r="C4" s="3">
        <v>155</v>
      </c>
      <c r="D4" s="1">
        <v>48</v>
      </c>
      <c r="E4" s="3">
        <v>29</v>
      </c>
      <c r="G4" t="s">
        <v>38</v>
      </c>
      <c r="K4" t="s">
        <v>73</v>
      </c>
      <c r="M4" t="s">
        <v>74</v>
      </c>
      <c r="S4" t="s">
        <v>46</v>
      </c>
      <c r="T4" t="s">
        <v>47</v>
      </c>
      <c r="U4" t="s">
        <v>48</v>
      </c>
    </row>
    <row r="5" spans="1:21">
      <c r="A5" s="3">
        <v>1</v>
      </c>
      <c r="B5" t="s">
        <v>19</v>
      </c>
      <c r="C5" s="3">
        <v>161</v>
      </c>
      <c r="D5" s="1">
        <v>53</v>
      </c>
      <c r="E5" s="3">
        <v>23</v>
      </c>
      <c r="H5" t="s">
        <v>39</v>
      </c>
      <c r="I5" t="s">
        <v>40</v>
      </c>
      <c r="M5" t="s">
        <v>75</v>
      </c>
      <c r="S5">
        <v>10</v>
      </c>
      <c r="T5">
        <f>TINV(5%,S5)</f>
        <v>2.2281388424258681</v>
      </c>
      <c r="U5">
        <f>TINV(10%,S5)</f>
        <v>1.8124611021972235</v>
      </c>
    </row>
    <row r="6" spans="1:21">
      <c r="A6" s="3">
        <v>1</v>
      </c>
      <c r="B6" t="s">
        <v>19</v>
      </c>
      <c r="C6" s="3">
        <v>170</v>
      </c>
      <c r="D6" s="1">
        <v>53</v>
      </c>
      <c r="E6" s="3">
        <v>27</v>
      </c>
      <c r="G6" t="s">
        <v>41</v>
      </c>
      <c r="H6">
        <f>COUNTIF(A:A,1)</f>
        <v>25</v>
      </c>
      <c r="I6">
        <f>COUNTIF(A:A,2)</f>
        <v>20</v>
      </c>
      <c r="S6">
        <v>20</v>
      </c>
      <c r="T6">
        <f t="shared" ref="T6:T9" si="0">TINV(5%,S6)</f>
        <v>2.0859634412955419</v>
      </c>
      <c r="U6">
        <f t="shared" ref="U6:U9" si="1">TINV(10%,S6)</f>
        <v>1.7247182182137983</v>
      </c>
    </row>
    <row r="7" spans="1:21">
      <c r="A7" s="3">
        <v>1</v>
      </c>
      <c r="B7" t="s">
        <v>19</v>
      </c>
      <c r="C7" s="3">
        <v>172</v>
      </c>
      <c r="D7" s="1">
        <v>55</v>
      </c>
      <c r="E7" s="3">
        <v>26</v>
      </c>
      <c r="G7" t="s">
        <v>42</v>
      </c>
      <c r="H7">
        <f>AVERAGEIF(A:A,1,C:C)</f>
        <v>165.96</v>
      </c>
      <c r="I7">
        <f>AVERAGEIF(A:A,2,C:C)</f>
        <v>164.15</v>
      </c>
      <c r="K7" t="s">
        <v>76</v>
      </c>
      <c r="M7">
        <f>I8/H8</f>
        <v>1.4324106070697715</v>
      </c>
      <c r="S7">
        <v>50</v>
      </c>
      <c r="T7">
        <f t="shared" si="0"/>
        <v>2.0085590721432576</v>
      </c>
      <c r="U7">
        <f t="shared" si="1"/>
        <v>1.6759050256427059</v>
      </c>
    </row>
    <row r="8" spans="1:21">
      <c r="A8" s="3">
        <v>1</v>
      </c>
      <c r="B8" t="s">
        <v>19</v>
      </c>
      <c r="C8" s="3">
        <v>165</v>
      </c>
      <c r="D8" s="1">
        <v>55</v>
      </c>
      <c r="E8" s="3">
        <v>40</v>
      </c>
      <c r="G8" t="s">
        <v>43</v>
      </c>
      <c r="H8">
        <f>VAR(C2:C26)</f>
        <v>33.456666666665114</v>
      </c>
      <c r="I8">
        <f>VAR(C27:C46)</f>
        <v>47.923684210528769</v>
      </c>
      <c r="K8" t="s">
        <v>77</v>
      </c>
      <c r="M8">
        <f>FINV(5%,I6-1,H6-1)</f>
        <v>2.0398575012645503</v>
      </c>
      <c r="S8">
        <v>100</v>
      </c>
      <c r="T8">
        <f t="shared" si="0"/>
        <v>1.9839714662943697</v>
      </c>
      <c r="U8">
        <f t="shared" si="1"/>
        <v>1.6602343265745434</v>
      </c>
    </row>
    <row r="9" spans="1:21">
      <c r="A9" s="3">
        <v>1</v>
      </c>
      <c r="B9" t="s">
        <v>19</v>
      </c>
      <c r="C9" s="3">
        <v>168</v>
      </c>
      <c r="D9" s="1">
        <v>56</v>
      </c>
      <c r="E9" s="3">
        <v>23</v>
      </c>
      <c r="G9" t="s">
        <v>44</v>
      </c>
      <c r="H9">
        <f>SQRT((H6*I6)/(H6+I6))*SQRT((H6+I6-2)/(H6*H8+I6*I8))*(H7-I7)</f>
        <v>0.93384024512466712</v>
      </c>
      <c r="K9" t="s">
        <v>78</v>
      </c>
      <c r="S9">
        <v>500</v>
      </c>
      <c r="T9">
        <f t="shared" si="0"/>
        <v>1.9647197537063144</v>
      </c>
      <c r="U9">
        <f t="shared" si="1"/>
        <v>1.6479068544201789</v>
      </c>
    </row>
    <row r="10" spans="1:21">
      <c r="A10" s="3">
        <v>1</v>
      </c>
      <c r="B10" t="s">
        <v>19</v>
      </c>
      <c r="C10" s="3">
        <v>170</v>
      </c>
      <c r="D10" s="1">
        <v>56.5</v>
      </c>
      <c r="E10" s="3">
        <v>23</v>
      </c>
      <c r="G10" t="s">
        <v>45</v>
      </c>
      <c r="H10">
        <f>TINV(5%,H6+I6-2)</f>
        <v>2.0166921734373453</v>
      </c>
    </row>
    <row r="11" spans="1:21">
      <c r="A11" s="3">
        <v>1</v>
      </c>
      <c r="B11" t="s">
        <v>19</v>
      </c>
      <c r="C11" s="3">
        <v>168</v>
      </c>
      <c r="D11" s="1">
        <v>57</v>
      </c>
      <c r="E11" s="3">
        <v>25</v>
      </c>
      <c r="G11" t="s">
        <v>60</v>
      </c>
      <c r="H11">
        <f>TDIST(H9,H6+I6-2,2)</f>
        <v>0.35560083798936537</v>
      </c>
      <c r="I11" t="s">
        <v>61</v>
      </c>
      <c r="J11" t="s">
        <v>62</v>
      </c>
    </row>
    <row r="12" spans="1:21">
      <c r="A12" s="3">
        <v>1</v>
      </c>
      <c r="B12" t="s">
        <v>19</v>
      </c>
      <c r="C12" s="3">
        <v>163</v>
      </c>
      <c r="D12" s="1">
        <v>57</v>
      </c>
      <c r="E12" s="3">
        <v>25</v>
      </c>
      <c r="G12" t="s">
        <v>49</v>
      </c>
      <c r="H12">
        <f>H9</f>
        <v>0.93384024512466712</v>
      </c>
      <c r="I12" t="s">
        <v>50</v>
      </c>
      <c r="J12">
        <f>H10</f>
        <v>2.0166921734373453</v>
      </c>
      <c r="K12" t="s">
        <v>51</v>
      </c>
    </row>
    <row r="13" spans="1:21">
      <c r="A13" s="3">
        <v>1</v>
      </c>
      <c r="B13" t="s">
        <v>19</v>
      </c>
      <c r="C13" s="3">
        <v>167</v>
      </c>
      <c r="D13" s="1">
        <v>58</v>
      </c>
      <c r="E13" s="3">
        <v>30</v>
      </c>
      <c r="G13" t="s">
        <v>52</v>
      </c>
    </row>
    <row r="14" spans="1:21">
      <c r="A14" s="3">
        <v>1</v>
      </c>
      <c r="B14" t="s">
        <v>19</v>
      </c>
      <c r="C14" s="3">
        <v>161</v>
      </c>
      <c r="D14" s="1">
        <v>58</v>
      </c>
      <c r="E14" s="3">
        <v>36</v>
      </c>
      <c r="G14" t="s">
        <v>65</v>
      </c>
    </row>
    <row r="15" spans="1:21">
      <c r="A15" s="3">
        <v>1</v>
      </c>
      <c r="B15" t="s">
        <v>19</v>
      </c>
      <c r="C15" s="3">
        <v>160</v>
      </c>
      <c r="D15" s="1">
        <v>60</v>
      </c>
      <c r="E15" s="3">
        <v>31</v>
      </c>
    </row>
    <row r="16" spans="1:21">
      <c r="A16" s="3">
        <v>1</v>
      </c>
      <c r="B16" t="s">
        <v>19</v>
      </c>
      <c r="C16" s="3">
        <v>175</v>
      </c>
      <c r="D16" s="1">
        <v>60</v>
      </c>
      <c r="E16" s="3">
        <v>27</v>
      </c>
      <c r="G16" t="s">
        <v>66</v>
      </c>
      <c r="H16">
        <f>TINV(5%,H6-1)</f>
        <v>2.0638985473180682</v>
      </c>
      <c r="I16">
        <f>TINV(5%,I6-1)</f>
        <v>2.0930240498548649</v>
      </c>
    </row>
    <row r="17" spans="1:15">
      <c r="A17" s="3">
        <v>1</v>
      </c>
      <c r="B17" t="s">
        <v>19</v>
      </c>
      <c r="C17" s="3">
        <v>167</v>
      </c>
      <c r="D17" s="1">
        <v>60</v>
      </c>
      <c r="E17" s="3">
        <v>40</v>
      </c>
      <c r="G17" t="s">
        <v>69</v>
      </c>
      <c r="H17">
        <f>H7-H16*SQRT(H8/H6)</f>
        <v>163.5724104151364</v>
      </c>
      <c r="I17">
        <f>I7-I16*SQRT(I8/I6)</f>
        <v>160.91007975447536</v>
      </c>
    </row>
    <row r="18" spans="1:15">
      <c r="A18" s="3">
        <v>1</v>
      </c>
      <c r="B18" t="s">
        <v>19</v>
      </c>
      <c r="C18" s="3">
        <v>170</v>
      </c>
      <c r="D18" s="1">
        <v>61</v>
      </c>
      <c r="E18" s="3">
        <v>26</v>
      </c>
      <c r="G18" t="s">
        <v>70</v>
      </c>
      <c r="H18">
        <f>H7+H16*SQRT(H8/H6)</f>
        <v>168.34758958486361</v>
      </c>
      <c r="I18">
        <f>I7+I16*SQRT(I8/I6)</f>
        <v>167.38992024552465</v>
      </c>
      <c r="J18" t="s">
        <v>71</v>
      </c>
    </row>
    <row r="19" spans="1:15">
      <c r="A19" s="3">
        <v>1</v>
      </c>
      <c r="B19" t="s">
        <v>19</v>
      </c>
      <c r="C19" s="3">
        <v>166</v>
      </c>
      <c r="D19" s="1">
        <v>62</v>
      </c>
      <c r="E19" s="3">
        <v>23</v>
      </c>
    </row>
    <row r="20" spans="1:15">
      <c r="A20" s="3">
        <v>1</v>
      </c>
      <c r="B20" t="s">
        <v>19</v>
      </c>
      <c r="C20" s="3">
        <v>172</v>
      </c>
      <c r="D20" s="1">
        <v>62</v>
      </c>
      <c r="E20" s="3">
        <v>25</v>
      </c>
      <c r="G20" t="s">
        <v>53</v>
      </c>
    </row>
    <row r="21" spans="1:15">
      <c r="A21" s="3">
        <v>1</v>
      </c>
      <c r="B21" t="s">
        <v>19</v>
      </c>
      <c r="C21" s="3">
        <v>170</v>
      </c>
      <c r="D21" s="1">
        <v>62</v>
      </c>
      <c r="E21" s="3">
        <v>30</v>
      </c>
      <c r="G21" t="s">
        <v>54</v>
      </c>
    </row>
    <row r="22" spans="1:15">
      <c r="A22" s="3">
        <v>1</v>
      </c>
      <c r="B22" t="s">
        <v>19</v>
      </c>
      <c r="C22" s="3">
        <v>172</v>
      </c>
      <c r="D22" s="1">
        <v>63</v>
      </c>
      <c r="E22" s="3">
        <v>26</v>
      </c>
      <c r="H22" t="s">
        <v>55</v>
      </c>
      <c r="I22" t="s">
        <v>56</v>
      </c>
      <c r="M22" t="s">
        <v>73</v>
      </c>
      <c r="O22" t="s">
        <v>74</v>
      </c>
    </row>
    <row r="23" spans="1:15">
      <c r="A23" s="3">
        <v>1</v>
      </c>
      <c r="B23" t="s">
        <v>19</v>
      </c>
      <c r="C23" s="3">
        <v>163</v>
      </c>
      <c r="D23" s="1">
        <v>63</v>
      </c>
      <c r="E23" s="3">
        <v>44</v>
      </c>
      <c r="G23" t="s">
        <v>41</v>
      </c>
      <c r="H23">
        <f>COUNTIF(B:B,"nam")</f>
        <v>36</v>
      </c>
      <c r="I23">
        <f>COUNTIF(B:B,"nu")</f>
        <v>9</v>
      </c>
      <c r="O23" t="s">
        <v>75</v>
      </c>
    </row>
    <row r="24" spans="1:15">
      <c r="A24" s="3">
        <v>1</v>
      </c>
      <c r="B24" t="s">
        <v>19</v>
      </c>
      <c r="C24" s="3">
        <v>170</v>
      </c>
      <c r="D24" s="1">
        <v>70</v>
      </c>
      <c r="E24" s="3">
        <v>29</v>
      </c>
      <c r="G24" t="s">
        <v>42</v>
      </c>
      <c r="H24">
        <f>AVERAGEIF(B:B,"nam",C:C)</f>
        <v>167.75</v>
      </c>
      <c r="I24">
        <f>AVERAGEIF(B:B,"nu",C:C)</f>
        <v>154.77777777777777</v>
      </c>
    </row>
    <row r="25" spans="1:15">
      <c r="A25" s="3">
        <v>1</v>
      </c>
      <c r="B25" t="s">
        <v>19</v>
      </c>
      <c r="C25" s="3">
        <v>168</v>
      </c>
      <c r="D25" s="1">
        <v>70</v>
      </c>
      <c r="E25" s="3">
        <v>45</v>
      </c>
      <c r="G25" t="s">
        <v>43</v>
      </c>
      <c r="H25">
        <f>VAR(C2:C37)</f>
        <v>43.907142857142858</v>
      </c>
      <c r="I25">
        <f>VAR(C38:C46)</f>
        <v>14.361111111109494</v>
      </c>
      <c r="M25" t="s">
        <v>76</v>
      </c>
      <c r="O25">
        <f>H25/I25</f>
        <v>3.0573639126834058</v>
      </c>
    </row>
    <row r="26" spans="1:15">
      <c r="A26" s="3">
        <v>1</v>
      </c>
      <c r="B26" t="s">
        <v>19</v>
      </c>
      <c r="C26" s="3">
        <v>168</v>
      </c>
      <c r="D26" s="1">
        <v>70</v>
      </c>
      <c r="E26" s="3">
        <v>38</v>
      </c>
      <c r="G26" t="s">
        <v>44</v>
      </c>
      <c r="H26">
        <f>SQRT((H23*I23)/(H23+I23))*SQRT((H23+I23-2)/(H23*H25+I23*I25))*(H24-I24)</f>
        <v>5.5198667321482757</v>
      </c>
      <c r="M26" t="s">
        <v>80</v>
      </c>
      <c r="O26">
        <f>FINV(10%,H23-1,I23-1)</f>
        <v>2.3707143371705559</v>
      </c>
    </row>
    <row r="27" spans="1:15">
      <c r="A27" s="3">
        <v>2</v>
      </c>
      <c r="B27" t="s">
        <v>20</v>
      </c>
      <c r="C27" s="3">
        <v>152</v>
      </c>
      <c r="D27" s="1">
        <v>44</v>
      </c>
      <c r="E27" s="3">
        <v>28</v>
      </c>
      <c r="G27" t="s">
        <v>45</v>
      </c>
      <c r="H27">
        <f>TINV(5%,H23+I23-2)</f>
        <v>2.0166921734373453</v>
      </c>
      <c r="M27" t="s">
        <v>79</v>
      </c>
    </row>
    <row r="28" spans="1:15">
      <c r="A28" s="3">
        <v>2</v>
      </c>
      <c r="B28" t="s">
        <v>20</v>
      </c>
      <c r="C28" s="3">
        <v>150</v>
      </c>
      <c r="D28" s="1">
        <v>45</v>
      </c>
      <c r="E28" s="3">
        <v>23</v>
      </c>
      <c r="G28" t="s">
        <v>60</v>
      </c>
      <c r="H28">
        <f>TDIST(ABS(H26),H23+I23-2,2)</f>
        <v>1.8172706285810815E-6</v>
      </c>
      <c r="I28" t="s">
        <v>63</v>
      </c>
      <c r="J28" t="s">
        <v>64</v>
      </c>
      <c r="M28" t="s">
        <v>81</v>
      </c>
      <c r="N28">
        <f>FDIST(O25,H23-1,I23-1)</f>
        <v>5.0056670150471355E-2</v>
      </c>
    </row>
    <row r="29" spans="1:15">
      <c r="A29" s="3">
        <v>2</v>
      </c>
      <c r="B29" t="s">
        <v>20</v>
      </c>
      <c r="C29" s="3">
        <v>156</v>
      </c>
      <c r="D29" s="1">
        <v>47</v>
      </c>
      <c r="E29" s="3">
        <v>34</v>
      </c>
      <c r="G29" t="s">
        <v>49</v>
      </c>
      <c r="H29">
        <f>H26</f>
        <v>5.5198667321482757</v>
      </c>
      <c r="I29" t="s">
        <v>57</v>
      </c>
      <c r="J29">
        <f>H27</f>
        <v>2.0166921734373453</v>
      </c>
      <c r="K29" t="s">
        <v>58</v>
      </c>
    </row>
    <row r="30" spans="1:15">
      <c r="A30" s="3">
        <v>2</v>
      </c>
      <c r="B30" t="s">
        <v>19</v>
      </c>
      <c r="C30" s="3">
        <v>166</v>
      </c>
      <c r="D30" s="1">
        <v>53</v>
      </c>
      <c r="E30" s="3">
        <v>27</v>
      </c>
      <c r="G30" t="s">
        <v>59</v>
      </c>
    </row>
    <row r="31" spans="1:15">
      <c r="A31" s="3">
        <v>2</v>
      </c>
      <c r="B31" t="s">
        <v>19</v>
      </c>
      <c r="C31" s="3">
        <v>166</v>
      </c>
      <c r="D31" s="1">
        <v>54</v>
      </c>
      <c r="E31" s="3">
        <v>25</v>
      </c>
    </row>
    <row r="32" spans="1:15">
      <c r="A32" s="3">
        <v>2</v>
      </c>
      <c r="B32" t="s">
        <v>19</v>
      </c>
      <c r="C32" s="3">
        <v>169</v>
      </c>
      <c r="D32" s="1">
        <v>55</v>
      </c>
      <c r="E32" s="3">
        <v>30</v>
      </c>
      <c r="G32" t="s">
        <v>66</v>
      </c>
      <c r="H32">
        <f>TINV(5%,H23-1)</f>
        <v>2.0301079154483119</v>
      </c>
      <c r="I32">
        <f>TINV(5%,I23-1)</f>
        <v>2.3060041332991172</v>
      </c>
    </row>
    <row r="33" spans="1:10">
      <c r="A33" s="3">
        <v>2</v>
      </c>
      <c r="B33" t="s">
        <v>20</v>
      </c>
      <c r="C33" s="3">
        <v>155</v>
      </c>
      <c r="D33" s="1">
        <v>55</v>
      </c>
      <c r="E33" s="3">
        <v>34</v>
      </c>
      <c r="G33" t="s">
        <v>69</v>
      </c>
      <c r="H33">
        <f>H24-H32*SQRT(H25/H23)</f>
        <v>165.50800075055213</v>
      </c>
      <c r="I33">
        <f>I24-I32*SQRT(I25/I23)</f>
        <v>151.86482900057777</v>
      </c>
    </row>
    <row r="34" spans="1:10">
      <c r="A34" s="3">
        <v>2</v>
      </c>
      <c r="B34" t="s">
        <v>19</v>
      </c>
      <c r="C34" s="3">
        <v>169</v>
      </c>
      <c r="D34" s="1">
        <v>56</v>
      </c>
      <c r="E34" s="3">
        <v>28</v>
      </c>
      <c r="G34" t="s">
        <v>70</v>
      </c>
      <c r="H34">
        <f>H24+H32*SQRT(H25/H23)</f>
        <v>169.99199924944787</v>
      </c>
      <c r="I34">
        <f>I24+I32*SQRT(I25/I23)</f>
        <v>157.69072655497777</v>
      </c>
      <c r="J34" t="s">
        <v>72</v>
      </c>
    </row>
    <row r="35" spans="1:10">
      <c r="A35" s="3">
        <v>2</v>
      </c>
      <c r="B35" t="s">
        <v>20</v>
      </c>
      <c r="C35" s="3">
        <v>157</v>
      </c>
      <c r="D35" s="1">
        <v>56</v>
      </c>
      <c r="E35" s="3">
        <v>33</v>
      </c>
    </row>
    <row r="36" spans="1:10">
      <c r="A36" s="3">
        <v>2</v>
      </c>
      <c r="B36" t="s">
        <v>20</v>
      </c>
      <c r="C36" s="3">
        <v>160</v>
      </c>
      <c r="D36" s="1">
        <v>56</v>
      </c>
      <c r="E36" s="3">
        <v>35</v>
      </c>
    </row>
    <row r="37" spans="1:10">
      <c r="A37" s="3">
        <v>2</v>
      </c>
      <c r="B37" t="s">
        <v>19</v>
      </c>
      <c r="C37" s="3">
        <v>170</v>
      </c>
      <c r="D37" s="1">
        <v>58</v>
      </c>
      <c r="E37" s="3">
        <v>29</v>
      </c>
    </row>
    <row r="38" spans="1:10">
      <c r="A38" s="3">
        <v>2</v>
      </c>
      <c r="B38" t="s">
        <v>19</v>
      </c>
      <c r="C38" s="3">
        <v>172</v>
      </c>
      <c r="D38" s="1">
        <v>61</v>
      </c>
      <c r="E38" s="3">
        <v>25</v>
      </c>
    </row>
    <row r="39" spans="1:10">
      <c r="A39" s="3">
        <v>2</v>
      </c>
      <c r="B39" t="s">
        <v>19</v>
      </c>
      <c r="C39" s="3">
        <v>170</v>
      </c>
      <c r="D39" s="1">
        <v>61</v>
      </c>
      <c r="E39" s="3">
        <v>29</v>
      </c>
    </row>
    <row r="40" spans="1:10">
      <c r="A40" s="3">
        <v>2</v>
      </c>
      <c r="B40" t="s">
        <v>19</v>
      </c>
      <c r="C40" s="3">
        <v>167</v>
      </c>
      <c r="D40" s="1">
        <v>62</v>
      </c>
      <c r="E40" s="3">
        <v>31</v>
      </c>
    </row>
    <row r="41" spans="1:10">
      <c r="A41" s="3">
        <v>2</v>
      </c>
      <c r="B41" t="s">
        <v>19</v>
      </c>
      <c r="C41" s="3">
        <v>168</v>
      </c>
      <c r="D41" s="1">
        <v>62</v>
      </c>
      <c r="E41" s="3">
        <v>34</v>
      </c>
    </row>
    <row r="42" spans="1:10">
      <c r="A42" s="3">
        <v>2</v>
      </c>
      <c r="B42" t="s">
        <v>19</v>
      </c>
      <c r="C42" s="3">
        <v>165</v>
      </c>
      <c r="D42" s="1">
        <v>64</v>
      </c>
      <c r="E42" s="3">
        <v>25</v>
      </c>
    </row>
    <row r="43" spans="1:10">
      <c r="A43" s="3">
        <v>2</v>
      </c>
      <c r="B43" t="s">
        <v>19</v>
      </c>
      <c r="C43" s="3">
        <v>165</v>
      </c>
      <c r="D43" s="1">
        <v>64</v>
      </c>
      <c r="E43" s="3">
        <v>32</v>
      </c>
    </row>
    <row r="44" spans="1:10">
      <c r="A44" s="3">
        <v>2</v>
      </c>
      <c r="B44" t="s">
        <v>19</v>
      </c>
      <c r="C44" s="3">
        <v>162</v>
      </c>
      <c r="D44" s="1">
        <v>65</v>
      </c>
      <c r="E44" s="3">
        <v>48</v>
      </c>
    </row>
    <row r="45" spans="1:10">
      <c r="A45" s="3">
        <v>2</v>
      </c>
      <c r="B45" t="s">
        <v>19</v>
      </c>
      <c r="C45" s="3">
        <v>170</v>
      </c>
      <c r="D45" s="1">
        <v>68</v>
      </c>
      <c r="E45" s="3">
        <v>26</v>
      </c>
    </row>
    <row r="46" spans="1:10">
      <c r="A46" s="3">
        <v>2</v>
      </c>
      <c r="B46" t="s">
        <v>19</v>
      </c>
      <c r="C46" s="3">
        <v>174</v>
      </c>
      <c r="D46" s="1">
        <v>75</v>
      </c>
      <c r="E46" s="3">
        <v>27</v>
      </c>
    </row>
    <row r="54" spans="3:3">
      <c r="C54" s="2"/>
    </row>
    <row r="55" spans="3:3">
      <c r="C55" s="3"/>
    </row>
    <row r="60" spans="3:3">
      <c r="C60" s="4"/>
    </row>
  </sheetData>
  <sortState ref="A2:E60">
    <sortCondition ref="A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6"/>
  <sheetViews>
    <sheetView zoomScale="148" zoomScaleNormal="148" workbookViewId="0">
      <selection activeCell="G13" sqref="G13"/>
    </sheetView>
  </sheetViews>
  <sheetFormatPr defaultRowHeight="14.4"/>
  <cols>
    <col min="6" max="6" width="21.77734375" customWidth="1"/>
  </cols>
  <sheetData>
    <row r="1" spans="1:9">
      <c r="A1" t="s">
        <v>16</v>
      </c>
      <c r="B1" t="s">
        <v>17</v>
      </c>
      <c r="C1" t="s">
        <v>82</v>
      </c>
      <c r="F1" t="s">
        <v>83</v>
      </c>
    </row>
    <row r="2" spans="1:9">
      <c r="A2" s="1">
        <v>22</v>
      </c>
      <c r="B2" s="1">
        <v>25</v>
      </c>
      <c r="C2" s="1">
        <f>A2-B2</f>
        <v>-3</v>
      </c>
      <c r="F2" t="s">
        <v>84</v>
      </c>
    </row>
    <row r="3" spans="1:9">
      <c r="A3" s="1">
        <v>24</v>
      </c>
      <c r="B3" s="1">
        <v>26</v>
      </c>
      <c r="C3" s="1">
        <f t="shared" ref="C3:C46" si="0">A3-B3</f>
        <v>-2</v>
      </c>
    </row>
    <row r="4" spans="1:9">
      <c r="A4" s="1">
        <v>18</v>
      </c>
      <c r="B4" s="1">
        <v>22</v>
      </c>
      <c r="C4" s="1">
        <f t="shared" si="0"/>
        <v>-4</v>
      </c>
      <c r="F4" t="s">
        <v>41</v>
      </c>
      <c r="G4">
        <f>COUNT(C:C)</f>
        <v>45</v>
      </c>
    </row>
    <row r="5" spans="1:9">
      <c r="A5" s="1">
        <v>20</v>
      </c>
      <c r="B5" s="1">
        <v>22</v>
      </c>
      <c r="C5" s="1">
        <f t="shared" si="0"/>
        <v>-2</v>
      </c>
      <c r="F5" t="s">
        <v>85</v>
      </c>
      <c r="G5">
        <f>AVERAGE(C:C)</f>
        <v>-1.5444444444444445</v>
      </c>
    </row>
    <row r="6" spans="1:9">
      <c r="A6" s="1">
        <v>22</v>
      </c>
      <c r="B6" s="1">
        <v>25</v>
      </c>
      <c r="C6" s="1">
        <f t="shared" si="0"/>
        <v>-3</v>
      </c>
      <c r="F6" t="s">
        <v>86</v>
      </c>
      <c r="G6">
        <f>STDEV(C:C)</f>
        <v>2.6752702119731206</v>
      </c>
    </row>
    <row r="7" spans="1:9">
      <c r="A7" s="1">
        <v>21</v>
      </c>
      <c r="B7" s="1">
        <v>26</v>
      </c>
      <c r="C7" s="1">
        <f t="shared" si="0"/>
        <v>-5</v>
      </c>
      <c r="F7" t="s">
        <v>87</v>
      </c>
      <c r="G7">
        <f>G5*SQRT(G4)/G6</f>
        <v>-3.8726735898979618</v>
      </c>
    </row>
    <row r="8" spans="1:9">
      <c r="A8" s="1">
        <v>20</v>
      </c>
      <c r="B8" s="1">
        <v>25</v>
      </c>
      <c r="C8" s="1">
        <f t="shared" si="0"/>
        <v>-5</v>
      </c>
      <c r="F8" t="s">
        <v>88</v>
      </c>
      <c r="G8">
        <f>TINV(5%,G4-1)</f>
        <v>2.0153675467665533</v>
      </c>
    </row>
    <row r="9" spans="1:9">
      <c r="A9" s="1">
        <v>23</v>
      </c>
      <c r="B9" s="1">
        <v>27</v>
      </c>
      <c r="C9" s="1">
        <f t="shared" si="0"/>
        <v>-4</v>
      </c>
      <c r="F9" t="s">
        <v>89</v>
      </c>
      <c r="G9">
        <f>ABS(G7)</f>
        <v>3.8726735898979618</v>
      </c>
      <c r="H9" t="s">
        <v>90</v>
      </c>
      <c r="I9">
        <f>G8</f>
        <v>2.0153675467665533</v>
      </c>
    </row>
    <row r="10" spans="1:9">
      <c r="A10" s="1">
        <v>22</v>
      </c>
      <c r="B10" s="1">
        <v>25</v>
      </c>
      <c r="C10" s="1">
        <f t="shared" si="0"/>
        <v>-3</v>
      </c>
      <c r="F10" t="s">
        <v>91</v>
      </c>
    </row>
    <row r="11" spans="1:9">
      <c r="A11" s="1">
        <v>24</v>
      </c>
      <c r="B11" s="1">
        <v>27</v>
      </c>
      <c r="C11" s="1">
        <f t="shared" si="0"/>
        <v>-3</v>
      </c>
    </row>
    <row r="12" spans="1:9">
      <c r="A12" s="1">
        <v>28</v>
      </c>
      <c r="B12" s="1">
        <v>30</v>
      </c>
      <c r="C12" s="1">
        <f t="shared" si="0"/>
        <v>-2</v>
      </c>
      <c r="F12" t="s">
        <v>92</v>
      </c>
    </row>
    <row r="13" spans="1:9">
      <c r="A13" s="1">
        <v>23</v>
      </c>
      <c r="B13" s="1">
        <v>26</v>
      </c>
      <c r="C13" s="1">
        <f t="shared" si="0"/>
        <v>-3</v>
      </c>
      <c r="F13" t="s">
        <v>93</v>
      </c>
      <c r="G13">
        <f>TDIST(ABS(G7),G4-1,2)</f>
        <v>3.5348990479562283E-4</v>
      </c>
      <c r="H13" t="s">
        <v>63</v>
      </c>
      <c r="I13" t="s">
        <v>94</v>
      </c>
    </row>
    <row r="14" spans="1:9">
      <c r="A14" s="1">
        <v>27</v>
      </c>
      <c r="B14" s="1">
        <v>30</v>
      </c>
      <c r="C14" s="1">
        <f t="shared" si="0"/>
        <v>-3</v>
      </c>
    </row>
    <row r="15" spans="1:9">
      <c r="A15" s="1">
        <v>17</v>
      </c>
      <c r="B15" s="1">
        <v>19</v>
      </c>
      <c r="C15" s="1">
        <f t="shared" si="0"/>
        <v>-2</v>
      </c>
      <c r="F15" t="s">
        <v>95</v>
      </c>
    </row>
    <row r="16" spans="1:9">
      <c r="A16" s="1">
        <v>21</v>
      </c>
      <c r="B16" s="1">
        <v>23</v>
      </c>
      <c r="C16" s="1">
        <f t="shared" si="0"/>
        <v>-2</v>
      </c>
      <c r="F16" t="s">
        <v>67</v>
      </c>
      <c r="G16">
        <f>G5-G8*G6/SQRT(G4)</f>
        <v>-2.3481845838759332</v>
      </c>
    </row>
    <row r="17" spans="1:7">
      <c r="A17" s="1">
        <v>25</v>
      </c>
      <c r="B17" s="1">
        <v>28</v>
      </c>
      <c r="C17" s="1">
        <f t="shared" si="0"/>
        <v>-3</v>
      </c>
      <c r="F17" t="s">
        <v>68</v>
      </c>
      <c r="G17">
        <f>G5+G8*G6/SQRT(G4)</f>
        <v>-0.7407043050129557</v>
      </c>
    </row>
    <row r="18" spans="1:7">
      <c r="A18" s="1">
        <v>23</v>
      </c>
      <c r="B18" s="1">
        <v>26</v>
      </c>
      <c r="C18" s="1">
        <f t="shared" si="0"/>
        <v>-3</v>
      </c>
      <c r="F18" t="s">
        <v>96</v>
      </c>
    </row>
    <row r="19" spans="1:7">
      <c r="A19" s="1">
        <v>25</v>
      </c>
      <c r="B19" s="1">
        <v>27</v>
      </c>
      <c r="C19" s="1">
        <f t="shared" si="0"/>
        <v>-2</v>
      </c>
    </row>
    <row r="20" spans="1:7">
      <c r="A20" s="1">
        <v>27</v>
      </c>
      <c r="B20" s="1">
        <v>28</v>
      </c>
      <c r="C20" s="1">
        <f t="shared" si="0"/>
        <v>-1</v>
      </c>
    </row>
    <row r="21" spans="1:7">
      <c r="A21" s="1">
        <v>20</v>
      </c>
      <c r="B21" s="1">
        <v>25</v>
      </c>
      <c r="C21" s="1">
        <f t="shared" si="0"/>
        <v>-5</v>
      </c>
    </row>
    <row r="22" spans="1:7">
      <c r="A22" s="1">
        <v>20</v>
      </c>
      <c r="B22" s="1">
        <v>22</v>
      </c>
      <c r="C22" s="1">
        <f t="shared" si="0"/>
        <v>-2</v>
      </c>
    </row>
    <row r="23" spans="1:7">
      <c r="A23" s="1">
        <v>24</v>
      </c>
      <c r="B23" s="1">
        <v>28</v>
      </c>
      <c r="C23" s="1">
        <f t="shared" si="0"/>
        <v>-4</v>
      </c>
    </row>
    <row r="24" spans="1:7">
      <c r="A24" s="1">
        <v>28</v>
      </c>
      <c r="B24" s="1">
        <v>23</v>
      </c>
      <c r="C24" s="1">
        <f t="shared" si="0"/>
        <v>5</v>
      </c>
    </row>
    <row r="25" spans="1:7">
      <c r="A25" s="1">
        <v>24</v>
      </c>
      <c r="B25" s="1">
        <v>26</v>
      </c>
      <c r="C25" s="1">
        <f t="shared" si="0"/>
        <v>-2</v>
      </c>
    </row>
    <row r="26" spans="1:7">
      <c r="A26" s="1">
        <v>20</v>
      </c>
      <c r="B26" s="1">
        <v>24</v>
      </c>
      <c r="C26" s="1">
        <f t="shared" si="0"/>
        <v>-4</v>
      </c>
    </row>
    <row r="27" spans="1:7">
      <c r="A27" s="1">
        <v>25</v>
      </c>
      <c r="B27" s="1">
        <v>27</v>
      </c>
      <c r="C27" s="1">
        <f t="shared" si="0"/>
        <v>-2</v>
      </c>
    </row>
    <row r="28" spans="1:7">
      <c r="A28" s="1">
        <v>22</v>
      </c>
      <c r="B28" s="1">
        <v>23</v>
      </c>
      <c r="C28" s="1">
        <f t="shared" si="0"/>
        <v>-1</v>
      </c>
    </row>
    <row r="29" spans="1:7">
      <c r="A29" s="1">
        <v>24</v>
      </c>
      <c r="B29" s="1">
        <v>16</v>
      </c>
      <c r="C29" s="1">
        <f t="shared" si="0"/>
        <v>8</v>
      </c>
    </row>
    <row r="30" spans="1:7">
      <c r="A30" s="1">
        <v>26</v>
      </c>
      <c r="B30" s="1">
        <v>27</v>
      </c>
      <c r="C30" s="1">
        <f t="shared" si="0"/>
        <v>-1</v>
      </c>
    </row>
    <row r="31" spans="1:7">
      <c r="A31" s="1">
        <v>22</v>
      </c>
      <c r="B31" s="1">
        <v>25</v>
      </c>
      <c r="C31" s="1">
        <f t="shared" si="0"/>
        <v>-3</v>
      </c>
    </row>
    <row r="32" spans="1:7">
      <c r="A32" s="1">
        <v>23</v>
      </c>
      <c r="B32" s="1">
        <v>22</v>
      </c>
      <c r="C32" s="1">
        <f t="shared" si="0"/>
        <v>1</v>
      </c>
    </row>
    <row r="33" spans="1:3">
      <c r="A33" s="1">
        <v>20</v>
      </c>
      <c r="B33" s="1">
        <v>19</v>
      </c>
      <c r="C33" s="1">
        <f t="shared" si="0"/>
        <v>1</v>
      </c>
    </row>
    <row r="34" spans="1:3">
      <c r="A34" s="1">
        <v>20.5</v>
      </c>
      <c r="B34" s="1">
        <v>22</v>
      </c>
      <c r="C34" s="1">
        <f t="shared" si="0"/>
        <v>-1.5</v>
      </c>
    </row>
    <row r="35" spans="1:3">
      <c r="A35" s="1">
        <v>21</v>
      </c>
      <c r="B35" s="1">
        <v>20</v>
      </c>
      <c r="C35" s="1">
        <f t="shared" si="0"/>
        <v>1</v>
      </c>
    </row>
    <row r="36" spans="1:3">
      <c r="A36" s="1">
        <v>25</v>
      </c>
      <c r="B36" s="1">
        <v>26</v>
      </c>
      <c r="C36" s="1">
        <f t="shared" si="0"/>
        <v>-1</v>
      </c>
    </row>
    <row r="37" spans="1:3">
      <c r="A37" s="1">
        <v>30</v>
      </c>
      <c r="B37" s="1">
        <v>32</v>
      </c>
      <c r="C37" s="1">
        <f t="shared" si="0"/>
        <v>-2</v>
      </c>
    </row>
    <row r="38" spans="1:3">
      <c r="A38" s="1">
        <v>15</v>
      </c>
      <c r="B38" s="1">
        <v>20</v>
      </c>
      <c r="C38" s="1">
        <f t="shared" si="0"/>
        <v>-5</v>
      </c>
    </row>
    <row r="39" spans="1:3">
      <c r="A39" s="1">
        <v>23</v>
      </c>
      <c r="B39" s="1">
        <v>22</v>
      </c>
      <c r="C39" s="1">
        <f t="shared" si="0"/>
        <v>1</v>
      </c>
    </row>
    <row r="40" spans="1:3">
      <c r="A40" s="1">
        <v>20</v>
      </c>
      <c r="B40" s="1">
        <v>22</v>
      </c>
      <c r="C40" s="1">
        <f t="shared" si="0"/>
        <v>-2</v>
      </c>
    </row>
    <row r="41" spans="1:3">
      <c r="A41" s="1">
        <v>22</v>
      </c>
      <c r="B41" s="1">
        <v>20</v>
      </c>
      <c r="C41" s="1">
        <f t="shared" si="0"/>
        <v>2</v>
      </c>
    </row>
    <row r="42" spans="1:3">
      <c r="A42" s="1">
        <v>20</v>
      </c>
      <c r="B42" s="1">
        <v>19</v>
      </c>
      <c r="C42" s="1">
        <f t="shared" si="0"/>
        <v>1</v>
      </c>
    </row>
    <row r="43" spans="1:3">
      <c r="A43" s="1">
        <v>22</v>
      </c>
      <c r="B43" s="1">
        <v>26</v>
      </c>
      <c r="C43" s="1">
        <f t="shared" si="0"/>
        <v>-4</v>
      </c>
    </row>
    <row r="44" spans="1:3">
      <c r="A44" s="1">
        <v>25</v>
      </c>
      <c r="B44" s="1">
        <v>23</v>
      </c>
      <c r="C44" s="1">
        <f t="shared" si="0"/>
        <v>2</v>
      </c>
    </row>
    <row r="45" spans="1:3">
      <c r="A45" s="1">
        <v>22</v>
      </c>
      <c r="B45" s="1">
        <v>19</v>
      </c>
      <c r="C45" s="1">
        <f t="shared" si="0"/>
        <v>3</v>
      </c>
    </row>
    <row r="46" spans="1:3">
      <c r="A46" s="1">
        <v>25</v>
      </c>
      <c r="B46" s="1">
        <v>25</v>
      </c>
      <c r="C46" s="1">
        <f t="shared" si="0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63"/>
  <sheetViews>
    <sheetView zoomScale="158" zoomScaleNormal="158" workbookViewId="0">
      <selection activeCell="M8" sqref="M8"/>
    </sheetView>
  </sheetViews>
  <sheetFormatPr defaultRowHeight="14.4"/>
  <cols>
    <col min="1" max="1" width="5.44140625" customWidth="1"/>
    <col min="5" max="5" width="19" customWidth="1"/>
  </cols>
  <sheetData>
    <row r="1" spans="1:7">
      <c r="A1" t="s">
        <v>0</v>
      </c>
      <c r="B1" t="s">
        <v>12</v>
      </c>
      <c r="E1" t="s">
        <v>97</v>
      </c>
    </row>
    <row r="2" spans="1:7">
      <c r="A2" s="3">
        <v>1</v>
      </c>
      <c r="B2" s="3">
        <v>0</v>
      </c>
      <c r="E2" t="s">
        <v>98</v>
      </c>
    </row>
    <row r="3" spans="1:7">
      <c r="A3" s="3">
        <v>1</v>
      </c>
      <c r="B3" s="3">
        <v>1</v>
      </c>
    </row>
    <row r="4" spans="1:7">
      <c r="A4" s="3">
        <v>1</v>
      </c>
      <c r="B4" s="3">
        <v>0</v>
      </c>
      <c r="E4" t="s">
        <v>99</v>
      </c>
      <c r="F4" t="s">
        <v>39</v>
      </c>
      <c r="G4" t="s">
        <v>40</v>
      </c>
    </row>
    <row r="5" spans="1:7">
      <c r="A5" s="3">
        <v>1</v>
      </c>
      <c r="B5" s="3">
        <v>1</v>
      </c>
      <c r="E5" t="s">
        <v>100</v>
      </c>
      <c r="F5">
        <f>COUNTIFS(A:A,1,B:B,1)</f>
        <v>15</v>
      </c>
      <c r="G5">
        <f>COUNTIFS(A:A,2,B:B,1)</f>
        <v>10</v>
      </c>
    </row>
    <row r="6" spans="1:7">
      <c r="A6" s="3">
        <v>1</v>
      </c>
      <c r="B6" s="3">
        <v>0</v>
      </c>
      <c r="E6" t="s">
        <v>102</v>
      </c>
      <c r="F6">
        <f>COUNTIF(A:A,1)</f>
        <v>25</v>
      </c>
      <c r="G6">
        <f>COUNTIF(A:A,2)</f>
        <v>20</v>
      </c>
    </row>
    <row r="7" spans="1:7">
      <c r="A7" s="3">
        <v>1</v>
      </c>
      <c r="B7" s="3">
        <v>0</v>
      </c>
      <c r="E7" t="s">
        <v>101</v>
      </c>
      <c r="F7">
        <f>F5/F6</f>
        <v>0.6</v>
      </c>
      <c r="G7">
        <f>G5/G6</f>
        <v>0.5</v>
      </c>
    </row>
    <row r="8" spans="1:7">
      <c r="A8" s="3">
        <v>1</v>
      </c>
      <c r="B8" s="3">
        <v>1</v>
      </c>
      <c r="E8" t="s">
        <v>67</v>
      </c>
      <c r="F8">
        <f>F7-1.96*SQRT(F7*(1-F7)/F6)</f>
        <v>0.40796000416579881</v>
      </c>
      <c r="G8">
        <f>G7-1.96*SQRT(G7*(1-G7)/G6)</f>
        <v>0.28086533820502063</v>
      </c>
    </row>
    <row r="9" spans="1:7">
      <c r="A9" s="3">
        <v>1</v>
      </c>
      <c r="B9" s="3">
        <v>1</v>
      </c>
      <c r="E9" t="s">
        <v>68</v>
      </c>
      <c r="F9">
        <f>F7+1.96*SQRT(F7*(1-F7)/F6)</f>
        <v>0.79203999583420115</v>
      </c>
      <c r="G9">
        <f>G7+1.96*SQRT(G7*(1-G7)/G6)</f>
        <v>0.71913466179497942</v>
      </c>
    </row>
    <row r="10" spans="1:7">
      <c r="A10" s="3">
        <v>1</v>
      </c>
      <c r="B10" s="3">
        <v>1</v>
      </c>
    </row>
    <row r="11" spans="1:7">
      <c r="A11" s="3">
        <v>1</v>
      </c>
      <c r="B11" s="3">
        <v>1</v>
      </c>
      <c r="E11" t="s">
        <v>103</v>
      </c>
    </row>
    <row r="12" spans="1:7">
      <c r="A12" s="3">
        <v>1</v>
      </c>
      <c r="B12" s="3">
        <v>1</v>
      </c>
    </row>
    <row r="13" spans="1:7">
      <c r="A13" s="3">
        <v>1</v>
      </c>
      <c r="B13" s="3">
        <v>1</v>
      </c>
    </row>
    <row r="14" spans="1:7">
      <c r="A14" s="3">
        <v>1</v>
      </c>
      <c r="B14" s="3">
        <v>1</v>
      </c>
    </row>
    <row r="15" spans="1:7">
      <c r="A15" s="3">
        <v>1</v>
      </c>
      <c r="B15" s="3">
        <v>1</v>
      </c>
    </row>
    <row r="16" spans="1:7">
      <c r="A16" s="3">
        <v>1</v>
      </c>
      <c r="B16" s="3">
        <v>1</v>
      </c>
    </row>
    <row r="17" spans="1:2">
      <c r="A17" s="3">
        <v>1</v>
      </c>
      <c r="B17" s="3">
        <v>0</v>
      </c>
    </row>
    <row r="18" spans="1:2">
      <c r="A18" s="3">
        <v>1</v>
      </c>
      <c r="B18" s="3">
        <v>1</v>
      </c>
    </row>
    <row r="19" spans="1:2">
      <c r="A19" s="3">
        <v>1</v>
      </c>
      <c r="B19" s="3">
        <v>1</v>
      </c>
    </row>
    <row r="20" spans="1:2">
      <c r="A20" s="3">
        <v>1</v>
      </c>
      <c r="B20" s="3">
        <v>0</v>
      </c>
    </row>
    <row r="21" spans="1:2">
      <c r="A21" s="3">
        <v>1</v>
      </c>
      <c r="B21" s="3">
        <v>0</v>
      </c>
    </row>
    <row r="22" spans="1:2">
      <c r="A22" s="3">
        <v>1</v>
      </c>
      <c r="B22" s="3">
        <v>0</v>
      </c>
    </row>
    <row r="23" spans="1:2">
      <c r="A23" s="3">
        <v>1</v>
      </c>
      <c r="B23" s="3">
        <v>0</v>
      </c>
    </row>
    <row r="24" spans="1:2">
      <c r="A24" s="3">
        <v>2</v>
      </c>
      <c r="B24" s="3">
        <v>1</v>
      </c>
    </row>
    <row r="25" spans="1:2">
      <c r="A25" s="3">
        <v>2</v>
      </c>
      <c r="B25" s="3">
        <v>1</v>
      </c>
    </row>
    <row r="26" spans="1:2">
      <c r="A26" s="3">
        <v>2</v>
      </c>
      <c r="B26" s="3">
        <v>0</v>
      </c>
    </row>
    <row r="27" spans="1:2">
      <c r="A27" s="3">
        <v>2</v>
      </c>
      <c r="B27" s="3">
        <v>1</v>
      </c>
    </row>
    <row r="28" spans="1:2">
      <c r="A28" s="3">
        <v>2</v>
      </c>
      <c r="B28" s="3">
        <v>1</v>
      </c>
    </row>
    <row r="29" spans="1:2">
      <c r="A29" s="3">
        <v>2</v>
      </c>
      <c r="B29" s="3">
        <v>1</v>
      </c>
    </row>
    <row r="30" spans="1:2">
      <c r="A30" s="3">
        <v>2</v>
      </c>
      <c r="B30" s="3">
        <v>0</v>
      </c>
    </row>
    <row r="31" spans="1:2">
      <c r="A31" s="3">
        <v>2</v>
      </c>
      <c r="B31" s="3">
        <v>0</v>
      </c>
    </row>
    <row r="32" spans="1:2">
      <c r="A32" s="3">
        <v>2</v>
      </c>
      <c r="B32" s="3">
        <v>1</v>
      </c>
    </row>
    <row r="33" spans="1:2">
      <c r="A33" s="3">
        <v>2</v>
      </c>
      <c r="B33" s="3">
        <v>0</v>
      </c>
    </row>
    <row r="34" spans="1:2">
      <c r="A34" s="3">
        <v>2</v>
      </c>
      <c r="B34" s="3">
        <v>1</v>
      </c>
    </row>
    <row r="35" spans="1:2">
      <c r="A35" s="3">
        <v>2</v>
      </c>
      <c r="B35" s="3">
        <v>0</v>
      </c>
    </row>
    <row r="36" spans="1:2">
      <c r="A36" s="3">
        <v>2</v>
      </c>
      <c r="B36" s="3">
        <v>0</v>
      </c>
    </row>
    <row r="37" spans="1:2">
      <c r="A37" s="3">
        <v>2</v>
      </c>
      <c r="B37" s="3">
        <v>0</v>
      </c>
    </row>
    <row r="38" spans="1:2">
      <c r="A38" s="3">
        <v>1</v>
      </c>
      <c r="B38" s="3">
        <v>0</v>
      </c>
    </row>
    <row r="39" spans="1:2">
      <c r="A39" s="3">
        <v>1</v>
      </c>
      <c r="B39" s="3">
        <v>1</v>
      </c>
    </row>
    <row r="40" spans="1:2">
      <c r="A40" s="3">
        <v>1</v>
      </c>
      <c r="B40" s="3">
        <v>1</v>
      </c>
    </row>
    <row r="41" spans="1:2">
      <c r="A41" s="3">
        <v>2</v>
      </c>
      <c r="B41" s="3">
        <v>1</v>
      </c>
    </row>
    <row r="42" spans="1:2">
      <c r="A42" s="3">
        <v>2</v>
      </c>
      <c r="B42" s="3">
        <v>0</v>
      </c>
    </row>
    <row r="43" spans="1:2">
      <c r="A43" s="3">
        <v>2</v>
      </c>
      <c r="B43" s="3">
        <v>1</v>
      </c>
    </row>
    <row r="44" spans="1:2">
      <c r="A44" s="3">
        <v>2</v>
      </c>
      <c r="B44" s="3">
        <v>0</v>
      </c>
    </row>
    <row r="45" spans="1:2">
      <c r="A45" s="3">
        <v>2</v>
      </c>
      <c r="B45" s="3">
        <v>0</v>
      </c>
    </row>
    <row r="46" spans="1:2">
      <c r="A46" s="3">
        <v>2</v>
      </c>
      <c r="B46" s="3">
        <v>1</v>
      </c>
    </row>
    <row r="57" spans="1:1">
      <c r="A57" t="s">
        <v>28</v>
      </c>
    </row>
    <row r="58" spans="1:1">
      <c r="A58" t="s">
        <v>29</v>
      </c>
    </row>
    <row r="59" spans="1:1">
      <c r="A59" t="s">
        <v>30</v>
      </c>
    </row>
    <row r="61" spans="1:1">
      <c r="A61" t="s">
        <v>28</v>
      </c>
    </row>
    <row r="62" spans="1:1">
      <c r="A62" t="s">
        <v>31</v>
      </c>
    </row>
    <row r="63" spans="1:1">
      <c r="A63" t="s">
        <v>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46"/>
  <sheetViews>
    <sheetView tabSelected="1" zoomScale="150" zoomScaleNormal="150" workbookViewId="0">
      <selection activeCell="G14" sqref="G14"/>
    </sheetView>
  </sheetViews>
  <sheetFormatPr defaultRowHeight="14.4"/>
  <cols>
    <col min="1" max="1" width="7.109375" customWidth="1"/>
    <col min="4" max="4" width="10.33203125" customWidth="1"/>
    <col min="6" max="6" width="14.5546875" customWidth="1"/>
  </cols>
  <sheetData>
    <row r="1" spans="1:11">
      <c r="A1" t="s">
        <v>7</v>
      </c>
      <c r="B1" t="s">
        <v>8</v>
      </c>
      <c r="C1" t="s">
        <v>115</v>
      </c>
      <c r="D1" t="s">
        <v>116</v>
      </c>
      <c r="G1" t="s">
        <v>104</v>
      </c>
      <c r="H1" t="s">
        <v>105</v>
      </c>
      <c r="I1" t="s">
        <v>106</v>
      </c>
      <c r="J1" t="s">
        <v>107</v>
      </c>
      <c r="K1" t="s">
        <v>109</v>
      </c>
    </row>
    <row r="2" spans="1:11">
      <c r="A2" s="2">
        <v>5</v>
      </c>
      <c r="B2" s="3">
        <v>1</v>
      </c>
      <c r="C2" s="2">
        <f>A2-$G$3</f>
        <v>-1.5333333333333332</v>
      </c>
      <c r="D2" s="5">
        <f>C2^2</f>
        <v>2.3511111111111109</v>
      </c>
      <c r="F2" t="s">
        <v>108</v>
      </c>
      <c r="G2">
        <f>COUNTIF($B:$B,1)</f>
        <v>15</v>
      </c>
      <c r="H2">
        <f>COUNTIF($B:$B,2)</f>
        <v>8</v>
      </c>
      <c r="I2">
        <f>COUNTIF($B:$B,3)</f>
        <v>17</v>
      </c>
      <c r="J2">
        <f>COUNTIF($B:$B,4)</f>
        <v>5</v>
      </c>
      <c r="K2">
        <f>SUM(G2:J2)</f>
        <v>45</v>
      </c>
    </row>
    <row r="3" spans="1:11">
      <c r="A3" s="2">
        <v>5</v>
      </c>
      <c r="B3" s="3">
        <v>1</v>
      </c>
      <c r="C3" s="2">
        <f t="shared" ref="C3:C16" si="0">A3-$G$3</f>
        <v>-1.5333333333333332</v>
      </c>
      <c r="D3" s="5">
        <f t="shared" ref="D3:D46" si="1">C3^2</f>
        <v>2.3511111111111109</v>
      </c>
      <c r="F3" t="s">
        <v>110</v>
      </c>
      <c r="G3">
        <f>AVERAGEIF($B:$B,1,$A:$A)</f>
        <v>6.5333333333333332</v>
      </c>
      <c r="H3">
        <f>AVERAGEIF($B:$B,2,$A:$A)</f>
        <v>13.375</v>
      </c>
      <c r="I3">
        <f>AVERAGEIF($B:$B,3,$A:$A)</f>
        <v>19.117647058823529</v>
      </c>
      <c r="J3">
        <f>AVERAGEIF($B:$B,4,$A:$A)</f>
        <v>29</v>
      </c>
    </row>
    <row r="4" spans="1:11">
      <c r="A4" s="2">
        <v>5</v>
      </c>
      <c r="B4" s="3">
        <v>1</v>
      </c>
      <c r="C4" s="2">
        <f t="shared" si="0"/>
        <v>-1.5333333333333332</v>
      </c>
      <c r="D4" s="5">
        <f t="shared" si="1"/>
        <v>2.3511111111111109</v>
      </c>
      <c r="F4" t="s">
        <v>111</v>
      </c>
      <c r="G4">
        <f>AVERAGE(A:A)</f>
        <v>15</v>
      </c>
    </row>
    <row r="5" spans="1:11">
      <c r="A5" s="2">
        <v>5</v>
      </c>
      <c r="B5" s="3">
        <v>1</v>
      </c>
      <c r="C5" s="2">
        <f t="shared" si="0"/>
        <v>-1.5333333333333332</v>
      </c>
      <c r="D5" s="5">
        <f t="shared" si="1"/>
        <v>2.3511111111111109</v>
      </c>
      <c r="F5" t="s">
        <v>112</v>
      </c>
      <c r="G5">
        <f>G3-$G$4</f>
        <v>-8.4666666666666668</v>
      </c>
      <c r="H5">
        <f t="shared" ref="H5:J5" si="2">H3-$G$4</f>
        <v>-1.625</v>
      </c>
      <c r="I5">
        <f t="shared" si="2"/>
        <v>4.117647058823529</v>
      </c>
      <c r="J5">
        <f t="shared" si="2"/>
        <v>14</v>
      </c>
    </row>
    <row r="6" spans="1:11">
      <c r="A6" s="2">
        <v>3</v>
      </c>
      <c r="B6" s="3">
        <v>1</v>
      </c>
      <c r="C6" s="2">
        <f t="shared" si="0"/>
        <v>-3.5333333333333332</v>
      </c>
      <c r="D6" s="5">
        <f t="shared" si="1"/>
        <v>12.484444444444444</v>
      </c>
      <c r="F6" t="s">
        <v>113</v>
      </c>
      <c r="G6">
        <f>G5^2</f>
        <v>71.684444444444452</v>
      </c>
      <c r="H6">
        <f t="shared" ref="H6:J6" si="3">H5^2</f>
        <v>2.640625</v>
      </c>
      <c r="I6">
        <f t="shared" si="3"/>
        <v>16.955017301038058</v>
      </c>
      <c r="J6">
        <f t="shared" si="3"/>
        <v>196</v>
      </c>
    </row>
    <row r="7" spans="1:11">
      <c r="A7" s="2">
        <v>10</v>
      </c>
      <c r="B7" s="3">
        <v>1</v>
      </c>
      <c r="C7" s="2">
        <f t="shared" si="0"/>
        <v>3.4666666666666668</v>
      </c>
      <c r="D7" s="5">
        <f t="shared" si="1"/>
        <v>12.017777777777779</v>
      </c>
    </row>
    <row r="8" spans="1:11">
      <c r="A8" s="2">
        <v>15</v>
      </c>
      <c r="B8" s="3">
        <v>1</v>
      </c>
      <c r="C8" s="2">
        <f t="shared" si="0"/>
        <v>8.4666666666666668</v>
      </c>
      <c r="D8" s="5">
        <f t="shared" si="1"/>
        <v>71.684444444444452</v>
      </c>
      <c r="F8" t="s">
        <v>114</v>
      </c>
      <c r="G8">
        <f>SUM(G6:J6)</f>
        <v>287.28008674548249</v>
      </c>
    </row>
    <row r="9" spans="1:11">
      <c r="A9" s="2">
        <v>2</v>
      </c>
      <c r="B9" s="3">
        <v>1</v>
      </c>
      <c r="C9" s="2">
        <f t="shared" si="0"/>
        <v>-4.5333333333333332</v>
      </c>
      <c r="D9" s="5">
        <f t="shared" si="1"/>
        <v>20.551111111111108</v>
      </c>
      <c r="F9" t="s">
        <v>117</v>
      </c>
      <c r="G9">
        <f>SUM(D:D)</f>
        <v>2329.3730392156867</v>
      </c>
    </row>
    <row r="10" spans="1:11">
      <c r="A10" s="2">
        <v>5</v>
      </c>
      <c r="B10" s="3">
        <v>1</v>
      </c>
      <c r="C10" s="2">
        <f t="shared" si="0"/>
        <v>-1.5333333333333332</v>
      </c>
      <c r="D10" s="5">
        <f t="shared" si="1"/>
        <v>2.3511111111111109</v>
      </c>
    </row>
    <row r="11" spans="1:11">
      <c r="A11" s="2">
        <v>10</v>
      </c>
      <c r="B11" s="3">
        <v>1</v>
      </c>
      <c r="C11" s="2">
        <f t="shared" si="0"/>
        <v>3.4666666666666668</v>
      </c>
      <c r="D11" s="5">
        <f t="shared" si="1"/>
        <v>12.017777777777779</v>
      </c>
      <c r="F11" t="s">
        <v>118</v>
      </c>
      <c r="G11">
        <f>(G8/3)/(G9/(K2-4))</f>
        <v>1.6855012569577756</v>
      </c>
    </row>
    <row r="12" spans="1:11">
      <c r="A12" s="2">
        <v>3</v>
      </c>
      <c r="B12" s="3">
        <v>1</v>
      </c>
      <c r="C12" s="2">
        <f t="shared" si="0"/>
        <v>-3.5333333333333332</v>
      </c>
      <c r="D12" s="5">
        <f t="shared" si="1"/>
        <v>12.484444444444444</v>
      </c>
      <c r="F12" t="s">
        <v>119</v>
      </c>
      <c r="G12">
        <f>FINV(5%,3,K2-4)</f>
        <v>2.8327471389590864</v>
      </c>
    </row>
    <row r="13" spans="1:11">
      <c r="A13" s="2">
        <v>10</v>
      </c>
      <c r="B13" s="3">
        <v>1</v>
      </c>
      <c r="C13" s="2">
        <f t="shared" si="0"/>
        <v>3.4666666666666668</v>
      </c>
      <c r="D13" s="5">
        <f t="shared" si="1"/>
        <v>12.017777777777779</v>
      </c>
      <c r="F13" t="s">
        <v>26</v>
      </c>
      <c r="G13">
        <f>FDIST(G11,3,K2-4)</f>
        <v>0.18505550932372034</v>
      </c>
    </row>
    <row r="14" spans="1:11">
      <c r="A14" s="2">
        <v>5</v>
      </c>
      <c r="B14" s="3">
        <v>1</v>
      </c>
      <c r="C14" s="2">
        <f t="shared" si="0"/>
        <v>-1.5333333333333332</v>
      </c>
      <c r="D14" s="5">
        <f t="shared" si="1"/>
        <v>2.3511111111111109</v>
      </c>
    </row>
    <row r="15" spans="1:11">
      <c r="A15" s="2">
        <v>10</v>
      </c>
      <c r="B15" s="3">
        <v>1</v>
      </c>
      <c r="C15" s="2">
        <f t="shared" si="0"/>
        <v>3.4666666666666668</v>
      </c>
      <c r="D15" s="5">
        <f t="shared" si="1"/>
        <v>12.017777777777779</v>
      </c>
    </row>
    <row r="16" spans="1:11">
      <c r="A16" s="2">
        <v>5</v>
      </c>
      <c r="B16" s="3">
        <v>1</v>
      </c>
      <c r="C16" s="2">
        <f t="shared" si="0"/>
        <v>-1.5333333333333332</v>
      </c>
      <c r="D16" s="5">
        <f t="shared" si="1"/>
        <v>2.3511111111111109</v>
      </c>
    </row>
    <row r="17" spans="1:4">
      <c r="A17" s="2">
        <v>10</v>
      </c>
      <c r="B17" s="3">
        <v>2</v>
      </c>
      <c r="C17" s="2">
        <f>A17-$H$3</f>
        <v>-3.375</v>
      </c>
      <c r="D17" s="5">
        <f t="shared" si="1"/>
        <v>11.390625</v>
      </c>
    </row>
    <row r="18" spans="1:4">
      <c r="A18" s="2">
        <v>5</v>
      </c>
      <c r="B18" s="3">
        <v>2</v>
      </c>
      <c r="C18" s="2">
        <f t="shared" ref="C18:C24" si="4">A18-$H$3</f>
        <v>-8.375</v>
      </c>
      <c r="D18" s="5">
        <f t="shared" si="1"/>
        <v>70.140625</v>
      </c>
    </row>
    <row r="19" spans="1:4">
      <c r="A19" s="2">
        <v>10</v>
      </c>
      <c r="B19" s="3">
        <v>2</v>
      </c>
      <c r="C19" s="2">
        <f t="shared" si="4"/>
        <v>-3.375</v>
      </c>
      <c r="D19" s="5">
        <f t="shared" si="1"/>
        <v>11.390625</v>
      </c>
    </row>
    <row r="20" spans="1:4">
      <c r="A20" s="2">
        <v>15</v>
      </c>
      <c r="B20" s="3">
        <v>2</v>
      </c>
      <c r="C20" s="2">
        <f t="shared" si="4"/>
        <v>1.625</v>
      </c>
      <c r="D20" s="5">
        <f t="shared" si="1"/>
        <v>2.640625</v>
      </c>
    </row>
    <row r="21" spans="1:4">
      <c r="A21" s="2">
        <v>7</v>
      </c>
      <c r="B21" s="3">
        <v>2</v>
      </c>
      <c r="C21" s="2">
        <f t="shared" si="4"/>
        <v>-6.375</v>
      </c>
      <c r="D21" s="5">
        <f t="shared" si="1"/>
        <v>40.640625</v>
      </c>
    </row>
    <row r="22" spans="1:4">
      <c r="A22" s="2">
        <v>20</v>
      </c>
      <c r="B22" s="3">
        <v>2</v>
      </c>
      <c r="C22" s="2">
        <f t="shared" si="4"/>
        <v>6.625</v>
      </c>
      <c r="D22" s="5">
        <f t="shared" si="1"/>
        <v>43.890625</v>
      </c>
    </row>
    <row r="23" spans="1:4">
      <c r="A23" s="2">
        <v>20</v>
      </c>
      <c r="B23" s="3">
        <v>2</v>
      </c>
      <c r="C23" s="2">
        <f t="shared" si="4"/>
        <v>6.625</v>
      </c>
      <c r="D23" s="5">
        <f t="shared" si="1"/>
        <v>43.890625</v>
      </c>
    </row>
    <row r="24" spans="1:4">
      <c r="A24" s="2">
        <v>20</v>
      </c>
      <c r="B24" s="3">
        <v>2</v>
      </c>
      <c r="C24" s="2">
        <f t="shared" si="4"/>
        <v>6.625</v>
      </c>
      <c r="D24" s="5">
        <f t="shared" si="1"/>
        <v>43.890625</v>
      </c>
    </row>
    <row r="25" spans="1:4">
      <c r="A25" s="2">
        <v>20</v>
      </c>
      <c r="B25" s="3">
        <v>3</v>
      </c>
      <c r="C25" s="2">
        <f>A25-$I$3</f>
        <v>0.88235294117647101</v>
      </c>
      <c r="D25" s="5">
        <f t="shared" si="1"/>
        <v>0.77854671280276888</v>
      </c>
    </row>
    <row r="26" spans="1:4">
      <c r="A26" s="2">
        <v>20</v>
      </c>
      <c r="B26" s="3">
        <v>3</v>
      </c>
      <c r="C26" s="2">
        <f t="shared" ref="C26:C41" si="5">A26-$I$3</f>
        <v>0.88235294117647101</v>
      </c>
      <c r="D26" s="5">
        <f t="shared" si="1"/>
        <v>0.77854671280276888</v>
      </c>
    </row>
    <row r="27" spans="1:4">
      <c r="A27" s="2">
        <v>45</v>
      </c>
      <c r="B27" s="3">
        <v>3</v>
      </c>
      <c r="C27" s="2">
        <f t="shared" si="5"/>
        <v>25.882352941176471</v>
      </c>
      <c r="D27" s="5">
        <f t="shared" si="1"/>
        <v>669.89619377162637</v>
      </c>
    </row>
    <row r="28" spans="1:4">
      <c r="A28" s="2">
        <v>15</v>
      </c>
      <c r="B28" s="3">
        <v>3</v>
      </c>
      <c r="C28" s="2">
        <f t="shared" si="5"/>
        <v>-4.117647058823529</v>
      </c>
      <c r="D28" s="5">
        <f t="shared" si="1"/>
        <v>16.955017301038058</v>
      </c>
    </row>
    <row r="29" spans="1:4">
      <c r="A29" s="2">
        <v>10</v>
      </c>
      <c r="B29" s="3">
        <v>3</v>
      </c>
      <c r="C29" s="2">
        <f t="shared" si="5"/>
        <v>-9.117647058823529</v>
      </c>
      <c r="D29" s="5">
        <f t="shared" si="1"/>
        <v>83.131487889273345</v>
      </c>
    </row>
    <row r="30" spans="1:4">
      <c r="A30" s="2">
        <v>17</v>
      </c>
      <c r="B30" s="3">
        <v>3</v>
      </c>
      <c r="C30" s="2">
        <f t="shared" si="5"/>
        <v>-2.117647058823529</v>
      </c>
      <c r="D30" s="5">
        <f t="shared" si="1"/>
        <v>4.4844290657439432</v>
      </c>
    </row>
    <row r="31" spans="1:4">
      <c r="A31" s="2">
        <v>20</v>
      </c>
      <c r="B31" s="3">
        <v>3</v>
      </c>
      <c r="C31" s="2">
        <f t="shared" si="5"/>
        <v>0.88235294117647101</v>
      </c>
      <c r="D31" s="5">
        <f t="shared" si="1"/>
        <v>0.77854671280276888</v>
      </c>
    </row>
    <row r="32" spans="1:4">
      <c r="A32" s="2">
        <v>3</v>
      </c>
      <c r="B32" s="3">
        <v>3</v>
      </c>
      <c r="C32" s="2">
        <f t="shared" si="5"/>
        <v>-16.117647058823529</v>
      </c>
      <c r="D32" s="5">
        <f t="shared" si="1"/>
        <v>259.77854671280278</v>
      </c>
    </row>
    <row r="33" spans="1:4">
      <c r="A33" s="2">
        <v>20</v>
      </c>
      <c r="B33" s="3">
        <v>3</v>
      </c>
      <c r="C33" s="2">
        <f t="shared" si="5"/>
        <v>0.88235294117647101</v>
      </c>
      <c r="D33" s="5">
        <f t="shared" si="1"/>
        <v>0.77854671280276888</v>
      </c>
    </row>
    <row r="34" spans="1:4">
      <c r="A34" s="2">
        <v>10</v>
      </c>
      <c r="B34" s="3">
        <v>3</v>
      </c>
      <c r="C34" s="2">
        <f t="shared" si="5"/>
        <v>-9.117647058823529</v>
      </c>
      <c r="D34" s="5">
        <f t="shared" si="1"/>
        <v>83.131487889273345</v>
      </c>
    </row>
    <row r="35" spans="1:4">
      <c r="A35" s="2">
        <v>30</v>
      </c>
      <c r="B35" s="3">
        <v>3</v>
      </c>
      <c r="C35" s="2">
        <f t="shared" si="5"/>
        <v>10.882352941176471</v>
      </c>
      <c r="D35" s="5">
        <f t="shared" si="1"/>
        <v>118.42560553633218</v>
      </c>
    </row>
    <row r="36" spans="1:4">
      <c r="A36" s="2">
        <v>20</v>
      </c>
      <c r="B36" s="3">
        <v>3</v>
      </c>
      <c r="C36" s="2">
        <f t="shared" si="5"/>
        <v>0.88235294117647101</v>
      </c>
      <c r="D36" s="5">
        <f t="shared" si="1"/>
        <v>0.77854671280276888</v>
      </c>
    </row>
    <row r="37" spans="1:4">
      <c r="A37" s="2">
        <v>10</v>
      </c>
      <c r="B37" s="3">
        <v>3</v>
      </c>
      <c r="C37" s="2">
        <f t="shared" si="5"/>
        <v>-9.117647058823529</v>
      </c>
      <c r="D37" s="5">
        <f t="shared" si="1"/>
        <v>83.131487889273345</v>
      </c>
    </row>
    <row r="38" spans="1:4">
      <c r="A38" s="2">
        <v>20</v>
      </c>
      <c r="B38" s="3">
        <v>3</v>
      </c>
      <c r="C38" s="2">
        <f t="shared" si="5"/>
        <v>0.88235294117647101</v>
      </c>
      <c r="D38" s="5">
        <f t="shared" si="1"/>
        <v>0.77854671280276888</v>
      </c>
    </row>
    <row r="39" spans="1:4">
      <c r="A39" s="2">
        <v>10</v>
      </c>
      <c r="B39" s="3">
        <v>3</v>
      </c>
      <c r="C39" s="2">
        <f t="shared" si="5"/>
        <v>-9.117647058823529</v>
      </c>
      <c r="D39" s="5">
        <f t="shared" si="1"/>
        <v>83.131487889273345</v>
      </c>
    </row>
    <row r="40" spans="1:4">
      <c r="A40" s="2">
        <v>35</v>
      </c>
      <c r="B40" s="3">
        <v>3</v>
      </c>
      <c r="C40" s="2">
        <f t="shared" si="5"/>
        <v>15.882352941176471</v>
      </c>
      <c r="D40" s="5">
        <f t="shared" si="1"/>
        <v>252.24913494809689</v>
      </c>
    </row>
    <row r="41" spans="1:4">
      <c r="A41" s="2">
        <v>20</v>
      </c>
      <c r="B41" s="3">
        <v>3</v>
      </c>
      <c r="C41" s="2">
        <f t="shared" si="5"/>
        <v>0.88235294117647101</v>
      </c>
      <c r="D41" s="5">
        <f t="shared" si="1"/>
        <v>0.77854671280276888</v>
      </c>
    </row>
    <row r="42" spans="1:4">
      <c r="A42" s="2">
        <v>25</v>
      </c>
      <c r="B42" s="3">
        <v>4</v>
      </c>
      <c r="C42" s="2">
        <f>A42-$J$3</f>
        <v>-4</v>
      </c>
      <c r="D42" s="5">
        <f t="shared" si="1"/>
        <v>16</v>
      </c>
    </row>
    <row r="43" spans="1:4">
      <c r="A43" s="2">
        <v>30</v>
      </c>
      <c r="B43" s="3">
        <v>4</v>
      </c>
      <c r="C43" s="2">
        <f t="shared" ref="C43:C46" si="6">A43-$J$3</f>
        <v>1</v>
      </c>
      <c r="D43" s="5">
        <f t="shared" si="1"/>
        <v>1</v>
      </c>
    </row>
    <row r="44" spans="1:4">
      <c r="A44" s="2">
        <v>40</v>
      </c>
      <c r="B44" s="3">
        <v>4</v>
      </c>
      <c r="C44" s="2">
        <f t="shared" si="6"/>
        <v>11</v>
      </c>
      <c r="D44" s="5">
        <f t="shared" si="1"/>
        <v>121</v>
      </c>
    </row>
    <row r="45" spans="1:4">
      <c r="A45" s="2">
        <v>30</v>
      </c>
      <c r="B45" s="3">
        <v>4</v>
      </c>
      <c r="C45" s="2">
        <f t="shared" si="6"/>
        <v>1</v>
      </c>
      <c r="D45" s="5">
        <f t="shared" si="1"/>
        <v>1</v>
      </c>
    </row>
    <row r="46" spans="1:4">
      <c r="A46" s="2">
        <v>20</v>
      </c>
      <c r="B46" s="3">
        <v>4</v>
      </c>
      <c r="C46" s="2">
        <f t="shared" si="6"/>
        <v>-9</v>
      </c>
      <c r="D46" s="5">
        <f t="shared" si="1"/>
        <v>81</v>
      </c>
    </row>
  </sheetData>
  <sortState ref="A2:B63">
    <sortCondition ref="B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HocVienCaoHoc</vt:lpstr>
      <vt:lpstr>Sheet1</vt:lpstr>
      <vt:lpstr>Sheet2</vt:lpstr>
      <vt:lpstr>Sheet3</vt:lpstr>
      <vt:lpstr>Sheet4</vt:lpstr>
    </vt:vector>
  </TitlesOfParts>
  <Company>IBM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Admin</cp:lastModifiedBy>
  <dcterms:created xsi:type="dcterms:W3CDTF">2011-08-01T14:22:18Z</dcterms:created>
  <dcterms:modified xsi:type="dcterms:W3CDTF">2023-04-25T11:01:23Z</dcterms:modified>
</cp:coreProperties>
</file>