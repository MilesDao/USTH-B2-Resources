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User\documentaries\USTH-sources\B2 resources\statistic\PracticeData_EXCEL\"/>
    </mc:Choice>
  </mc:AlternateContent>
  <xr:revisionPtr revIDLastSave="0" documentId="13_ncr:1_{3ECEC70F-EC9F-414A-BB55-68037C97E575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SuckhoeTreEmV2" sheetId="1" r:id="rId1"/>
    <sheet name="w1Task 2" sheetId="8" r:id="rId2"/>
    <sheet name="w1task 3" sheetId="10" r:id="rId3"/>
    <sheet name="w2task 1" sheetId="2" r:id="rId4"/>
    <sheet name="w2task 2" sheetId="3" r:id="rId5"/>
    <sheet name="w2task4" sheetId="5" r:id="rId6"/>
    <sheet name="w2task5" sheetId="7" r:id="rId7"/>
  </sheets>
  <definedNames>
    <definedName name="_xlnm._FilterDatabase" localSheetId="4" hidden="1">'w2task 2'!$A$1:$A$1081</definedName>
    <definedName name="SE">'w2task 1'!$L$7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7" l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2" i="7"/>
  <c r="C3" i="7"/>
  <c r="C4" i="7"/>
  <c r="C5" i="7"/>
  <c r="C6" i="7"/>
  <c r="C7" i="7"/>
  <c r="L20" i="7" s="1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2" i="7"/>
  <c r="K20" i="7"/>
  <c r="K22" i="7" s="1"/>
  <c r="J20" i="7"/>
  <c r="K9" i="7"/>
  <c r="K10" i="7" s="1"/>
  <c r="K21" i="7" s="1"/>
  <c r="K5" i="7"/>
  <c r="K4" i="7"/>
  <c r="N11" i="10"/>
  <c r="O11" i="10"/>
  <c r="M11" i="10"/>
  <c r="N9" i="10"/>
  <c r="O9" i="10"/>
  <c r="N10" i="10"/>
  <c r="O10" i="10"/>
  <c r="M10" i="10"/>
  <c r="M9" i="10"/>
  <c r="N8" i="10"/>
  <c r="O8" i="10"/>
  <c r="M8" i="10"/>
  <c r="C1081" i="10"/>
  <c r="C1080" i="10"/>
  <c r="C1079" i="10"/>
  <c r="C1078" i="10"/>
  <c r="C1077" i="10"/>
  <c r="C1076" i="10"/>
  <c r="C1075" i="10"/>
  <c r="C1074" i="10"/>
  <c r="C1073" i="10"/>
  <c r="C1072" i="10"/>
  <c r="C1071" i="10"/>
  <c r="C1070" i="10"/>
  <c r="C1069" i="10"/>
  <c r="C1068" i="10"/>
  <c r="C1067" i="10"/>
  <c r="C1066" i="10"/>
  <c r="C1065" i="10"/>
  <c r="C1064" i="10"/>
  <c r="C1063" i="10"/>
  <c r="C1062" i="10"/>
  <c r="C1061" i="10"/>
  <c r="C1060" i="10"/>
  <c r="C1059" i="10"/>
  <c r="C1058" i="10"/>
  <c r="C1057" i="10"/>
  <c r="C1056" i="10"/>
  <c r="C1055" i="10"/>
  <c r="C1054" i="10"/>
  <c r="C1053" i="10"/>
  <c r="C1052" i="10"/>
  <c r="C1051" i="10"/>
  <c r="C1050" i="10"/>
  <c r="C1049" i="10"/>
  <c r="C1048" i="10"/>
  <c r="C1047" i="10"/>
  <c r="C1046" i="10"/>
  <c r="C1045" i="10"/>
  <c r="C1044" i="10"/>
  <c r="C1043" i="10"/>
  <c r="C1042" i="10"/>
  <c r="C1041" i="10"/>
  <c r="C1040" i="10"/>
  <c r="C1039" i="10"/>
  <c r="C1038" i="10"/>
  <c r="C1037" i="10"/>
  <c r="C1036" i="10"/>
  <c r="C1035" i="10"/>
  <c r="C1034" i="10"/>
  <c r="C1033" i="10"/>
  <c r="C1032" i="10"/>
  <c r="C1031" i="10"/>
  <c r="C1030" i="10"/>
  <c r="C1029" i="10"/>
  <c r="C1028" i="10"/>
  <c r="C1027" i="10"/>
  <c r="C1026" i="10"/>
  <c r="C1025" i="10"/>
  <c r="C1024" i="10"/>
  <c r="C1023" i="10"/>
  <c r="C1022" i="10"/>
  <c r="C1021" i="10"/>
  <c r="C1020" i="10"/>
  <c r="C1019" i="10"/>
  <c r="C1018" i="10"/>
  <c r="C1017" i="10"/>
  <c r="C1016" i="10"/>
  <c r="C1015" i="10"/>
  <c r="C1014" i="10"/>
  <c r="C1013" i="10"/>
  <c r="C1012" i="10"/>
  <c r="C1011" i="10"/>
  <c r="C1010" i="10"/>
  <c r="C1009" i="10"/>
  <c r="C1008" i="10"/>
  <c r="C1007" i="10"/>
  <c r="C1006" i="10"/>
  <c r="C1005" i="10"/>
  <c r="C1004" i="10"/>
  <c r="C1003" i="10"/>
  <c r="C1002" i="10"/>
  <c r="C1001" i="10"/>
  <c r="C1000" i="10"/>
  <c r="C999" i="10"/>
  <c r="C998" i="10"/>
  <c r="C997" i="10"/>
  <c r="C996" i="10"/>
  <c r="C995" i="10"/>
  <c r="C994" i="10"/>
  <c r="C993" i="10"/>
  <c r="C992" i="10"/>
  <c r="C991" i="10"/>
  <c r="C990" i="10"/>
  <c r="C989" i="10"/>
  <c r="C988" i="10"/>
  <c r="C987" i="10"/>
  <c r="C986" i="10"/>
  <c r="C985" i="10"/>
  <c r="C984" i="10"/>
  <c r="C983" i="10"/>
  <c r="C982" i="10"/>
  <c r="C981" i="10"/>
  <c r="C980" i="10"/>
  <c r="C979" i="10"/>
  <c r="C978" i="10"/>
  <c r="C977" i="10"/>
  <c r="C976" i="10"/>
  <c r="C975" i="10"/>
  <c r="C974" i="10"/>
  <c r="C973" i="10"/>
  <c r="C972" i="10"/>
  <c r="C971" i="10"/>
  <c r="C970" i="10"/>
  <c r="C969" i="10"/>
  <c r="C968" i="10"/>
  <c r="C967" i="10"/>
  <c r="C966" i="10"/>
  <c r="C965" i="10"/>
  <c r="C964" i="10"/>
  <c r="C963" i="10"/>
  <c r="C962" i="10"/>
  <c r="C961" i="10"/>
  <c r="C960" i="10"/>
  <c r="C959" i="10"/>
  <c r="C958" i="10"/>
  <c r="C957" i="10"/>
  <c r="C956" i="10"/>
  <c r="C955" i="10"/>
  <c r="C954" i="10"/>
  <c r="C953" i="10"/>
  <c r="C952" i="10"/>
  <c r="C951" i="10"/>
  <c r="C950" i="10"/>
  <c r="C949" i="10"/>
  <c r="C948" i="10"/>
  <c r="C947" i="10"/>
  <c r="C946" i="10"/>
  <c r="C945" i="10"/>
  <c r="C944" i="10"/>
  <c r="C943" i="10"/>
  <c r="C942" i="10"/>
  <c r="C941" i="10"/>
  <c r="C940" i="10"/>
  <c r="C939" i="10"/>
  <c r="C938" i="10"/>
  <c r="C937" i="10"/>
  <c r="C936" i="10"/>
  <c r="C935" i="10"/>
  <c r="C934" i="10"/>
  <c r="C933" i="10"/>
  <c r="C932" i="10"/>
  <c r="C931" i="10"/>
  <c r="C930" i="10"/>
  <c r="C929" i="10"/>
  <c r="C928" i="10"/>
  <c r="C927" i="10"/>
  <c r="C926" i="10"/>
  <c r="C925" i="10"/>
  <c r="C924" i="10"/>
  <c r="C923" i="10"/>
  <c r="C922" i="10"/>
  <c r="C921" i="10"/>
  <c r="C920" i="10"/>
  <c r="C919" i="10"/>
  <c r="C918" i="10"/>
  <c r="C917" i="10"/>
  <c r="C916" i="10"/>
  <c r="C915" i="10"/>
  <c r="C914" i="10"/>
  <c r="C913" i="10"/>
  <c r="C912" i="10"/>
  <c r="C911" i="10"/>
  <c r="C910" i="10"/>
  <c r="C909" i="10"/>
  <c r="C908" i="10"/>
  <c r="C907" i="10"/>
  <c r="C906" i="10"/>
  <c r="C905" i="10"/>
  <c r="C904" i="10"/>
  <c r="C903" i="10"/>
  <c r="C902" i="10"/>
  <c r="C901" i="10"/>
  <c r="C900" i="10"/>
  <c r="C899" i="10"/>
  <c r="C898" i="10"/>
  <c r="C897" i="10"/>
  <c r="C896" i="10"/>
  <c r="C895" i="10"/>
  <c r="C894" i="10"/>
  <c r="C893" i="10"/>
  <c r="C892" i="10"/>
  <c r="C891" i="10"/>
  <c r="C890" i="10"/>
  <c r="C889" i="10"/>
  <c r="C888" i="10"/>
  <c r="C887" i="10"/>
  <c r="C886" i="10"/>
  <c r="C885" i="10"/>
  <c r="C884" i="10"/>
  <c r="C883" i="10"/>
  <c r="C882" i="10"/>
  <c r="C881" i="10"/>
  <c r="C880" i="10"/>
  <c r="C879" i="10"/>
  <c r="C878" i="10"/>
  <c r="C877" i="10"/>
  <c r="C876" i="10"/>
  <c r="C875" i="10"/>
  <c r="C874" i="10"/>
  <c r="C873" i="10"/>
  <c r="C872" i="10"/>
  <c r="C871" i="10"/>
  <c r="C870" i="10"/>
  <c r="C869" i="10"/>
  <c r="C868" i="10"/>
  <c r="C867" i="10"/>
  <c r="C866" i="10"/>
  <c r="C865" i="10"/>
  <c r="C864" i="10"/>
  <c r="C863" i="10"/>
  <c r="C862" i="10"/>
  <c r="C861" i="10"/>
  <c r="C860" i="10"/>
  <c r="C859" i="10"/>
  <c r="C858" i="10"/>
  <c r="C857" i="10"/>
  <c r="C856" i="10"/>
  <c r="C855" i="10"/>
  <c r="C854" i="10"/>
  <c r="C853" i="10"/>
  <c r="C852" i="10"/>
  <c r="C851" i="10"/>
  <c r="C850" i="10"/>
  <c r="C849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Q34" i="8"/>
  <c r="Q35" i="8"/>
  <c r="Q33" i="8"/>
  <c r="P34" i="8"/>
  <c r="P35" i="8"/>
  <c r="P33" i="8"/>
  <c r="R26" i="8"/>
  <c r="R27" i="8"/>
  <c r="R25" i="8"/>
  <c r="Q26" i="8"/>
  <c r="Q27" i="8"/>
  <c r="Q25" i="8"/>
  <c r="M39" i="2"/>
  <c r="Q18" i="8"/>
  <c r="Q19" i="8"/>
  <c r="Q17" i="8"/>
  <c r="P18" i="8"/>
  <c r="P19" i="8"/>
  <c r="P17" i="8"/>
  <c r="Q8" i="8"/>
  <c r="Q9" i="8"/>
  <c r="Q7" i="8"/>
  <c r="P10" i="8"/>
  <c r="P8" i="8"/>
  <c r="P9" i="8"/>
  <c r="P7" i="8"/>
  <c r="K34" i="5"/>
  <c r="K35" i="5"/>
  <c r="K33" i="5"/>
  <c r="I15" i="5"/>
  <c r="I16" i="5"/>
  <c r="I14" i="5"/>
  <c r="I17" i="5" s="1"/>
  <c r="H15" i="5"/>
  <c r="J15" i="5" s="1"/>
  <c r="H16" i="5"/>
  <c r="J16" i="5" s="1"/>
  <c r="H14" i="5"/>
  <c r="H17" i="5" s="1"/>
  <c r="J17" i="5" s="1"/>
  <c r="L8" i="5"/>
  <c r="L9" i="5"/>
  <c r="L7" i="5"/>
  <c r="K8" i="5"/>
  <c r="K9" i="5"/>
  <c r="M9" i="5" s="1"/>
  <c r="K7" i="5"/>
  <c r="M7" i="5" s="1"/>
  <c r="H16" i="3" a="1"/>
  <c r="H16" i="3" s="1"/>
  <c r="I14" i="3"/>
  <c r="I13" i="3"/>
  <c r="H14" i="3"/>
  <c r="H13" i="3"/>
  <c r="I9" i="3"/>
  <c r="I8" i="3"/>
  <c r="H9" i="3"/>
  <c r="H8" i="3"/>
  <c r="J9" i="3"/>
  <c r="J8" i="3"/>
  <c r="O38" i="2"/>
  <c r="O39" i="2" s="1"/>
  <c r="P38" i="2"/>
  <c r="P39" i="2" s="1"/>
  <c r="N38" i="2" a="1"/>
  <c r="N38" i="2" s="1"/>
  <c r="N39" i="2" s="1"/>
  <c r="M40" i="2"/>
  <c r="M38" i="2"/>
  <c r="L24" i="2"/>
  <c r="M24" i="2"/>
  <c r="N24" i="2"/>
  <c r="N35" i="2" a="1"/>
  <c r="N35" i="2" s="1"/>
  <c r="O35" i="2"/>
  <c r="P35" i="2"/>
  <c r="M35" i="2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L23" i="2"/>
  <c r="M23" i="2" s="1"/>
  <c r="N23" i="2" s="1"/>
  <c r="C23" i="2"/>
  <c r="L22" i="2"/>
  <c r="M22" i="2" s="1"/>
  <c r="N22" i="2" s="1"/>
  <c r="C22" i="2"/>
  <c r="L21" i="2"/>
  <c r="M21" i="2" s="1"/>
  <c r="N21" i="2" s="1"/>
  <c r="C21" i="2"/>
  <c r="L20" i="2"/>
  <c r="M20" i="2" s="1"/>
  <c r="N20" i="2" s="1"/>
  <c r="C20" i="2"/>
  <c r="C19" i="2"/>
  <c r="C18" i="2"/>
  <c r="C17" i="2"/>
  <c r="C16" i="2"/>
  <c r="C15" i="2"/>
  <c r="C14" i="2"/>
  <c r="M13" i="2"/>
  <c r="C13" i="2"/>
  <c r="C12" i="2"/>
  <c r="C11" i="2"/>
  <c r="C10" i="2"/>
  <c r="C9" i="2"/>
  <c r="C8" i="2"/>
  <c r="C7" i="2"/>
  <c r="C6" i="2"/>
  <c r="C5" i="2"/>
  <c r="C4" i="2"/>
  <c r="C3" i="2"/>
  <c r="C2" i="2"/>
  <c r="H22" i="5" l="1"/>
  <c r="I22" i="5"/>
  <c r="H21" i="5"/>
  <c r="I21" i="5"/>
  <c r="J14" i="5"/>
  <c r="M8" i="5"/>
  <c r="K9" i="3"/>
  <c r="N6" i="3"/>
  <c r="N7" i="3" s="1"/>
  <c r="K8" i="3"/>
  <c r="N8" i="3" s="1"/>
  <c r="N9" i="3" s="1"/>
  <c r="P40" i="2"/>
  <c r="O40" i="2"/>
  <c r="N40" i="2"/>
  <c r="H20" i="5" l="1"/>
  <c r="I24" i="5" s="1"/>
  <c r="I2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<sst xmlns="http://schemas.openxmlformats.org/spreadsheetml/2006/main" count="2363" uniqueCount="1289">
  <si>
    <t>Hoten</t>
  </si>
  <si>
    <t>Tinh</t>
  </si>
  <si>
    <t>conbume</t>
  </si>
  <si>
    <t>ngaysinhtre</t>
  </si>
  <si>
    <t>NgayDT</t>
  </si>
  <si>
    <t>Tuoi</t>
  </si>
  <si>
    <t>gioitinht</t>
  </si>
  <si>
    <t>chobungay</t>
  </si>
  <si>
    <t>busuanon</t>
  </si>
  <si>
    <t>Rau</t>
  </si>
  <si>
    <t>Rausammau</t>
  </si>
  <si>
    <t>hoaqua</t>
  </si>
  <si>
    <t>rausong</t>
  </si>
  <si>
    <t>thit</t>
  </si>
  <si>
    <t>sua</t>
  </si>
  <si>
    <t>dauan</t>
  </si>
  <si>
    <t>daulac</t>
  </si>
  <si>
    <t>chieucao</t>
  </si>
  <si>
    <t>cannang</t>
  </si>
  <si>
    <t>chamssoc</t>
  </si>
  <si>
    <t>uongvitamin</t>
  </si>
  <si>
    <t>tiemBCG</t>
  </si>
  <si>
    <t>ho</t>
  </si>
  <si>
    <t>sot</t>
  </si>
  <si>
    <t>tieuchay</t>
  </si>
  <si>
    <t>contrai</t>
  </si>
  <si>
    <t>filter_$</t>
  </si>
  <si>
    <t>L­êng ThÞ Hµ</t>
  </si>
  <si>
    <t>mÑ</t>
  </si>
  <si>
    <t>S×nh ThÞ V©n Anh</t>
  </si>
  <si>
    <t>NguyÔn ThÞ G¸i</t>
  </si>
  <si>
    <t>NguyÔn L©m Uyªn</t>
  </si>
  <si>
    <t>Hå A Thanh</t>
  </si>
  <si>
    <t>Hê A Dóng</t>
  </si>
  <si>
    <t>mÑ cña trÎ</t>
  </si>
  <si>
    <t>NguyÔn ThÞ Ph­¬ng</t>
  </si>
  <si>
    <t>Tßng ThÞ HuyÒn Trang</t>
  </si>
  <si>
    <t>bµ hoÆc mÑ</t>
  </si>
  <si>
    <t>Hå V¨n Dim</t>
  </si>
  <si>
    <t>Giµng T Tãng</t>
  </si>
  <si>
    <t>mÑ trÎ</t>
  </si>
  <si>
    <t>Phan ThÞ Linh</t>
  </si>
  <si>
    <t>Vµng A S¬m</t>
  </si>
  <si>
    <t>Hå V¨n ThÝnh</t>
  </si>
  <si>
    <t>bµ</t>
  </si>
  <si>
    <t>Giµng ThÞ Mß</t>
  </si>
  <si>
    <t>bè vµ mÑ</t>
  </si>
  <si>
    <t>Hå ThÞ Phi LÝp</t>
  </si>
  <si>
    <t>c« ruét</t>
  </si>
  <si>
    <t>Lß ThÞ Quúnh Trang</t>
  </si>
  <si>
    <t>«ng</t>
  </si>
  <si>
    <t>V­¬ng ThÞ HuyÒn</t>
  </si>
  <si>
    <t>NguyÔn TuÊn Khang</t>
  </si>
  <si>
    <t>L­êng ThÞ G¸i</t>
  </si>
  <si>
    <t>Vi V¨n Sñ</t>
  </si>
  <si>
    <t>Bµn V¨n Huy</t>
  </si>
  <si>
    <t>Hå V¨n Khoa</t>
  </si>
  <si>
    <t>Hê A S×nh</t>
  </si>
  <si>
    <t>Hå V¨n Tu©n</t>
  </si>
  <si>
    <t>anh</t>
  </si>
  <si>
    <t>Giµng T Hoa</t>
  </si>
  <si>
    <t>Hå v¨n Y Ly</t>
  </si>
  <si>
    <t>Hå ThÞ §o</t>
  </si>
  <si>
    <t>chång</t>
  </si>
  <si>
    <t>Cao TiÕn Anh</t>
  </si>
  <si>
    <t>Hå ThÞ Nh­êng</t>
  </si>
  <si>
    <t>chÞ</t>
  </si>
  <si>
    <t>Hå V¨n Ninh</t>
  </si>
  <si>
    <t>Hå ThÞ Ký</t>
  </si>
  <si>
    <t>bµ néi</t>
  </si>
  <si>
    <t>Hå V¨n Söu</t>
  </si>
  <si>
    <t>S×nh ThÞ Dïa</t>
  </si>
  <si>
    <t>Tßng ThÞ V©n</t>
  </si>
  <si>
    <t>Hå ThÞ Sinh</t>
  </si>
  <si>
    <t>Lý A Hïng</t>
  </si>
  <si>
    <t>Hå V¨n DiÖp</t>
  </si>
  <si>
    <t>Hoµng ThÞ Th¶o</t>
  </si>
  <si>
    <t>NguyÔn ThÞ S¬n</t>
  </si>
  <si>
    <t>Hå V¨n Ngäc</t>
  </si>
  <si>
    <t>TriÖu V¨n Thu</t>
  </si>
  <si>
    <t>Hå ThÞ ChiÒu</t>
  </si>
  <si>
    <t>Chí ThÞ D©ng</t>
  </si>
  <si>
    <t>bµ vµ mÑ</t>
  </si>
  <si>
    <t>Vµng ThÞ C«ng</t>
  </si>
  <si>
    <t>Lý V¨n L©m</t>
  </si>
  <si>
    <t>L­êng ThÞ Hång</t>
  </si>
  <si>
    <t>Sïng A Sö</t>
  </si>
  <si>
    <t>Hå V¨n Khuy</t>
  </si>
  <si>
    <t>Hå ThÞ Th¶o</t>
  </si>
  <si>
    <t>Hå V¨n ThÝ</t>
  </si>
  <si>
    <t>L­¬ng §×nh Quü</t>
  </si>
  <si>
    <t>Hoµng Hång LuyÕn</t>
  </si>
  <si>
    <t>mÑ ch¸u</t>
  </si>
  <si>
    <t>Giµng A ChiÕn</t>
  </si>
  <si>
    <t>Hå ThÞ Duyªn</t>
  </si>
  <si>
    <t>mÑ.</t>
  </si>
  <si>
    <t>Thµo A Bi</t>
  </si>
  <si>
    <t>Hå ThÞ Sai</t>
  </si>
  <si>
    <t>Giµng ThÞ Dî</t>
  </si>
  <si>
    <t>Sïng A Giãng</t>
  </si>
  <si>
    <t>Hå V¨n Phó</t>
  </si>
  <si>
    <t>Hå ThÞ Ninh</t>
  </si>
  <si>
    <t>Hoµng ThÞ Trèng</t>
  </si>
  <si>
    <t>Hå ThÞ Nhan</t>
  </si>
  <si>
    <t>Hå ThÞ Thuû</t>
  </si>
  <si>
    <t>bè</t>
  </si>
  <si>
    <t>Ph¹m Tè Uyªn</t>
  </si>
  <si>
    <t>Hå Zª Ra My</t>
  </si>
  <si>
    <t>Hå ThÞ DÕ</t>
  </si>
  <si>
    <t>Lß V¨n Quang</t>
  </si>
  <si>
    <t>Hoµng ThÞ Thanh Thuû</t>
  </si>
  <si>
    <t>Hoµng ThÞ Hoa</t>
  </si>
  <si>
    <t>Hå ThÞ Sen</t>
  </si>
  <si>
    <t>Khoµng T Quª</t>
  </si>
  <si>
    <t>Chí A Mß</t>
  </si>
  <si>
    <t>Hå ThÞ ThÕ</t>
  </si>
  <si>
    <t>Khoµng Mai H¹nh</t>
  </si>
  <si>
    <t>mÑ cña ch¸u</t>
  </si>
  <si>
    <t>Hå ThÞ NghØ</t>
  </si>
  <si>
    <t>Hå V¨n Nguyªn</t>
  </si>
  <si>
    <t>Bµ</t>
  </si>
  <si>
    <t>Giµng T TØnh</t>
  </si>
  <si>
    <t>TriÖu ThÞ S¨n</t>
  </si>
  <si>
    <t>bµ, mÑ</t>
  </si>
  <si>
    <t>Hå ThÞ TuyÕt</t>
  </si>
  <si>
    <t>Giµng A Chø</t>
  </si>
  <si>
    <t>bè cña trÎ</t>
  </si>
  <si>
    <t>Hå A De</t>
  </si>
  <si>
    <t>Hå V¨n M¹nh</t>
  </si>
  <si>
    <t>Hê A Chøc</t>
  </si>
  <si>
    <t>Hå ThÞ Hoa</t>
  </si>
  <si>
    <t>Hå V¨n Thµnh</t>
  </si>
  <si>
    <t>Hå ThÞ Chin</t>
  </si>
  <si>
    <t>Hå ThÞ DiÖu</t>
  </si>
  <si>
    <t>Hå V¨n Ho¹t</t>
  </si>
  <si>
    <t>S×nh ThÞ Thanh Phua</t>
  </si>
  <si>
    <t>Lª ThÞ Trang</t>
  </si>
  <si>
    <t>Hå V¨n Kú</t>
  </si>
  <si>
    <t>Hå ThÞ La Via</t>
  </si>
  <si>
    <t>Hå ThÞ Thuý</t>
  </si>
  <si>
    <t>Sïng T X×</t>
  </si>
  <si>
    <t>Chu Ph­¬ng huy</t>
  </si>
  <si>
    <t>Giµng ThÞ Chua</t>
  </si>
  <si>
    <t>Hå V¨n ThÞnh</t>
  </si>
  <si>
    <t>Giµng ThÞ Ph­¬ng</t>
  </si>
  <si>
    <t>Hoµng §øc H¹nh</t>
  </si>
  <si>
    <t>Hê A Sµng</t>
  </si>
  <si>
    <t>Hå V¨n Xon</t>
  </si>
  <si>
    <t>Khoµng V¨n Nh­êng</t>
  </si>
  <si>
    <t>Hå ThÞ Hång</t>
  </si>
  <si>
    <t>Hå V¨n Phung</t>
  </si>
  <si>
    <t>Hoµng ThÞ Phó</t>
  </si>
  <si>
    <t>Hå V¨n Loan</t>
  </si>
  <si>
    <t>Hå ThÞ Loan</t>
  </si>
  <si>
    <t>Sïng A Chø</t>
  </si>
  <si>
    <t>S×n V¨n NghiÖp</t>
  </si>
  <si>
    <t>Hå V¨n Giuúnh</t>
  </si>
  <si>
    <t>Hå V¨n Huy</t>
  </si>
  <si>
    <t>B¹c CÇm HiÖp</t>
  </si>
  <si>
    <t>S×n V¨n Hiªn</t>
  </si>
  <si>
    <t>Hå V¨n Ch¨n</t>
  </si>
  <si>
    <t>Hoµng TriÖu Thi</t>
  </si>
  <si>
    <t>Hå ThÞ ThÝ</t>
  </si>
  <si>
    <t>Khoµng ThÞ KiÖu</t>
  </si>
  <si>
    <t>Giµng T Thu</t>
  </si>
  <si>
    <t>Hå §¹i D­¬ng</t>
  </si>
  <si>
    <t>Giµng ThÞ TÝ Nhi</t>
  </si>
  <si>
    <t>Hê T Dî</t>
  </si>
  <si>
    <t>Kh¸ng A Th­¬ng</t>
  </si>
  <si>
    <t>Hå ThÞ M¬</t>
  </si>
  <si>
    <t>Hå ThÞ Nhá</t>
  </si>
  <si>
    <t>Giµng ThÞ §×a</t>
  </si>
  <si>
    <t>vî</t>
  </si>
  <si>
    <t>Hå ThÞ Him</t>
  </si>
  <si>
    <t>M«ng V¨n Thuý</t>
  </si>
  <si>
    <t>Hê ThÞ Sinh</t>
  </si>
  <si>
    <t>hoµng V¨n §¹t</t>
  </si>
  <si>
    <t>Hå V¨n Kh¸nh</t>
  </si>
  <si>
    <t>Thµo ThÞ I</t>
  </si>
  <si>
    <t>H¹ng A Phãng</t>
  </si>
  <si>
    <t>Hå ThÞ Th¸i</t>
  </si>
  <si>
    <t>Hå ThÞ Tó</t>
  </si>
  <si>
    <t>L­¬ng ViÖt Hoµng</t>
  </si>
  <si>
    <t>TrÇn ThÞ Hång</t>
  </si>
  <si>
    <t>Giµng A L×</t>
  </si>
  <si>
    <t>Hoµng V¨n B¶y</t>
  </si>
  <si>
    <t>bè ch¸u</t>
  </si>
  <si>
    <t>Hå Sa M« £n</t>
  </si>
  <si>
    <t>mÖ</t>
  </si>
  <si>
    <t>Mïa A §Ýnh</t>
  </si>
  <si>
    <t>H¹ng T §èng</t>
  </si>
  <si>
    <t>Bµn ThÞ Duyªn</t>
  </si>
  <si>
    <t>Lß ThÞ Linh</t>
  </si>
  <si>
    <t>«ng vµ c«</t>
  </si>
  <si>
    <t>H«g ThÞ HuÖ</t>
  </si>
  <si>
    <t>Hµ §×nh Tiªn</t>
  </si>
  <si>
    <t>Hå V¨n Cun</t>
  </si>
  <si>
    <t>Hå ThÞ L­u</t>
  </si>
  <si>
    <t>Lß ThÞ Quúnh Nga</t>
  </si>
  <si>
    <t>mÑ vµ bµ</t>
  </si>
  <si>
    <t>Hå ThÞ TËp</t>
  </si>
  <si>
    <t>Mai V¨n ThÞnh</t>
  </si>
  <si>
    <t>Hå V¨n Qu©n</t>
  </si>
  <si>
    <t>chÞ hä</t>
  </si>
  <si>
    <t>Hå A Khoa</t>
  </si>
  <si>
    <t>c« cña ch¸u</t>
  </si>
  <si>
    <t>Hå V¨n Lôc</t>
  </si>
  <si>
    <t>NguyÔn Kh¸nh Duy</t>
  </si>
  <si>
    <t>L­¬ng ThÞ Nhan</t>
  </si>
  <si>
    <t>Giµng ThÞ Khu</t>
  </si>
  <si>
    <t>mÑ vµ d×</t>
  </si>
  <si>
    <t>Giµng ThÞ Chay</t>
  </si>
  <si>
    <t>Hå A Binh</t>
  </si>
  <si>
    <t>con g¸i ®Çu</t>
  </si>
  <si>
    <t>Chí ThÞ Ph­¬ng</t>
  </si>
  <si>
    <t>Tr­¬ng ThÞ Dung</t>
  </si>
  <si>
    <t>TriÖu ThÞ LuyÕn</t>
  </si>
  <si>
    <t>Hå V¨n TuyÕt</t>
  </si>
  <si>
    <t>TriÖu ThÞ D¹u</t>
  </si>
  <si>
    <t>bµ, bè</t>
  </si>
  <si>
    <t>Mïa A Lµng</t>
  </si>
  <si>
    <t>L­¬ng V¨n Quang</t>
  </si>
  <si>
    <t>Hå V¨n TiÕn</t>
  </si>
  <si>
    <t>Hå A Sinh</t>
  </si>
  <si>
    <t>NguyÔn V¨n ¸nh</t>
  </si>
  <si>
    <t>Hå ThÞ Th×n</t>
  </si>
  <si>
    <t>Mïa A Khoa</t>
  </si>
  <si>
    <t>Hå ThÞ T¨m</t>
  </si>
  <si>
    <t>Hå V¨n Vinh</t>
  </si>
  <si>
    <t>§Æng V¨n Toµn</t>
  </si>
  <si>
    <t>Khoµng V¨n Hoan</t>
  </si>
  <si>
    <t>Giµng A Cuèc</t>
  </si>
  <si>
    <t>anh chÞ</t>
  </si>
  <si>
    <t>Giµng A Ch«ng</t>
  </si>
  <si>
    <t>Hå A Ch×</t>
  </si>
  <si>
    <t>Hoµng ThÞ Giang</t>
  </si>
  <si>
    <t>Lý A Ch­</t>
  </si>
  <si>
    <t>Lý A Linh</t>
  </si>
  <si>
    <t>§Æng V¨n §­êng</t>
  </si>
  <si>
    <t>Hå V¨n Kho¸</t>
  </si>
  <si>
    <t>Hå ThÞ Viªn</t>
  </si>
  <si>
    <t>QuyÒn ThÞ H»ng</t>
  </si>
  <si>
    <t>Hå V¨n Huúnh</t>
  </si>
  <si>
    <t>Hå V¨n Kh¶i</t>
  </si>
  <si>
    <t>Hå ThÞ N÷</t>
  </si>
  <si>
    <t>Chí ThÞ Dë</t>
  </si>
  <si>
    <t>mÑ, anh, chÞ</t>
  </si>
  <si>
    <t>Giµng T XÝ</t>
  </si>
  <si>
    <t>Hê A MÖnh</t>
  </si>
  <si>
    <t>Hå ThÞ H×nh</t>
  </si>
  <si>
    <t>Tr­¬ng V¨n Hoµng</t>
  </si>
  <si>
    <t>anh trai</t>
  </si>
  <si>
    <t>V­¬ng V¨n Ngäc</t>
  </si>
  <si>
    <t>Hå V¨n Nghinh</t>
  </si>
  <si>
    <t>L­¬ng Qu©n B¶o</t>
  </si>
  <si>
    <t>Hå ThÞ Y La</t>
  </si>
  <si>
    <t>Hoµng ThÞ Quúnh</t>
  </si>
  <si>
    <t>Giµng ThÞ C¸ng</t>
  </si>
  <si>
    <t>Hê ThÞ Mo</t>
  </si>
  <si>
    <t>Hå ThÞ Thi</t>
  </si>
  <si>
    <t>Giµng ThÞ Sinh</t>
  </si>
  <si>
    <t>Lý V¨n Lu©n</t>
  </si>
  <si>
    <t>«ng, chÞ</t>
  </si>
  <si>
    <t>Vµng A Hång</t>
  </si>
  <si>
    <t>Hang A  Trung</t>
  </si>
  <si>
    <t>L­¬ng V¨n Göi</t>
  </si>
  <si>
    <t>Hê T C¸y</t>
  </si>
  <si>
    <t>Lß §øc HiÕu</t>
  </si>
  <si>
    <t>Hå Thj Th­íc</t>
  </si>
  <si>
    <t>Hå ThÞ Toan</t>
  </si>
  <si>
    <t>NguyÔn ThÞ ThÆt</t>
  </si>
  <si>
    <t>Hå V¨n Hïng</t>
  </si>
  <si>
    <t>Lß V¨n hiÖp</t>
  </si>
  <si>
    <t>Hê ThÞ Lang</t>
  </si>
  <si>
    <t>Ma ThÞ DiÔm</t>
  </si>
  <si>
    <t>«ng, c«</t>
  </si>
  <si>
    <t>Hoµng ThÞ Thuû</t>
  </si>
  <si>
    <t>Phïng V¨n Trai</t>
  </si>
  <si>
    <t>Hå ThÞ LiÖu</t>
  </si>
  <si>
    <t>Hå ThÞ Ph×n</t>
  </si>
  <si>
    <t>Sïng A Tã</t>
  </si>
  <si>
    <t>Lª ThÞ Dung</t>
  </si>
  <si>
    <t>H¹ng ThÞ Dë</t>
  </si>
  <si>
    <t>bµ ngo¹i</t>
  </si>
  <si>
    <t>Hå ThÞ PhÝch</t>
  </si>
  <si>
    <t>Hå V¨n Piªng</t>
  </si>
  <si>
    <t>Hoµng V¨n Kh¸nh</t>
  </si>
  <si>
    <t>Lý A T¸m</t>
  </si>
  <si>
    <t>Hoµng Mai Lùu</t>
  </si>
  <si>
    <t>§Æng V¨n §oµn</t>
  </si>
  <si>
    <t>Ph¹m ThÞ Th¾m</t>
  </si>
  <si>
    <t>Hå V¨n Mót</t>
  </si>
  <si>
    <t>Hå ThÞ ThÊu</t>
  </si>
  <si>
    <t>M«ng V¨n ThiÖn</t>
  </si>
  <si>
    <t>Hå V¨n LiÕp</t>
  </si>
  <si>
    <t>Hå ThÞ Tuyªn</t>
  </si>
  <si>
    <t>Khoµng V¨n QuyÕn</t>
  </si>
  <si>
    <t>H¹ng T Mai</t>
  </si>
  <si>
    <t>§ç ThÞ Ph­¬ng</t>
  </si>
  <si>
    <t>Hå V¨n Tµi</t>
  </si>
  <si>
    <t>chÞ g¸i</t>
  </si>
  <si>
    <t>Sïng T Xa</t>
  </si>
  <si>
    <t>Hå ThÞ KhuyÕt</t>
  </si>
  <si>
    <t>Hå ThÞ Lan</t>
  </si>
  <si>
    <t>mÑ, bµ néi</t>
  </si>
  <si>
    <t>Hå V¨n Xam</t>
  </si>
  <si>
    <t>Hå ThÞ Liªu</t>
  </si>
  <si>
    <t>Chí A T­êng</t>
  </si>
  <si>
    <t>Giang A Minh</t>
  </si>
  <si>
    <t>Giang T Say</t>
  </si>
  <si>
    <t>Vµng A ChÎ</t>
  </si>
  <si>
    <t>Lý A Cña</t>
  </si>
  <si>
    <t>mÑ vµ bè</t>
  </si>
  <si>
    <t>H¹ng A Phßng</t>
  </si>
  <si>
    <t>Sïng T S¸i</t>
  </si>
  <si>
    <t>TriÖu V¨n Hïng</t>
  </si>
  <si>
    <t>bµ néi vµ bµ mÑ</t>
  </si>
  <si>
    <t>Hoµng V¨n Lai</t>
  </si>
  <si>
    <t>M«ng ThÞ Hoµi</t>
  </si>
  <si>
    <t>Bµn ThÞ Hoan</t>
  </si>
  <si>
    <t>Hå V¨n TuyÒn</t>
  </si>
  <si>
    <t>Ly A Võ</t>
  </si>
  <si>
    <t>Giµng A KiÖt</t>
  </si>
  <si>
    <t>Hoµng V¨n KÕ</t>
  </si>
  <si>
    <t>NguyÔn TiÕn ChiÕn</t>
  </si>
  <si>
    <t>N«ng ThÞ NguyÖt</t>
  </si>
  <si>
    <t>Hå ThÞ Na</t>
  </si>
  <si>
    <t>Hå ThÞ Bôi</t>
  </si>
  <si>
    <t>b¸c</t>
  </si>
  <si>
    <t>Giµng ThÞ Só</t>
  </si>
  <si>
    <t>Sïng A C¶ng</t>
  </si>
  <si>
    <t>§ç Quúnh Th¬</t>
  </si>
  <si>
    <t>Lß ThÞ ViÖn</t>
  </si>
  <si>
    <t>Ch­¬ng V¨n ChÝ</t>
  </si>
  <si>
    <t>Giµng A Li</t>
  </si>
  <si>
    <t>Hå ThÞ NguyÖt</t>
  </si>
  <si>
    <t>bè mÑ</t>
  </si>
  <si>
    <t>Hå V¨n Mong</t>
  </si>
  <si>
    <t>Chí ThÞ Sanh</t>
  </si>
  <si>
    <t>Giµng A Kh¸nh</t>
  </si>
  <si>
    <t>Chí ThÞ Sinh</t>
  </si>
  <si>
    <t>Hå ThÞ Nhµn</t>
  </si>
  <si>
    <t>Hoµng ThÞ Son</t>
  </si>
  <si>
    <t>Giµng ThÞ Mai Ph­¬ng</t>
  </si>
  <si>
    <t>Chí A Th­îc</t>
  </si>
  <si>
    <t>Hå T Lý</t>
  </si>
  <si>
    <t>TrÇn §øcTÝnh</t>
  </si>
  <si>
    <t>Sïng A C­êng</t>
  </si>
  <si>
    <t>Mïa A Gièng</t>
  </si>
  <si>
    <t>Hå ThÞ Mang</t>
  </si>
  <si>
    <t>chÞ g¸i bÐ</t>
  </si>
  <si>
    <t>Bïi ThÞ Thanh Nhµn</t>
  </si>
  <si>
    <t>Sïng ThÞ Dua</t>
  </si>
  <si>
    <t>Hå V¨n Th­a</t>
  </si>
  <si>
    <t>Mµo ThÞ ViÖt</t>
  </si>
  <si>
    <t>Hå Quang T©m</t>
  </si>
  <si>
    <t>Vµng A Sanh</t>
  </si>
  <si>
    <t>Hå ThÞ §Ñp</t>
  </si>
  <si>
    <t>SÇm ThÞ BÝch Nghiªn</t>
  </si>
  <si>
    <t>Hå ThÞ Kiªm</t>
  </si>
  <si>
    <t>Hå V¨n Ch©u</t>
  </si>
  <si>
    <t>Hoµng V¨n M¹nh</t>
  </si>
  <si>
    <t>Lý A CÇu</t>
  </si>
  <si>
    <t>Lý A Tïng</t>
  </si>
  <si>
    <t>Hå ThÞ Khíp</t>
  </si>
  <si>
    <t>Hå ThÞ Pµng</t>
  </si>
  <si>
    <t>NguyÔn V¨n Nam</t>
  </si>
  <si>
    <t>Sïng ThÞ Pµng</t>
  </si>
  <si>
    <t>Chí A Sµng</t>
  </si>
  <si>
    <t>Hå V¨n DiÖu</t>
  </si>
  <si>
    <t>Hå Thiªn B¶o</t>
  </si>
  <si>
    <t>Hoµng ThÞ Xen</t>
  </si>
  <si>
    <t>bè, mÑ</t>
  </si>
  <si>
    <t>Hå V¨n Bu«n</t>
  </si>
  <si>
    <t>Hå A Th­</t>
  </si>
  <si>
    <t>Hå V¨n Dinh</t>
  </si>
  <si>
    <t>Hê ThÞ DÞ</t>
  </si>
  <si>
    <t>b¸c ruét</t>
  </si>
  <si>
    <t>Hå V¨n Quúnh</t>
  </si>
  <si>
    <t>Hå V¨n Sïng</t>
  </si>
  <si>
    <t>Lú A D×nh</t>
  </si>
  <si>
    <t>chó ch¨m sãc trÎ</t>
  </si>
  <si>
    <t>Vµng A Chung</t>
  </si>
  <si>
    <t>Chí ThÞ Lú</t>
  </si>
  <si>
    <t>NguyÔn TiÕn Léc</t>
  </si>
  <si>
    <t>Chí ThÞ §í</t>
  </si>
  <si>
    <t>mÑ, c« ruét</t>
  </si>
  <si>
    <t>NguyÔn Th¶o My</t>
  </si>
  <si>
    <t>Vµng ThÞ Dung</t>
  </si>
  <si>
    <t>TriÖu ThÞ Mong</t>
  </si>
  <si>
    <t>NguyÔn V¨n §¹i</t>
  </si>
  <si>
    <t>H¹ng ThÞ Hoa</t>
  </si>
  <si>
    <t>Hå V¨n DuyÖt</t>
  </si>
  <si>
    <t>Hå A Cam</t>
  </si>
  <si>
    <t>Hå ThÞ Thoµ</t>
  </si>
  <si>
    <t>Hå V¨n Tiªng</t>
  </si>
  <si>
    <t>Tr­¬ng V¨n Lai</t>
  </si>
  <si>
    <t>Chõ A Vi</t>
  </si>
  <si>
    <t>«ng bµ</t>
  </si>
  <si>
    <t>Mai V¨n §oµi</t>
  </si>
  <si>
    <t>Hå ThÞ NhÞu</t>
  </si>
  <si>
    <t>d× ruét</t>
  </si>
  <si>
    <t>Sïng A Ong</t>
  </si>
  <si>
    <t>Hå ThÞ HuyÒn</t>
  </si>
  <si>
    <t>NguyÔn Hoµng Tïng</t>
  </si>
  <si>
    <t>Hoµng Mü LÖ</t>
  </si>
  <si>
    <t>TrÇn V¨n H­ng</t>
  </si>
  <si>
    <t>NguyÔn §øc C­êng</t>
  </si>
  <si>
    <t>TriÖu ThÞ T©m</t>
  </si>
  <si>
    <t>Bïi ChÝ T­êng</t>
  </si>
  <si>
    <t>Hoµng Thuú D­¬ng</t>
  </si>
  <si>
    <t>«ng, bµ</t>
  </si>
  <si>
    <t>Hå A Th«ng</t>
  </si>
  <si>
    <t>Chí ThÞ La</t>
  </si>
  <si>
    <t>M«ng ThÞ Thoa</t>
  </si>
  <si>
    <t>Hoµng V¨n B»ng</t>
  </si>
  <si>
    <t>Hå V¨n T¸o</t>
  </si>
  <si>
    <t>Léc ThÞ H¶i YÕn</t>
  </si>
  <si>
    <t>Hå V¨n §iÖp</t>
  </si>
  <si>
    <t>Lß V¨n M¹nh</t>
  </si>
  <si>
    <t>Giµng T Xua</t>
  </si>
  <si>
    <t>Chí A Phñ</t>
  </si>
  <si>
    <t>Vµng A Minh</t>
  </si>
  <si>
    <t>Mïa A Lay</t>
  </si>
  <si>
    <t>TriÖu V¨n TiÕp</t>
  </si>
  <si>
    <t>Tr­¬ng ThÞ Van</t>
  </si>
  <si>
    <t>cô</t>
  </si>
  <si>
    <t>Tr­¬ng ThÞ Thu</t>
  </si>
  <si>
    <t>L­¬ng ThÞ Bãng</t>
  </si>
  <si>
    <t>Kh¸ng A Ph­¬ng</t>
  </si>
  <si>
    <t>Hå V¨n Thu</t>
  </si>
  <si>
    <t>Khoµng V¨n Tu©n</t>
  </si>
  <si>
    <t>Sïng A Sinh</t>
  </si>
  <si>
    <t>chÞ ch¨m sãc trÎ</t>
  </si>
  <si>
    <t>Thµo A Sinh</t>
  </si>
  <si>
    <t>mÑ, chÞ</t>
  </si>
  <si>
    <t>Hå ThÞ NÐn</t>
  </si>
  <si>
    <t>Lý Ngäc Hoµng</t>
  </si>
  <si>
    <t>Hå ThÞ Kiªn</t>
  </si>
  <si>
    <t>Hå V¨n Na</t>
  </si>
  <si>
    <t>NguyÔn Träng Tuyªn</t>
  </si>
  <si>
    <t>Lß ThÞ Uyªn</t>
  </si>
  <si>
    <t>«ng vµ bµ</t>
  </si>
  <si>
    <t>Sïng A §×a</t>
  </si>
  <si>
    <t>NguyÔn Hoµng Long</t>
  </si>
  <si>
    <t>Sïng T Xi</t>
  </si>
  <si>
    <t>chó</t>
  </si>
  <si>
    <t>Hå A Vµng</t>
  </si>
  <si>
    <t>Ph¹m V¨n Huy</t>
  </si>
  <si>
    <t>«ng bµ néi</t>
  </si>
  <si>
    <t>Hå ThÞ TrÇn</t>
  </si>
  <si>
    <t>Hoµng V¨n Oanh</t>
  </si>
  <si>
    <t>Giµng A C¸</t>
  </si>
  <si>
    <t>Lß ThÞ Th¶o</t>
  </si>
  <si>
    <t>Lý Hång §íi</t>
  </si>
  <si>
    <t>Giµng A Phõ</t>
  </si>
  <si>
    <t>Hå ThÞ Nhung</t>
  </si>
  <si>
    <t>Sïng ThÞ KÝa</t>
  </si>
  <si>
    <t>Hå V¨n NhØ</t>
  </si>
  <si>
    <t>NguyÔn V¨n §¹t</t>
  </si>
  <si>
    <t>NguyÔn ThÞ Hoµi Anh</t>
  </si>
  <si>
    <t>Hå ThÞ V·i</t>
  </si>
  <si>
    <t>Khoµng ThÞ HiÖu</t>
  </si>
  <si>
    <t>Sïng A Poa</t>
  </si>
  <si>
    <t>H¹ng A Dua</t>
  </si>
  <si>
    <t>NguyÔn ThÞ Anh Ngäc</t>
  </si>
  <si>
    <t>Tr­¬ng V¨n Ly</t>
  </si>
  <si>
    <t>Hå V¨n N«ng</t>
  </si>
  <si>
    <t>Hå V¨n Th¸i</t>
  </si>
  <si>
    <t>TriÖu V¨n Tróc</t>
  </si>
  <si>
    <t>§Æng ThÞ Th©n</t>
  </si>
  <si>
    <t>Giµng A Thi</t>
  </si>
  <si>
    <t>Hå A T×nh</t>
  </si>
  <si>
    <t>Chí ThÞ Cë</t>
  </si>
  <si>
    <t>Mai Quang Ph­¬ng</t>
  </si>
  <si>
    <t>Giµng ThÞ Tinh</t>
  </si>
  <si>
    <t>Hå V¨n C¸ch</t>
  </si>
  <si>
    <t>Tßng V¨n NghÜa</t>
  </si>
  <si>
    <t>Giµng ThÞ Ngäc</t>
  </si>
  <si>
    <t>Hê A Mo</t>
  </si>
  <si>
    <t>Giµng A Tó</t>
  </si>
  <si>
    <t>Giµng ThÞ BÇu</t>
  </si>
  <si>
    <t>Hå V¨n Lam</t>
  </si>
  <si>
    <t>Lý A Hå</t>
  </si>
  <si>
    <t>Hê A Cñng</t>
  </si>
  <si>
    <t>Hå ThÞ Thon</t>
  </si>
  <si>
    <t>Hå V¨n Xy</t>
  </si>
  <si>
    <t>Hå ThÞ Uy</t>
  </si>
  <si>
    <t>S×n ThÞ Lan</t>
  </si>
  <si>
    <t>Hå V¨n Xi M©n</t>
  </si>
  <si>
    <t>Lý V¨n ChiÕn</t>
  </si>
  <si>
    <t>H¹ng A Th­</t>
  </si>
  <si>
    <t>Hê ThÞ Dî</t>
  </si>
  <si>
    <t>Hoµng §øc Kiªn</t>
  </si>
  <si>
    <t>bµ néi , mÑ</t>
  </si>
  <si>
    <t>Hê A H¶i</t>
  </si>
  <si>
    <t>L¨ng V¨n Ninh</t>
  </si>
  <si>
    <t>Ph¹m V¨n Hïng</t>
  </si>
  <si>
    <t>TrÇn V¨n Th­îng</t>
  </si>
  <si>
    <t>Hå ThÞ T«</t>
  </si>
  <si>
    <t>Lý ThÞ Cóc</t>
  </si>
  <si>
    <t>§Æng Quèc Anh</t>
  </si>
  <si>
    <t>Tßng ThÞ Dung</t>
  </si>
  <si>
    <t>Hå A M¹nh</t>
  </si>
  <si>
    <t>NguyÔn ThÞ KiÒu</t>
  </si>
  <si>
    <t>Hå V¨n Tó</t>
  </si>
  <si>
    <t>Mïa A Linh</t>
  </si>
  <si>
    <t>nÑ</t>
  </si>
  <si>
    <t>Hå V¨n Chinh</t>
  </si>
  <si>
    <t>mÑ chång</t>
  </si>
  <si>
    <t>Sïng A Tr­êng</t>
  </si>
  <si>
    <t>Hê T XÕ</t>
  </si>
  <si>
    <t>Hå ThÞ BÐ Na</t>
  </si>
  <si>
    <t>Hoµng DiÖu Thuý</t>
  </si>
  <si>
    <t>NguyÔn V¨n Ph­¬ng</t>
  </si>
  <si>
    <t>mÑ ®Î</t>
  </si>
  <si>
    <t>Hå V¨n Huynh</t>
  </si>
  <si>
    <t>Hå ThÞ Th­¬ng</t>
  </si>
  <si>
    <t>Hå V¨n Phông</t>
  </si>
  <si>
    <t>§Æng V¨n ¦íc</t>
  </si>
  <si>
    <t>L­êng V¨n H­ng</t>
  </si>
  <si>
    <t>§Æng Cao Th¾ng</t>
  </si>
  <si>
    <t>Hå ThÞ Phóc Lai</t>
  </si>
  <si>
    <t>mÖ &lt;gi·&gt;</t>
  </si>
  <si>
    <t>Hå V¨n Hoan</t>
  </si>
  <si>
    <t>NguyÔn ThÞ HËu</t>
  </si>
  <si>
    <t>Lý ThÞ De</t>
  </si>
  <si>
    <t>Hê A Tïng</t>
  </si>
  <si>
    <t>Giµng T Dí</t>
  </si>
  <si>
    <t>Hê T M¸y</t>
  </si>
  <si>
    <t>Vò V¨n Ga</t>
  </si>
  <si>
    <t>chó ruét</t>
  </si>
  <si>
    <t>§Æng V¨n ChiÕn</t>
  </si>
  <si>
    <t>Lý A Cë</t>
  </si>
  <si>
    <t>Sïng T T¸</t>
  </si>
  <si>
    <t>Lý V¨n Kiªn</t>
  </si>
  <si>
    <t>NguyÔn ThÕ Anh</t>
  </si>
  <si>
    <t>Lý V¨n C­êng</t>
  </si>
  <si>
    <t>Lß ThÞ LuyÕn</t>
  </si>
  <si>
    <t>bµ, «ng</t>
  </si>
  <si>
    <t>Hå ThÞ Huy</t>
  </si>
  <si>
    <t>Hå ThÞ Cóc</t>
  </si>
  <si>
    <t>Chí ThÞ Lanh</t>
  </si>
  <si>
    <t>Giµng T Mû</t>
  </si>
  <si>
    <t>Hoµng ThÞ Ng©n</t>
  </si>
  <si>
    <t>Hå V¨n Th¨ng</t>
  </si>
  <si>
    <t>Lý ThÞ Pµng</t>
  </si>
  <si>
    <t>Lý ThÞ Thu</t>
  </si>
  <si>
    <t>Tr­¬ng ThÞ ThÞnh</t>
  </si>
  <si>
    <t>Hå ThÞ V©n</t>
  </si>
  <si>
    <t>Lß V¨n §¹t</t>
  </si>
  <si>
    <t>Hå V¨n Ng­îc</t>
  </si>
  <si>
    <t>ba</t>
  </si>
  <si>
    <t>Hê A Ph­¬ng</t>
  </si>
  <si>
    <t>Hå ThÞ Pa Son</t>
  </si>
  <si>
    <t>Hå ThÞ Th¶o Trang</t>
  </si>
  <si>
    <t>NguyÔn ThÞ Chang</t>
  </si>
  <si>
    <t>Hoµng V¨n T­êng</t>
  </si>
  <si>
    <t>Hoµng Ngäc ¸nh</t>
  </si>
  <si>
    <t>Hå ThÞ S¾c</t>
  </si>
  <si>
    <t>NguyÔn H¶i YÕn</t>
  </si>
  <si>
    <t>PhÝ V¨n Dòng</t>
  </si>
  <si>
    <t>Lß ThÞ Mai</t>
  </si>
  <si>
    <t>Giµng ThÞ ChÝnh</t>
  </si>
  <si>
    <t>Giµng ThÞ Hê</t>
  </si>
  <si>
    <t>Lý V¨n ¦íc</t>
  </si>
  <si>
    <t>Hå ThÞ Giµng</t>
  </si>
  <si>
    <t>Hå V¨n Xoai</t>
  </si>
  <si>
    <t>Giµng ThÞ Kh¸nh</t>
  </si>
  <si>
    <t>L­êng ThÞ Hoµi</t>
  </si>
  <si>
    <t>bµ ngo¹i vµ mÑ</t>
  </si>
  <si>
    <t>Hå V¨n Lîi</t>
  </si>
  <si>
    <t>Vµng T Dî</t>
  </si>
  <si>
    <t>Ma ThÞ Uyªn</t>
  </si>
  <si>
    <t>Hå A Trung</t>
  </si>
  <si>
    <t>Giµng A GÊu</t>
  </si>
  <si>
    <t>Giµng T Pµ</t>
  </si>
  <si>
    <t>Hoµng ThÞ Xoµi</t>
  </si>
  <si>
    <t>Hoµng V¨n Huy</t>
  </si>
  <si>
    <t>Khoµng V¨n Biªn</t>
  </si>
  <si>
    <t>N«ng ThÞ Mü</t>
  </si>
  <si>
    <t>Hoµng V¨n §­îc</t>
  </si>
  <si>
    <t>mÑ, bµ</t>
  </si>
  <si>
    <t>Ch­¬ng H¶i Anh</t>
  </si>
  <si>
    <t>Hå ThÞ Song</t>
  </si>
  <si>
    <t>Hå V¨n §øc</t>
  </si>
  <si>
    <t>Hoµng ThÞ Duyªn</t>
  </si>
  <si>
    <t>TrÇn Mü Duyªn</t>
  </si>
  <si>
    <t>Hå ThÞ HiÖp</t>
  </si>
  <si>
    <t>H¹ng A Nhi</t>
  </si>
  <si>
    <t>TriÖu V¨n May</t>
  </si>
  <si>
    <t>chÞ ,mÑ</t>
  </si>
  <si>
    <t>Hµ V¨n Lôc</t>
  </si>
  <si>
    <t>Hå V¨n Chê</t>
  </si>
  <si>
    <t>Hå A Sïng</t>
  </si>
  <si>
    <t>Hå A Kh¸nh</t>
  </si>
  <si>
    <t>vî, chång</t>
  </si>
  <si>
    <t>Lý ThÞ Ch©y</t>
  </si>
  <si>
    <t>Giµng A Hoµ</t>
  </si>
  <si>
    <t>Tr­¬ng ThÞ BÝch</t>
  </si>
  <si>
    <t>Khoµng T Hiªn</t>
  </si>
  <si>
    <t>Bµn V¨n Thµnh</t>
  </si>
  <si>
    <t>Hå V¨n Trao</t>
  </si>
  <si>
    <t>Mµo V¨n S¬n</t>
  </si>
  <si>
    <t>Khoµng V¨n QuyÕt</t>
  </si>
  <si>
    <t>TriÖu V¨n Phong</t>
  </si>
  <si>
    <t>NguyÔn ThÞ Trang</t>
  </si>
  <si>
    <t>Hå ThÞ Ngîi</t>
  </si>
  <si>
    <t>c« d×</t>
  </si>
  <si>
    <t>Hå ThÞ Chao</t>
  </si>
  <si>
    <t>Hå V¨n Di</t>
  </si>
  <si>
    <t>Hoµng Minh Tóc</t>
  </si>
  <si>
    <t>Hoµng BÝch Loan</t>
  </si>
  <si>
    <t>Sïng A Cë</t>
  </si>
  <si>
    <t>Khoµng §øc Duy</t>
  </si>
  <si>
    <t>Sïng A Sã</t>
  </si>
  <si>
    <t>Giµng A S×nh</t>
  </si>
  <si>
    <t>NguyÔn V¨n HuÊn</t>
  </si>
  <si>
    <t>Cï V©n Anh</t>
  </si>
  <si>
    <t>Hå ThÞ DÞu</t>
  </si>
  <si>
    <t>Lý ThÞ H­¬ng</t>
  </si>
  <si>
    <t>Hå ThÞ Thu</t>
  </si>
  <si>
    <t>S×n V¨n Phong</t>
  </si>
  <si>
    <t>Hå V¨n Chµnh</t>
  </si>
  <si>
    <t>Hoµng Phi Hïng</t>
  </si>
  <si>
    <t>Hå ThÞ Xim</t>
  </si>
  <si>
    <t>Hå V¨n NhÊt</t>
  </si>
  <si>
    <t>chÞ ,anh</t>
  </si>
  <si>
    <t>Giµng A Thïng</t>
  </si>
  <si>
    <t>Hå A Phßng</t>
  </si>
  <si>
    <t>Ph¹m T §í</t>
  </si>
  <si>
    <t>Giµng T Xó</t>
  </si>
  <si>
    <t>Hå V¨n HiÖp</t>
  </si>
  <si>
    <t>chÞ g¸i cña bÐ</t>
  </si>
  <si>
    <t>Mai V¨n Quúnh</t>
  </si>
  <si>
    <t>Sïng A Hua</t>
  </si>
  <si>
    <t>S×n ThÞ Th­¬ng</t>
  </si>
  <si>
    <t>mÑ, anh</t>
  </si>
  <si>
    <t>Sïng A Cñng</t>
  </si>
  <si>
    <t>L­¬ng ThÞ Nhung</t>
  </si>
  <si>
    <t>Lß V¨n H¹nh</t>
  </si>
  <si>
    <t>NguyÔn V¨n Sü</t>
  </si>
  <si>
    <t>Tßng ThÞ Ng©n</t>
  </si>
  <si>
    <t>anh ch¨m</t>
  </si>
  <si>
    <t>Hå ThÞ LuyÕn</t>
  </si>
  <si>
    <t>Sïng A H¶i</t>
  </si>
  <si>
    <t>bè trÎ</t>
  </si>
  <si>
    <t>hoang V¨n B¶y</t>
  </si>
  <si>
    <t>Hoµng V¨n Th¾ng</t>
  </si>
  <si>
    <t>TrÇn ThÞ Ngäc</t>
  </si>
  <si>
    <t>NguyÔn Lª H­ng</t>
  </si>
  <si>
    <t>Chí A Hå</t>
  </si>
  <si>
    <t>TriÖu ThÞ S¸u</t>
  </si>
  <si>
    <t>anh chÞ, bè</t>
  </si>
  <si>
    <t>Giµng A Cung</t>
  </si>
  <si>
    <t>Ly T Khu</t>
  </si>
  <si>
    <t>L­¬ng ThÞ Lan</t>
  </si>
  <si>
    <t>Hoµng Ngäc Trai</t>
  </si>
  <si>
    <t>N«ng ThÞ Xoµi</t>
  </si>
  <si>
    <t>Giµng A Sinh</t>
  </si>
  <si>
    <t>Hå C¨n TiÓu</t>
  </si>
  <si>
    <t>Hå V¨n Kh¸</t>
  </si>
  <si>
    <t>Hoµng V¨n ViÖt</t>
  </si>
  <si>
    <t>Hoµng ThÞ Quyªn</t>
  </si>
  <si>
    <t>Giµng T D¬</t>
  </si>
  <si>
    <t>Hê T Xua</t>
  </si>
  <si>
    <t>Giµng ThÞ TiÓu Hoa</t>
  </si>
  <si>
    <t>Hå V¨n Teo</t>
  </si>
  <si>
    <t>Hå V¨n Ram</t>
  </si>
  <si>
    <t>Tr¸ng A Long</t>
  </si>
  <si>
    <t>anh vµ mÑ</t>
  </si>
  <si>
    <t>§Æng ThÞ Oanh</t>
  </si>
  <si>
    <t>Vµng ThÞ D«ng</t>
  </si>
  <si>
    <t>Giµng T Ch×a</t>
  </si>
  <si>
    <t>N«ng ThÞ Thuú Dung</t>
  </si>
  <si>
    <t>L­¬ng V¨n Thøc</t>
  </si>
  <si>
    <t>Sïng T Ranh</t>
  </si>
  <si>
    <t>bµ cña ch¸u</t>
  </si>
  <si>
    <t>Mïa A VÞnh</t>
  </si>
  <si>
    <t>Hå ThÞ Vên</t>
  </si>
  <si>
    <t>Tr­¬ng V¨n §«i</t>
  </si>
  <si>
    <t>anh c¶, mÑ</t>
  </si>
  <si>
    <t>§iÖu ThÞ Thu</t>
  </si>
  <si>
    <t>Thµo ThÞ Hå</t>
  </si>
  <si>
    <t>L­¬ng ThÞ BÒn</t>
  </si>
  <si>
    <t>anh nã</t>
  </si>
  <si>
    <t>Mïa A S¬n</t>
  </si>
  <si>
    <t>Hoµng Anh Tïng</t>
  </si>
  <si>
    <t>Hoµng ThÞ Nh­ Quúnh</t>
  </si>
  <si>
    <t>«ng néi</t>
  </si>
  <si>
    <t>Lª ThÞ L­u</t>
  </si>
  <si>
    <t>Hå V¨n My</t>
  </si>
  <si>
    <t>Hoµng Quèc Huy</t>
  </si>
  <si>
    <t>Hå V¨n Mµn</t>
  </si>
  <si>
    <t>Lï V¨n M¹nh</t>
  </si>
  <si>
    <t>L¨ng ThÞ NgÇn</t>
  </si>
  <si>
    <t>Hå ThÞ S­¬ng</t>
  </si>
  <si>
    <t>Hå ThÞ Rê</t>
  </si>
  <si>
    <t>Thµo ThÞ Xanh</t>
  </si>
  <si>
    <t>Hê T H¶i</t>
  </si>
  <si>
    <t>Giµng A §¹i</t>
  </si>
  <si>
    <t>Hå V¨n Ranh</t>
  </si>
  <si>
    <t>Hoµng Quang Kh¶i</t>
  </si>
  <si>
    <t>Hå ThÞ Thêi</t>
  </si>
  <si>
    <t>Lai Hoµng DiÖu Trang</t>
  </si>
  <si>
    <t>Bïi V¨n Qu¶ng</t>
  </si>
  <si>
    <t>NguyÔn V¨n Giang</t>
  </si>
  <si>
    <t>Giµng A C«ng</t>
  </si>
  <si>
    <t>Ph¹m Kh¸nh Linh</t>
  </si>
  <si>
    <t>§iªu ThÞ Hµ</t>
  </si>
  <si>
    <t>Tr­¬ng ThÞ BiÓn</t>
  </si>
  <si>
    <t>anh, chÞ, mÑ</t>
  </si>
  <si>
    <t>Sïng A C¸</t>
  </si>
  <si>
    <t>chÞ ch¨m sãc</t>
  </si>
  <si>
    <t>TriÖu V¨n §¹ch</t>
  </si>
  <si>
    <t>Hå ThÞ Bót</t>
  </si>
  <si>
    <t>bµ néi, mÑ</t>
  </si>
  <si>
    <t>Chí A Phõ</t>
  </si>
  <si>
    <t>c¸c anh</t>
  </si>
  <si>
    <t>Hå ThÞ Phßng</t>
  </si>
  <si>
    <t>Hå ThÞ Thø</t>
  </si>
  <si>
    <t>Mïa ThÞ Gianh</t>
  </si>
  <si>
    <t>Hoµng Ngäc To¸n</t>
  </si>
  <si>
    <t>Hå A DÕ</t>
  </si>
  <si>
    <t>Sïng T Sñ</t>
  </si>
  <si>
    <t>Giµng ThÞ Thu</t>
  </si>
  <si>
    <t>Hê ThÞ Dung</t>
  </si>
  <si>
    <t>Lß ThÞ Quý</t>
  </si>
  <si>
    <t>Hå V¨n T©y</t>
  </si>
  <si>
    <t>Khoµng ThÞ Quý</t>
  </si>
  <si>
    <t>Thµo A Thinh</t>
  </si>
  <si>
    <t>d×</t>
  </si>
  <si>
    <t>Hoµng A Ch¸nh</t>
  </si>
  <si>
    <t>BµnThÞ Chanh</t>
  </si>
  <si>
    <t>Lý ThÞ T­¬i</t>
  </si>
  <si>
    <t>Hå Quèc Huy</t>
  </si>
  <si>
    <t>Hå ThÞ Lay</t>
  </si>
  <si>
    <t>Hå ThÞ BÝch</t>
  </si>
  <si>
    <t>Hå V¨n Lanh</t>
  </si>
  <si>
    <t>Giµng A Th«ng</t>
  </si>
  <si>
    <t>TrÇn Minh Thµnh</t>
  </si>
  <si>
    <t>NguyÔn ThÞ Thuû</t>
  </si>
  <si>
    <t>Giµng T Pa</t>
  </si>
  <si>
    <t>Tr­¬ng V¨n Xu©n</t>
  </si>
  <si>
    <t>Vµng T ¤ng</t>
  </si>
  <si>
    <t>Hoµng V©n An</t>
  </si>
  <si>
    <t>Giµng ThÞ Hoa</t>
  </si>
  <si>
    <t>TriÖu V¨n TØnh</t>
  </si>
  <si>
    <t>Hå ThÞ Giíi</t>
  </si>
  <si>
    <t>Tr¸ng ThÞ Giµng</t>
  </si>
  <si>
    <t>bµ, «ng ngo¹i</t>
  </si>
  <si>
    <t>L­¬ng ThÞ H­¬ng</t>
  </si>
  <si>
    <t>chÞ vµ bµ néi</t>
  </si>
  <si>
    <t>Hå V¨n LÞch</t>
  </si>
  <si>
    <t>Hê A Tó</t>
  </si>
  <si>
    <t>Bµn V¨n Hîp</t>
  </si>
  <si>
    <t>Hå V¨n Ban</t>
  </si>
  <si>
    <t>Tè ThÞ Oanh</t>
  </si>
  <si>
    <t>Hå A S¬n</t>
  </si>
  <si>
    <t>c«</t>
  </si>
  <si>
    <t>Hå ThÞ KÕch</t>
  </si>
  <si>
    <t>NguyÔn ThÞ CÈm Na</t>
  </si>
  <si>
    <t>Lª ThÞ H­¬ng</t>
  </si>
  <si>
    <t>Hå V¨n TrÇm</t>
  </si>
  <si>
    <t>Sïng A Mïa</t>
  </si>
  <si>
    <t>L­¬ng ThÞ Th¬</t>
  </si>
  <si>
    <t>Lª ThÞ xuyªn</t>
  </si>
  <si>
    <t>Hå V¨n TuÊn</t>
  </si>
  <si>
    <t>Ph¹m ThÞ Xanh</t>
  </si>
  <si>
    <t>Hå V¨n Ngµi</t>
  </si>
  <si>
    <t>Hê A Th¸i</t>
  </si>
  <si>
    <t>Hµ ThÞ Nghiªm</t>
  </si>
  <si>
    <t>Ph¹m Minh Quang</t>
  </si>
  <si>
    <t>TrÇn §øc Léc</t>
  </si>
  <si>
    <t>§Æng V¨n Binh</t>
  </si>
  <si>
    <t>Lß V¨n Thµnh</t>
  </si>
  <si>
    <t>Hå V¨n Ch©m</t>
  </si>
  <si>
    <t>Ch¸ng ThÞ C©u</t>
  </si>
  <si>
    <t>TriÖu V¨n Tuyªn</t>
  </si>
  <si>
    <t>Hoµng V¨n Chung</t>
  </si>
  <si>
    <t>Hå ThÞ Ng­¬ng</t>
  </si>
  <si>
    <t>TrÇn Ngäc ¸nh</t>
  </si>
  <si>
    <t>Hµ V¨n DiÔn</t>
  </si>
  <si>
    <t>S×nh ThÞ §Ýa</t>
  </si>
  <si>
    <t>c¸c c« chó</t>
  </si>
  <si>
    <t>Giµng T Xµy</t>
  </si>
  <si>
    <t>Hê A Lung</t>
  </si>
  <si>
    <t>Hå ThÞ MÆt</t>
  </si>
  <si>
    <t>Hå ThÞ  L­u</t>
  </si>
  <si>
    <t>mÑ , chÞ</t>
  </si>
  <si>
    <t>Khoµng ThÞ Hµ</t>
  </si>
  <si>
    <t>¢u ThÞ G¸i</t>
  </si>
  <si>
    <t>TrÇn Ngäc Hu©n</t>
  </si>
  <si>
    <t>Lª V¨n Tµi</t>
  </si>
  <si>
    <t>Hoµng Mi Ni</t>
  </si>
  <si>
    <t>TrÇn V¨n TriÖu</t>
  </si>
  <si>
    <t>Hoµng §×nh D­¬ng</t>
  </si>
  <si>
    <t>bè mÑ chÞ</t>
  </si>
  <si>
    <t>Giµng T Cay</t>
  </si>
  <si>
    <t>Bµn ThÞ Xu©n</t>
  </si>
  <si>
    <t>Hå ThÞ C¬</t>
  </si>
  <si>
    <t>Hoµng ThÞ XuyÕn</t>
  </si>
  <si>
    <t>Hê T Sua</t>
  </si>
  <si>
    <t>Lý ThÞ Lµn</t>
  </si>
  <si>
    <t>Ph¹m Quèc Kh¸nh</t>
  </si>
  <si>
    <t>Hå V¨n D©ng</t>
  </si>
  <si>
    <t>Hå ThÞ Th¬</t>
  </si>
  <si>
    <t>Hå ThÞ Tê</t>
  </si>
  <si>
    <t>Chí A Th«ng</t>
  </si>
  <si>
    <t>Hå ThÞ H­êng</t>
  </si>
  <si>
    <t>TrÇn ThÞ YÕn</t>
  </si>
  <si>
    <t>Ch­¬ng ThÞ ót</t>
  </si>
  <si>
    <t>mÑ vµ anh</t>
  </si>
  <si>
    <t>NguyÔn Thµnh C«ng</t>
  </si>
  <si>
    <t>Vµng A Tµng</t>
  </si>
  <si>
    <t>Vò V¨n Thµnh</t>
  </si>
  <si>
    <t>Hå V¨n Nhªng</t>
  </si>
  <si>
    <t>Hå V¨n Triªn</t>
  </si>
  <si>
    <t>Hµng T P¸n</t>
  </si>
  <si>
    <t>Hê T Có</t>
  </si>
  <si>
    <t>Hå A Qu©n</t>
  </si>
  <si>
    <t>Chí A Minh</t>
  </si>
  <si>
    <t>Sïng T Dãng</t>
  </si>
  <si>
    <t>NguyÔn V¨n Kho¸n</t>
  </si>
  <si>
    <t>Hå V¨n Ng­a</t>
  </si>
  <si>
    <t>Hå A H¶nh</t>
  </si>
  <si>
    <t>Hå ThÞ NghÞu</t>
  </si>
  <si>
    <t>Lý V¨n Nam</t>
  </si>
  <si>
    <t>Hå ThÞ B»ng</t>
  </si>
  <si>
    <t>Lß ThÞ L­îng</t>
  </si>
  <si>
    <t>mÑ vµ chÞ</t>
  </si>
  <si>
    <t>Giµng ThÞ Li</t>
  </si>
  <si>
    <t>G×a A Th¸</t>
  </si>
  <si>
    <t>TrÇn Thanh Th¸i</t>
  </si>
  <si>
    <t>Hå V¨n ChuÈn</t>
  </si>
  <si>
    <t>Hoµng ThÞ Nh¸i</t>
  </si>
  <si>
    <t>Bao V¨n Quúnh</t>
  </si>
  <si>
    <t>Hå V¨n Tuyªn</t>
  </si>
  <si>
    <t>Hå ThÞ H­¬ng</t>
  </si>
  <si>
    <t>Giµng ThÞ H¹ng</t>
  </si>
  <si>
    <t>anh, chÞ ruét</t>
  </si>
  <si>
    <t>Khoµng ThÞ LÖ</t>
  </si>
  <si>
    <t>mÑ va bµ</t>
  </si>
  <si>
    <t>Sïng A Kha</t>
  </si>
  <si>
    <t>Sïng T Dµng</t>
  </si>
  <si>
    <t>TrÇn ThÞ ¸nh</t>
  </si>
  <si>
    <t>Tßng ThÞ Yªn</t>
  </si>
  <si>
    <t>Khoµng Th¸i Long</t>
  </si>
  <si>
    <t>mÑ, anh hä</t>
  </si>
  <si>
    <t>Sïng A Hßa</t>
  </si>
  <si>
    <t>Hå V¨n P¨ng</t>
  </si>
  <si>
    <t>mÖ &lt;bµ &gt;</t>
  </si>
  <si>
    <t>Giµng A Lang</t>
  </si>
  <si>
    <t>«ng ngo¹i</t>
  </si>
  <si>
    <t>Chí A Thui</t>
  </si>
  <si>
    <t>Giµng A R×a</t>
  </si>
  <si>
    <t>Hoµng ThÞ ¸nh</t>
  </si>
  <si>
    <t>Vi ThÞ HËu</t>
  </si>
  <si>
    <t>Hå V¨n Duy</t>
  </si>
  <si>
    <t>Hµ ThÞ HuyÒn</t>
  </si>
  <si>
    <t>NguyÔn ThÞ H­¬ng</t>
  </si>
  <si>
    <t>chÞ c¶</t>
  </si>
  <si>
    <t>Vµng A D×nh</t>
  </si>
  <si>
    <t>Hå ThÞ Xai</t>
  </si>
  <si>
    <t>Nïng ThÞ Thuû</t>
  </si>
  <si>
    <t>Vi ThÞ H­¬ng</t>
  </si>
  <si>
    <t>Hå ThÞ Hµ</t>
  </si>
  <si>
    <t>Vµng A Chø</t>
  </si>
  <si>
    <t>NguyÔn Thuý Nga</t>
  </si>
  <si>
    <t>Giµng A Khø</t>
  </si>
  <si>
    <t>NguyÔn V¨n Toµn</t>
  </si>
  <si>
    <t>NguyÔn Ngäc Mai</t>
  </si>
  <si>
    <t>Hå ThÞ Sa BÐt</t>
  </si>
  <si>
    <t>Giµng T Th×a</t>
  </si>
  <si>
    <t>bµ ch¨m sãc</t>
  </si>
  <si>
    <t>Hå ThÞ LiÔu</t>
  </si>
  <si>
    <t>Hå V¨n Sý</t>
  </si>
  <si>
    <t>«ng bµ, bè mÑ</t>
  </si>
  <si>
    <t>S×nh A Tinh</t>
  </si>
  <si>
    <t>chÞ nã</t>
  </si>
  <si>
    <t>Hå ThÞ Mùc</t>
  </si>
  <si>
    <t>Hå ThÞ H»ng</t>
  </si>
  <si>
    <t>Giµng T Có</t>
  </si>
  <si>
    <t>Hå V¨n Song</t>
  </si>
  <si>
    <t>Ph¹m ThÞ Nhí</t>
  </si>
  <si>
    <t>Hå V¨n QuyÒn</t>
  </si>
  <si>
    <t>Chõ A Lªnh</t>
  </si>
  <si>
    <t>TrÇn ThÞ HiÒn</t>
  </si>
  <si>
    <t>Kh¸ng ThÞ LÐ</t>
  </si>
  <si>
    <t>Hå V¨n Thu©n</t>
  </si>
  <si>
    <t>H¹ng A C­íi</t>
  </si>
  <si>
    <t>Vi V¨n Qu©n</t>
  </si>
  <si>
    <t>Hoµng TuÊn Minh</t>
  </si>
  <si>
    <t>Lª Hoµi Qu©n</t>
  </si>
  <si>
    <t>Hå ThÞ Kh©u</t>
  </si>
  <si>
    <t>Hå ThÞ Míi</t>
  </si>
  <si>
    <t>NguyÔn ThÞ Ngäc</t>
  </si>
  <si>
    <t>Vi V¨n S¸ng</t>
  </si>
  <si>
    <t>Chí A Th¾ng</t>
  </si>
  <si>
    <t>Tr­¬ng V¨n Th¾ng</t>
  </si>
  <si>
    <t>Hå ThÞ Dim</t>
  </si>
  <si>
    <t>Lß V¨n Phóc</t>
  </si>
  <si>
    <t>§Inh C«ng S¬n</t>
  </si>
  <si>
    <t>S×n V¨n H¹nh</t>
  </si>
  <si>
    <t>Hå ThÞ C« L¬</t>
  </si>
  <si>
    <t>Hå V¨n Su Ma</t>
  </si>
  <si>
    <t>Khoµng ThÞ Ngäc DiÔm</t>
  </si>
  <si>
    <t>NguyÔn Ph­¬ng Hoa</t>
  </si>
  <si>
    <t>Lª S¬n Quang V­¬ng</t>
  </si>
  <si>
    <t>Hå ThÞ Ngê</t>
  </si>
  <si>
    <t>L­êng V¨n §o¹t</t>
  </si>
  <si>
    <t>Vò ThÞ Ph­¬ng</t>
  </si>
  <si>
    <t>L­¬ng Xu©n D©ng</t>
  </si>
  <si>
    <t>tr­êng</t>
  </si>
  <si>
    <t>Hoµng V¨n §iÖp</t>
  </si>
  <si>
    <t>Tr¸ng ThÞ V­i</t>
  </si>
  <si>
    <t>NguyÔn ThÞ YÕn</t>
  </si>
  <si>
    <t>Chí ThÞ Dî</t>
  </si>
  <si>
    <t>Hoµng V¨n S¸ng</t>
  </si>
  <si>
    <t>Giµng A Kh¸ng</t>
  </si>
  <si>
    <t>Hoµng Ngäc Phong</t>
  </si>
  <si>
    <t>Khµ TuÊn KiÖt</t>
  </si>
  <si>
    <t>H¹ng A Dóng</t>
  </si>
  <si>
    <t>Ph¹m V¨n HiÕu</t>
  </si>
  <si>
    <t>Giµng A B¶o</t>
  </si>
  <si>
    <t>Hoµng V¨n Thµnh</t>
  </si>
  <si>
    <t>NguyÔn ThÞ HuyÒn</t>
  </si>
  <si>
    <t>N«ng Thanh Tïng</t>
  </si>
  <si>
    <t>Hå ThÞ §ai</t>
  </si>
  <si>
    <t>Khoµng V¨n M¹nh</t>
  </si>
  <si>
    <t>Lß V¨n Linh</t>
  </si>
  <si>
    <t>Hå ThÞ Th¾m</t>
  </si>
  <si>
    <t>S×n V¨n Hoµi</t>
  </si>
  <si>
    <t>Hoµng ThÞ Tróc</t>
  </si>
  <si>
    <t>NguyÔn V¨n D­¬ng</t>
  </si>
  <si>
    <t>Hå V¨n T­</t>
  </si>
  <si>
    <t>Hoµng ThÞ M¬</t>
  </si>
  <si>
    <t>Hå V¨n Ng­m</t>
  </si>
  <si>
    <t>Hå ThÞ G¸i</t>
  </si>
  <si>
    <t>Lý A Dòng</t>
  </si>
  <si>
    <t>Giµng T Xay</t>
  </si>
  <si>
    <t>NguyÔn ThÞ Thanh Thuú</t>
  </si>
  <si>
    <t>Lß V¨n ViÖt</t>
  </si>
  <si>
    <t>Lý A Minh</t>
  </si>
  <si>
    <t>Giang T Thu</t>
  </si>
  <si>
    <t>Hå ThÞ VÒ</t>
  </si>
  <si>
    <t>Hå V¨n Ngom</t>
  </si>
  <si>
    <t>Hå A D©n</t>
  </si>
  <si>
    <t>Hå ThÞ Mau</t>
  </si>
  <si>
    <t>Hê A Phãng</t>
  </si>
  <si>
    <t>N«ng ThÞ Ngäc</t>
  </si>
  <si>
    <t>Hå ThÞ NghiÕc</t>
  </si>
  <si>
    <t>Hå V¨n Xa ¥n</t>
  </si>
  <si>
    <t>Hå V¨n M¸c</t>
  </si>
  <si>
    <t>Hoµng Hång YÕn</t>
  </si>
  <si>
    <t>Lß ThÞ QuÕ</t>
  </si>
  <si>
    <t>Giµng A V¶</t>
  </si>
  <si>
    <t>Giµng Phi Hång</t>
  </si>
  <si>
    <t>Hå ThÞ Thñy</t>
  </si>
  <si>
    <t>Hå ThÞ §µng</t>
  </si>
  <si>
    <t>SÇm ThÞ TiÕp</t>
  </si>
  <si>
    <t>Kh¸ng A Cö</t>
  </si>
  <si>
    <t>Lý A Long</t>
  </si>
  <si>
    <t>Giµng A S¬n</t>
  </si>
  <si>
    <t>Hoµng V¨n H­¬ng</t>
  </si>
  <si>
    <t>TriÖu V¨n S¬n</t>
  </si>
  <si>
    <t>Hå V¨n Nhi</t>
  </si>
  <si>
    <t>Khoµng ThÞ BÝch</t>
  </si>
  <si>
    <t>TrÇn V¨n Quang</t>
  </si>
  <si>
    <t>TriÖu V¨n C­êng</t>
  </si>
  <si>
    <t>Chí A Giµng</t>
  </si>
  <si>
    <t>Hå ThÞ Rinh</t>
  </si>
  <si>
    <t>S×n ThÞ Di</t>
  </si>
  <si>
    <t>M«ng V¨n Thuyªn</t>
  </si>
  <si>
    <t>§µo Quèc Huy</t>
  </si>
  <si>
    <t>Hå ThÞ §im</t>
  </si>
  <si>
    <t>Hoµng ThÞ Vui</t>
  </si>
  <si>
    <t>N«ng Thuú Linh</t>
  </si>
  <si>
    <t>Hê ThÞ La</t>
  </si>
  <si>
    <t>bµ ch¨m</t>
  </si>
  <si>
    <t>Lý V¨n Vui</t>
  </si>
  <si>
    <t>Tèng ThÞ Quúnh</t>
  </si>
  <si>
    <t>Giµng ThÞ Tó</t>
  </si>
  <si>
    <t>Lª ThÞ Mai</t>
  </si>
  <si>
    <t>Hoµng §øc M¹nh</t>
  </si>
  <si>
    <t>Hoµng ThÞ G­¬m</t>
  </si>
  <si>
    <t>Giµng A Tµng</t>
  </si>
  <si>
    <t>Vò ThÞ Thanh Nga</t>
  </si>
  <si>
    <t>Hê T ¤ng</t>
  </si>
  <si>
    <t>mÑ ch¨m sãc</t>
  </si>
  <si>
    <t>Hå V¨n ChiÕn</t>
  </si>
  <si>
    <t>TrÇn ThÞ Yªn</t>
  </si>
  <si>
    <t>Giµng ThÞ ChÝa</t>
  </si>
  <si>
    <t>Giµng T Mo</t>
  </si>
  <si>
    <t>Ng« Trung H¶o</t>
  </si>
  <si>
    <t>NguyÔn V¨n Qu©n</t>
  </si>
  <si>
    <t>Hoµng V¨n Huyªn</t>
  </si>
  <si>
    <t>Giµng A Phong</t>
  </si>
  <si>
    <t>Hå V¨n Hîp</t>
  </si>
  <si>
    <t>Ph¹m T Vµng</t>
  </si>
  <si>
    <t>Hå V¨n Th­¬ng</t>
  </si>
  <si>
    <t>Tr¸ng A Chua</t>
  </si>
  <si>
    <t>Lý V¨n YÕm</t>
  </si>
  <si>
    <t>§Æng ThÞ T­¬i</t>
  </si>
  <si>
    <t>Lª V¨n Anh</t>
  </si>
  <si>
    <t>Sïng ThÞ Mû</t>
  </si>
  <si>
    <t>H¹ng A C«ng</t>
  </si>
  <si>
    <t>Hå V¨n Run</t>
  </si>
  <si>
    <t>Mµo ThÞ Mü Linh</t>
  </si>
  <si>
    <t>Hoµng V¨n §äc</t>
  </si>
  <si>
    <t>Ph¹m Thanh HuyÒn</t>
  </si>
  <si>
    <t>Hå V¨n DÇu</t>
  </si>
  <si>
    <t>TrÇn Ph­¬ng HuyÒn</t>
  </si>
  <si>
    <t>Lß ThÞ HuyÒn</t>
  </si>
  <si>
    <t>Hê A H¹ng</t>
  </si>
  <si>
    <t>Ph¹m Thuý H­êng</t>
  </si>
  <si>
    <t>Hoµng ThÞ Mµu</t>
  </si>
  <si>
    <t>chÞ hä, mÑ</t>
  </si>
  <si>
    <t>Hå C¨n Kiªu</t>
  </si>
  <si>
    <t>NguyÔn Thuú Linh</t>
  </si>
  <si>
    <t>Khoµng ThÞ Nh©n</t>
  </si>
  <si>
    <t>Lý ThÞ Dung</t>
  </si>
  <si>
    <t>Hå V¨n L­¬ng</t>
  </si>
  <si>
    <t>Hå V¨n Th©n</t>
  </si>
  <si>
    <t>H¹ng ThÞ Ch­</t>
  </si>
  <si>
    <t>Lß ViÖt Quang</t>
  </si>
  <si>
    <t>bµ vµ cô</t>
  </si>
  <si>
    <t>Chí ThÞ Sung</t>
  </si>
  <si>
    <t>H¹ng A D«ng</t>
  </si>
  <si>
    <t>bµ tr«ng</t>
  </si>
  <si>
    <t>S×n V¨n H­ng</t>
  </si>
  <si>
    <t>Hoµng Thu Duyªn</t>
  </si>
  <si>
    <t>Ch¶o ThÞ Hµ</t>
  </si>
  <si>
    <t>Hå ThÞ Tùu</t>
  </si>
  <si>
    <t>Ph¹m ThÞ Cóc</t>
  </si>
  <si>
    <t>NguyÔn ThÞ HuÖ</t>
  </si>
  <si>
    <t>Mai ThÞ Nga</t>
  </si>
  <si>
    <t>S×n V¨n Th¸i</t>
  </si>
  <si>
    <t>TriÖu ThÞ Diªn</t>
  </si>
  <si>
    <t>¢u V¨n NguyÔn</t>
  </si>
  <si>
    <t>Hå ThÞ Khuyªn</t>
  </si>
  <si>
    <t>Hå ThÞ Lý</t>
  </si>
  <si>
    <t>Hoµng V¨n DiÔn</t>
  </si>
  <si>
    <t>Hå V¨n HIa</t>
  </si>
  <si>
    <t>Hå V¨n B×nh</t>
  </si>
  <si>
    <t>Hå ThÞ Quynh</t>
  </si>
  <si>
    <t>Lß ThÞ Quúnh</t>
  </si>
  <si>
    <t>NguyÔn Ngäc Nam</t>
  </si>
  <si>
    <t>S×nh ThÞ Sia</t>
  </si>
  <si>
    <t>Hê A Chê</t>
  </si>
  <si>
    <t>L­¬ng V¨n Nam</t>
  </si>
  <si>
    <t>TrÇn ThÞ Ty</t>
  </si>
  <si>
    <t>Hå V¨n Nguån</t>
  </si>
  <si>
    <t>TrÞnh ThÞ Nhung</t>
  </si>
  <si>
    <t>Hê A LÕnh</t>
  </si>
  <si>
    <t>NguyÔn V¨n HiÖp</t>
  </si>
  <si>
    <t>Hå ThÞ Ly X¨ng Hµ</t>
  </si>
  <si>
    <t>mÖ ngo¹i</t>
  </si>
  <si>
    <t>Hå V¨n Hinh</t>
  </si>
  <si>
    <t>Hoµng Minh TuÊn</t>
  </si>
  <si>
    <t>Hå ThÞ D­îc</t>
  </si>
  <si>
    <t>Hå V¨n Inh</t>
  </si>
  <si>
    <t>S×n V¨n Quang</t>
  </si>
  <si>
    <t>Hoµng TiÕn S¬n</t>
  </si>
  <si>
    <t>Hå V¨n Giang</t>
  </si>
  <si>
    <t>Hå A Nang</t>
  </si>
  <si>
    <t>Bïi ViÖt Quang Linh</t>
  </si>
  <si>
    <t>Lý ThÞ Si</t>
  </si>
  <si>
    <t>NguyÔn V¨n Th¾ng</t>
  </si>
  <si>
    <t>Ninh ThÞ Trang</t>
  </si>
  <si>
    <t>N«ng Giang Nam</t>
  </si>
  <si>
    <t>NguyÔn ThÞ Tè Uyªn</t>
  </si>
  <si>
    <t>Hå V¨n H×nh</t>
  </si>
  <si>
    <t>hå V¨n Si M«n</t>
  </si>
  <si>
    <t>Hå V¨n Riªu</t>
  </si>
  <si>
    <t>NguyÔn ThÞ Lam</t>
  </si>
  <si>
    <t>Mïa A Giµng</t>
  </si>
  <si>
    <t>Khoµng V¨n Huy</t>
  </si>
  <si>
    <t>CÇm Trung Kiªn</t>
  </si>
  <si>
    <t>§Æng V¨n Minh</t>
  </si>
  <si>
    <t>Hoµng V¨n B¶o</t>
  </si>
  <si>
    <t>Ph¹m Thu Trang</t>
  </si>
  <si>
    <t>Hå A Cñng</t>
  </si>
  <si>
    <t>§ç Quèc Huy</t>
  </si>
  <si>
    <t>Hå ThÞ Mai</t>
  </si>
  <si>
    <t>Hå ThÞ Buån</t>
  </si>
  <si>
    <t>Lß ThÞ Th¾m</t>
  </si>
  <si>
    <t>Thµo A Tïng</t>
  </si>
  <si>
    <t>Hå ThÞ T©y</t>
  </si>
  <si>
    <t>L­¬ng ThÞ Mai</t>
  </si>
  <si>
    <t>§ç Quang Th×n</t>
  </si>
  <si>
    <t>Hå ThÞ Bui</t>
  </si>
  <si>
    <t>Khoµng ThÞ Quúnh</t>
  </si>
  <si>
    <t>Lª ThÞ Nga</t>
  </si>
  <si>
    <t>Hå ThÞ R©n</t>
  </si>
  <si>
    <t>d×, c«</t>
  </si>
  <si>
    <t>Hå V¨n Kinh</t>
  </si>
  <si>
    <t>Lß §¨ng Hµ</t>
  </si>
  <si>
    <t>S×nh A Ph×nh</t>
  </si>
  <si>
    <t>ch¬i víi anh chÞ</t>
  </si>
  <si>
    <t>Lß V¨n §øc</t>
  </si>
  <si>
    <t>Sïng A Ph¸</t>
  </si>
  <si>
    <t>Hµng T Hoa</t>
  </si>
  <si>
    <t>L­¬ng ThÞ Dung</t>
  </si>
  <si>
    <t>§Æng ThÞ M¬</t>
  </si>
  <si>
    <t>TrÇn V¨n Nam</t>
  </si>
  <si>
    <t>NguyÔn ThÞ Uyªn</t>
  </si>
  <si>
    <t>Lß ThÞ Loan</t>
  </si>
  <si>
    <t>bµ «ng</t>
  </si>
  <si>
    <t>Hå V¨n Rùc</t>
  </si>
  <si>
    <t>Khoµng V¨n Chung</t>
  </si>
  <si>
    <t>NguyÔn ThÞ LÖ</t>
  </si>
  <si>
    <t>TrÇn ThÞ thu</t>
  </si>
  <si>
    <t>Lý V¨n Vinh</t>
  </si>
  <si>
    <t>bè, chÞ</t>
  </si>
  <si>
    <t>NguyÔn §øc ViÖt</t>
  </si>
  <si>
    <t>bµ, bè, mÑ</t>
  </si>
  <si>
    <t>Hå V¨n §¨ng</t>
  </si>
  <si>
    <t>Sïng T Xay</t>
  </si>
  <si>
    <t>Hå V¨n Tr­êng</t>
  </si>
  <si>
    <t>Hå V¨n Nh¹t</t>
  </si>
  <si>
    <t>Hoµng V¨n L¸i</t>
  </si>
  <si>
    <t>Thµo A Thø</t>
  </si>
  <si>
    <t>TrÞnh V¨n Qu©n</t>
  </si>
  <si>
    <t>Lß ThÞ Hoµn</t>
  </si>
  <si>
    <t>mÑ ch¨m con</t>
  </si>
  <si>
    <t>Hå V¸n Thoa</t>
  </si>
  <si>
    <t>§µo V¨n Hoµng</t>
  </si>
  <si>
    <t>Chí ThÞ D×</t>
  </si>
  <si>
    <t>Mïa ThÞ Ph­¬ng</t>
  </si>
  <si>
    <t>Lª V¨n Hoµng</t>
  </si>
  <si>
    <t>Sïng A Mo</t>
  </si>
  <si>
    <t>Hå ThÞ Nga</t>
  </si>
  <si>
    <t>Khoµng V¨n Toµn</t>
  </si>
  <si>
    <t>Hå V¨n Sµn</t>
  </si>
  <si>
    <t>Hoµng V¨n ThÐp</t>
  </si>
  <si>
    <t>Lý A Chí</t>
  </si>
  <si>
    <t>NguyÔn V¨n Tu©n</t>
  </si>
  <si>
    <t>Lª ThÞ H¹nh</t>
  </si>
  <si>
    <t>Lß ThÞ LËp</t>
  </si>
  <si>
    <t>Hå V¨n C¸i</t>
  </si>
  <si>
    <t>Hå V¨n Dòa</t>
  </si>
  <si>
    <t>Ph¹m Ngäc HiÕu</t>
  </si>
  <si>
    <t>«ng bµ ngo¹i</t>
  </si>
  <si>
    <t>Lï ThÞ Mai</t>
  </si>
  <si>
    <t>Bµn V ¨n Dòng</t>
  </si>
  <si>
    <t>L­¬ng ThÞ Quyªn</t>
  </si>
  <si>
    <t>Lª Trung Anh</t>
  </si>
  <si>
    <t>TrÇn Ngäc Tó</t>
  </si>
  <si>
    <t>Hå V¨n LuËn</t>
  </si>
  <si>
    <t>Chí ThÞ Sïng</t>
  </si>
  <si>
    <t>Ph¹m ThÞ HiÖp</t>
  </si>
  <si>
    <t>Giµng T V¸</t>
  </si>
  <si>
    <t>Hå ThÞ Mß</t>
  </si>
  <si>
    <t>Lß ThÞ N÷</t>
  </si>
  <si>
    <t>N«ng V¨n C¶nh</t>
  </si>
  <si>
    <t>Hå Thanh LÞch</t>
  </si>
  <si>
    <t>Lý ThÞ DiÔm</t>
  </si>
  <si>
    <t>NguyÔn V¨n Th×n</t>
  </si>
  <si>
    <t>Vò V¨n Qu©n</t>
  </si>
  <si>
    <t>Tèng V¨n Long</t>
  </si>
  <si>
    <t>S×nh ThÞ Thß</t>
  </si>
  <si>
    <t>§ç Kh¸nh Quúnh</t>
  </si>
  <si>
    <t>Hê ThÞ SÇu</t>
  </si>
  <si>
    <t>Lß ThÞ N©ng</t>
  </si>
  <si>
    <t>§iªu ThÞ cóc</t>
  </si>
  <si>
    <t>§iªu ThÞ MÕn</t>
  </si>
  <si>
    <t>anh, mÑ</t>
  </si>
  <si>
    <t>Hå V¨n Sang</t>
  </si>
  <si>
    <t>X</t>
  </si>
  <si>
    <t xml:space="preserve">mu </t>
  </si>
  <si>
    <t>stdev</t>
  </si>
  <si>
    <t>p(alpha)</t>
  </si>
  <si>
    <t>alpha/2</t>
  </si>
  <si>
    <t>1-alpha/2</t>
  </si>
  <si>
    <t>z_(alpha/2)</t>
  </si>
  <si>
    <t>Sample Value</t>
  </si>
  <si>
    <t>Variable</t>
  </si>
  <si>
    <t>Confidence level</t>
  </si>
  <si>
    <t>Lower Bound</t>
  </si>
  <si>
    <t>Upper Bound</t>
  </si>
  <si>
    <t>Parameter</t>
  </si>
  <si>
    <t xml:space="preserve">proportion </t>
  </si>
  <si>
    <t xml:space="preserve">average </t>
  </si>
  <si>
    <t>Z value</t>
  </si>
  <si>
    <t>Sample size</t>
  </si>
  <si>
    <t>Standard error</t>
  </si>
  <si>
    <t>Margin of Error</t>
  </si>
  <si>
    <t>Task 1</t>
  </si>
  <si>
    <t>a) Proportion of breastfeeding between provinces</t>
  </si>
  <si>
    <t>Province</t>
  </si>
  <si>
    <t>Proportion (conbume=1)</t>
  </si>
  <si>
    <t>b) Compare average height</t>
  </si>
  <si>
    <t>p &lt; 0.05 → significant difference</t>
  </si>
  <si>
    <t>p ≥ 0.05 → no significant difference</t>
  </si>
  <si>
    <t>Breastfed</t>
  </si>
  <si>
    <t>Pooled proportion(p)</t>
  </si>
  <si>
    <t>Z-static</t>
  </si>
  <si>
    <t>p-value</t>
  </si>
  <si>
    <t>&lt;0.05 significantly difference</t>
  </si>
  <si>
    <t>Mean height</t>
  </si>
  <si>
    <r>
      <t xml:space="preserve">There is </t>
    </r>
    <r>
      <rPr>
        <b/>
        <sz val="11"/>
        <color theme="1"/>
        <rFont val="Calibri"/>
        <family val="2"/>
        <scheme val="minor"/>
      </rPr>
      <t>weak evidence</t>
    </r>
    <r>
      <rPr>
        <sz val="11"/>
        <color theme="1"/>
        <rFont val="Calibri"/>
        <family val="2"/>
        <scheme val="minor"/>
      </rPr>
      <t xml:space="preserve"> that the average height differs between the two provinces.</t>
    </r>
  </si>
  <si>
    <r>
      <t xml:space="preserve">The proportion of infants still being breastfed </t>
    </r>
    <r>
      <rPr>
        <b/>
        <sz val="11"/>
        <color theme="1"/>
        <rFont val="Calibri"/>
        <family val="2"/>
        <scheme val="minor"/>
      </rPr>
      <t>is significantly different between Quang Ninh and Dien Bien</t>
    </r>
    <r>
      <rPr>
        <sz val="11"/>
        <color theme="1"/>
        <rFont val="Calibri"/>
        <family val="2"/>
        <scheme val="minor"/>
      </rPr>
      <t>.</t>
    </r>
  </si>
  <si>
    <t>a) Compare the proportion of infants still being breastfed</t>
  </si>
  <si>
    <t>Quang Ninh</t>
  </si>
  <si>
    <t>Quang Tri</t>
  </si>
  <si>
    <t>Dien Bien</t>
  </si>
  <si>
    <t>Province code</t>
  </si>
  <si>
    <t>Breastfed (conbume=1)</t>
  </si>
  <si>
    <t>Total</t>
  </si>
  <si>
    <t>Proportion</t>
  </si>
  <si>
    <t>Observed Range</t>
  </si>
  <si>
    <t>Not Breastfed</t>
  </si>
  <si>
    <t>Expected Range</t>
  </si>
  <si>
    <t>Row total</t>
  </si>
  <si>
    <t>column total</t>
  </si>
  <si>
    <r>
      <t>p</t>
    </r>
    <r>
      <rPr>
        <sz val="11"/>
        <color theme="1"/>
        <rFont val="Calibri"/>
        <charset val="134"/>
        <scheme val="minor"/>
      </rPr>
      <t>&lt;0.05</t>
    </r>
  </si>
  <si>
    <r>
      <t xml:space="preserve">The proportion of infants still being breastfed </t>
    </r>
    <r>
      <rPr>
        <b/>
        <sz val="11"/>
        <color theme="1"/>
        <rFont val="Calibri"/>
        <family val="2"/>
        <scheme val="minor"/>
      </rPr>
      <t>is significantly different among the three provinces</t>
    </r>
    <r>
      <rPr>
        <sz val="11"/>
        <color theme="1"/>
        <rFont val="Calibri"/>
        <family val="2"/>
        <scheme val="minor"/>
      </rPr>
      <t>.</t>
    </r>
  </si>
  <si>
    <t xml:space="preserve">b) Compare the average height of children </t>
  </si>
  <si>
    <t>Code</t>
  </si>
  <si>
    <t>Mean height (cm)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</si>
  <si>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</si>
  <si>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</si>
  <si>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</si>
  <si>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</si>
  <si>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</si>
  <si>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</si>
  <si>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</si>
  <si>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</si>
  <si>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</si>
  <si>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</si>
  <si>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</si>
  <si>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</si>
  <si>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</si>
  <si>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</si>
  <si>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</si>
  <si>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</si>
  <si>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</si>
  <si>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1chieu cao</t>
  </si>
  <si>
    <t>2chieucao</t>
  </si>
  <si>
    <t>3chieucao</t>
  </si>
  <si>
    <r>
      <t>p</t>
    </r>
    <r>
      <rPr>
        <sz val="11"/>
        <color theme="1"/>
        <rFont val="Calibri"/>
        <charset val="134"/>
        <scheme val="minor"/>
      </rPr>
      <t>&gt;0.05</t>
    </r>
  </si>
  <si>
    <r>
      <t xml:space="preserve">The average height of children </t>
    </r>
    <r>
      <rPr>
        <b/>
        <sz val="11"/>
        <color theme="1"/>
        <rFont val="Calibri"/>
        <family val="2"/>
        <scheme val="minor"/>
      </rPr>
      <t>is not significantly different between the three provinces</t>
    </r>
    <r>
      <rPr>
        <sz val="11"/>
        <color theme="1"/>
        <rFont val="Calibri"/>
        <family val="2"/>
        <scheme val="minor"/>
      </rPr>
      <t xml:space="preserve"> at the 5% level.</t>
    </r>
  </si>
  <si>
    <t>Task1</t>
  </si>
  <si>
    <t xml:space="preserve">Tinh </t>
  </si>
  <si>
    <t>Tan so</t>
  </si>
  <si>
    <t>Ty le</t>
  </si>
  <si>
    <t xml:space="preserve">total </t>
  </si>
  <si>
    <t>Task 2</t>
  </si>
  <si>
    <t>frequence cross table</t>
  </si>
  <si>
    <t>across-row percentages table</t>
  </si>
  <si>
    <t>across-column percentages table</t>
  </si>
  <si>
    <t>mean</t>
  </si>
  <si>
    <t>median</t>
  </si>
  <si>
    <t>mode</t>
  </si>
  <si>
    <t>(min + max)/2</t>
  </si>
  <si>
    <t>Create regression equation Y = aX+ b to describe the relation between Weigh (cannang, Y) and Heigh (chieucao, X)</t>
  </si>
  <si>
    <t>…</t>
  </si>
  <si>
    <t>Slope a^</t>
  </si>
  <si>
    <t>Intercept b^</t>
  </si>
  <si>
    <t>Regression equation</t>
  </si>
  <si>
    <t>SLOPE</t>
  </si>
  <si>
    <t>INTERCEPT</t>
  </si>
  <si>
    <t>Weigh = 0.2096 * Heigh - 6.67987</t>
  </si>
  <si>
    <t>Y^</t>
  </si>
  <si>
    <t>e^=Y^-Y</t>
  </si>
  <si>
    <t>(Y^-Y)^2</t>
  </si>
  <si>
    <t>Multiple correlation coefficient R</t>
  </si>
  <si>
    <t>CORREL</t>
  </si>
  <si>
    <t>Coefficient of determination R^2</t>
  </si>
  <si>
    <t>^2</t>
  </si>
  <si>
    <t>Hypothesis H: slope a = 0</t>
  </si>
  <si>
    <t>Alternative Hypothesis K: slope a differs from 0</t>
  </si>
  <si>
    <t>F regression statistic: F = R^2/((1-R^2)/(N-2))</t>
  </si>
  <si>
    <t>N (sample size)</t>
  </si>
  <si>
    <t>F-statistic</t>
  </si>
  <si>
    <t>F - Critical value</t>
  </si>
  <si>
    <t>Compare F-statistic to F-critical value:</t>
  </si>
  <si>
    <t>Conclusion: slope a differs from 0</t>
  </si>
  <si>
    <t>That means there is a strongly positive (increasing) relationship between Weigh (Y) and Heigh (X).</t>
  </si>
  <si>
    <t>F-statistic p-value</t>
  </si>
  <si>
    <t>Compare p-value to 5%: p-</t>
  </si>
  <si>
    <t>Slope =0.2096 means when height increases by 1 cm, weight increases on average by 0.2096 kg.</t>
  </si>
  <si>
    <t>Correlation coefficient: 𝑅 = 0.9326 → Indicates a very strong positive linear relationship</t>
  </si>
  <si>
    <t>Coefficient of determination R^2 = 86.98% &gt; 60%</t>
  </si>
  <si>
    <t>The regression model is considered to have high quality (strong explanatory power).</t>
  </si>
  <si>
    <t>F-statistic = 7201.40 &gt; F-critical value = 3.85, we reject hypothesis H:</t>
  </si>
  <si>
    <t>alue = 0.000000 &lt; 0.05, we reject hypothesis H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</si>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</sst>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5" fontId="0" fillId="0" borderId="0" xfId="0" applyNumberFormat="1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10" fontId="0" fillId="0" borderId="0" xfId="0" applyNumberFormat="1"/>
    <xf numFmtId="0" fontId="4" fillId="0" borderId="0" xfId="0" applyFont="1"/>
    <xf numFmtId="0" fontId="0" fillId="0" borderId="1" xfId="0" applyBorder="1"/>
    <xf numFmtId="0" fontId="4" fillId="0" borderId="1" xfId="0" applyFont="1" applyBorder="1"/>
    <xf numFmtId="9" fontId="0" fillId="0" borderId="1" xfId="0" applyNumberFormat="1" applyBorder="1"/>
    <xf numFmtId="0" fontId="4" fillId="0" borderId="1" xfId="0" applyFont="1" applyBorder="1" applyAlignment="1">
      <alignment vertical="center" wrapText="1"/>
    </xf>
    <xf numFmtId="0" fontId="3" fillId="0" borderId="0" xfId="0" applyFont="1"/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5" fillId="0" borderId="0" xfId="0" applyFont="1"/>
    <xf numFmtId="0" fontId="0" fillId="0" borderId="2" xfId="0" applyBorder="1"/>
    <xf numFmtId="0" fontId="7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Continuous"/>
    </xf>
    <xf numFmtId="10" fontId="0" fillId="0" borderId="1" xfId="0" applyNumberFormat="1" applyBorder="1"/>
    <xf numFmtId="0" fontId="2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0" fontId="0" fillId="3" borderId="0" xfId="0" applyFill="1"/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'w1Task 2'!$P$17:$P$19</c:f>
              <c:numCache>
                <c:formatCode>General</c:formatCode>
                <c:ptCount val="3"/>
                <c:pt idx="0">
                  <c:v>215</c:v>
                </c:pt>
                <c:pt idx="1">
                  <c:v>195</c:v>
                </c:pt>
                <c:pt idx="2">
                  <c:v>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4-4CD9-BFC2-D922AD81954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'w1Task 2'!$Q$17:$Q$19</c:f>
              <c:numCache>
                <c:formatCode>General</c:formatCode>
                <c:ptCount val="3"/>
                <c:pt idx="0">
                  <c:v>99</c:v>
                </c:pt>
                <c:pt idx="1">
                  <c:v>158</c:v>
                </c:pt>
                <c:pt idx="2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24-4CD9-BFC2-D922AD819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835568"/>
        <c:axId val="37836048"/>
      </c:barChart>
      <c:catAx>
        <c:axId val="3783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36048"/>
        <c:crosses val="autoZero"/>
        <c:auto val="1"/>
        <c:lblAlgn val="ctr"/>
        <c:lblOffset val="100"/>
        <c:noMultiLvlLbl val="0"/>
      </c:catAx>
      <c:valAx>
        <c:axId val="3783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3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'w1Task 2'!$P$17:$P$19</c:f>
              <c:numCache>
                <c:formatCode>General</c:formatCode>
                <c:ptCount val="3"/>
                <c:pt idx="0">
                  <c:v>215</c:v>
                </c:pt>
                <c:pt idx="1">
                  <c:v>195</c:v>
                </c:pt>
                <c:pt idx="2">
                  <c:v>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1E-4ED8-8BB6-A03C08CE8C9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'w1Task 2'!$Q$17:$Q$19</c:f>
              <c:numCache>
                <c:formatCode>General</c:formatCode>
                <c:ptCount val="3"/>
                <c:pt idx="0">
                  <c:v>99</c:v>
                </c:pt>
                <c:pt idx="1">
                  <c:v>158</c:v>
                </c:pt>
                <c:pt idx="2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1E-4ED8-8BB6-A03C08CE8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2803216"/>
        <c:axId val="42802256"/>
      </c:barChart>
      <c:catAx>
        <c:axId val="4280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02256"/>
        <c:crosses val="autoZero"/>
        <c:auto val="1"/>
        <c:lblAlgn val="ctr"/>
        <c:lblOffset val="100"/>
        <c:noMultiLvlLbl val="0"/>
      </c:catAx>
      <c:valAx>
        <c:axId val="428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0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30480</xdr:colOff>
      <xdr:row>35</xdr:row>
      <xdr:rowOff>156210</xdr:rowOff>
    </xdr:from>
    <xdr:to>
      <xdr:col>20</xdr:col>
      <xdr:colOff>0</xdr:colOff>
      <xdr:row>50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490A53-75A2-5B51-9B9F-525049C39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601980</xdr:colOff>
      <xdr:row>51</xdr:row>
      <xdr:rowOff>95250</xdr:rowOff>
    </xdr:from>
    <xdr:to>
      <xdr:col>19</xdr:col>
      <xdr:colOff>571500</xdr:colOff>
      <xdr:row>66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988E09-018E-195F-5EA0-921BBB3A6E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81"/>
  <sheetViews>
    <sheetView topLeftCell="B1" zoomScaleNormal="100" workbookViewId="0">
      <selection activeCell="N17" sqref="N17"/>
    </sheetView>
  </sheetViews>
  <sheetFormatPr defaultColWidth="9" defaultRowHeight="14.4"/>
  <cols>
    <col min="1" max="1" width="21" bestFit="1" customWidth="1"/>
    <col min="4" max="6" width="11.5546875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 t="s">
        <v>27</v>
      </c>
      <c r="B2" s="3">
        <v>3</v>
      </c>
      <c r="C2" s="3">
        <v>1</v>
      </c>
      <c r="D2" s="1">
        <v>38345</v>
      </c>
      <c r="E2" s="1">
        <v>39082</v>
      </c>
      <c r="F2" s="2">
        <f>(E2-D2)/365.25</f>
        <v>2.0177960301163584</v>
      </c>
      <c r="G2" s="3">
        <v>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54.8</v>
      </c>
      <c r="S2" s="2">
        <v>4.3</v>
      </c>
      <c r="T2" t="s">
        <v>28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1</v>
      </c>
    </row>
    <row r="3" spans="1:27">
      <c r="A3" t="s">
        <v>29</v>
      </c>
      <c r="B3" s="3">
        <v>3</v>
      </c>
      <c r="C3" s="3">
        <v>1</v>
      </c>
      <c r="D3" s="1">
        <v>38311</v>
      </c>
      <c r="E3" s="1">
        <v>39082</v>
      </c>
      <c r="F3" s="2">
        <f t="shared" ref="F3:F66" si="0">(E3-D3)/365.25</f>
        <v>2.1108829568788501</v>
      </c>
      <c r="G3" s="3">
        <v>2</v>
      </c>
      <c r="H3" s="3">
        <v>1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60.6</v>
      </c>
      <c r="S3" s="2">
        <v>5.7</v>
      </c>
      <c r="T3" t="s">
        <v>28</v>
      </c>
      <c r="U3" s="3">
        <v>0</v>
      </c>
      <c r="V3" s="3">
        <v>1</v>
      </c>
      <c r="W3" s="3">
        <v>0</v>
      </c>
      <c r="X3" s="3">
        <v>0</v>
      </c>
      <c r="Y3" s="3">
        <v>0</v>
      </c>
      <c r="Z3" s="3">
        <v>0</v>
      </c>
      <c r="AA3" s="3">
        <v>1</v>
      </c>
    </row>
    <row r="4" spans="1:27">
      <c r="A4" t="s">
        <v>30</v>
      </c>
      <c r="B4" s="3">
        <v>1</v>
      </c>
      <c r="C4" s="3">
        <v>1</v>
      </c>
      <c r="D4" s="1">
        <v>38118</v>
      </c>
      <c r="E4" s="1">
        <v>39082</v>
      </c>
      <c r="F4" s="2">
        <f t="shared" si="0"/>
        <v>2.6392881587953458</v>
      </c>
      <c r="G4" s="3">
        <v>2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</v>
      </c>
      <c r="Q4" s="3">
        <v>0</v>
      </c>
      <c r="R4" s="3">
        <v>65</v>
      </c>
      <c r="S4" s="2">
        <v>6.5</v>
      </c>
      <c r="T4" t="s">
        <v>28</v>
      </c>
      <c r="U4" s="3">
        <v>1</v>
      </c>
      <c r="V4" s="3">
        <v>1</v>
      </c>
      <c r="W4" s="3">
        <v>0</v>
      </c>
      <c r="X4" s="3">
        <v>0</v>
      </c>
      <c r="Y4" s="3">
        <v>0</v>
      </c>
      <c r="Z4" s="3">
        <v>0</v>
      </c>
      <c r="AA4" s="3">
        <v>1</v>
      </c>
    </row>
    <row r="5" spans="1:27">
      <c r="A5" t="s">
        <v>31</v>
      </c>
      <c r="B5" s="3">
        <v>1</v>
      </c>
      <c r="C5" s="3">
        <v>1</v>
      </c>
      <c r="D5" s="1">
        <v>38196</v>
      </c>
      <c r="E5" s="1">
        <v>39082</v>
      </c>
      <c r="F5" s="2">
        <f t="shared" si="0"/>
        <v>2.4257357973990419</v>
      </c>
      <c r="G5" s="3">
        <v>2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1</v>
      </c>
      <c r="O5" s="3">
        <v>0</v>
      </c>
      <c r="P5" s="3">
        <v>0</v>
      </c>
      <c r="Q5" s="3">
        <v>0</v>
      </c>
      <c r="R5" s="3">
        <v>65.599999999999994</v>
      </c>
      <c r="S5" s="2">
        <v>8.4</v>
      </c>
      <c r="T5" t="s">
        <v>28</v>
      </c>
      <c r="U5" s="3">
        <v>1</v>
      </c>
      <c r="V5" s="3">
        <v>1</v>
      </c>
      <c r="W5" s="3">
        <v>1</v>
      </c>
      <c r="X5" s="3">
        <v>1</v>
      </c>
      <c r="Y5" s="3">
        <v>0</v>
      </c>
      <c r="Z5" s="3">
        <v>0</v>
      </c>
      <c r="AA5" s="3">
        <v>1</v>
      </c>
    </row>
    <row r="6" spans="1:27">
      <c r="A6" t="s">
        <v>32</v>
      </c>
      <c r="B6" s="3">
        <v>3</v>
      </c>
      <c r="C6" s="3">
        <v>1</v>
      </c>
      <c r="D6" s="1">
        <v>38210</v>
      </c>
      <c r="E6" s="1">
        <v>39082</v>
      </c>
      <c r="F6" s="2">
        <f t="shared" si="0"/>
        <v>2.3874058863791925</v>
      </c>
      <c r="G6" s="3">
        <v>1</v>
      </c>
      <c r="H6" s="3">
        <v>1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1</v>
      </c>
      <c r="O6" s="3">
        <v>0</v>
      </c>
      <c r="P6" s="3">
        <v>0</v>
      </c>
      <c r="Q6" s="3">
        <v>0</v>
      </c>
      <c r="R6" s="3">
        <v>66.5</v>
      </c>
      <c r="S6" s="2">
        <v>8.1</v>
      </c>
      <c r="T6" t="s">
        <v>28</v>
      </c>
      <c r="U6" s="3">
        <v>0</v>
      </c>
      <c r="V6" s="3">
        <v>0</v>
      </c>
      <c r="W6" s="3">
        <v>1</v>
      </c>
      <c r="X6" s="3">
        <v>0</v>
      </c>
      <c r="Y6" s="3">
        <v>1</v>
      </c>
      <c r="Z6" s="3">
        <v>1</v>
      </c>
      <c r="AA6" s="3">
        <v>1</v>
      </c>
    </row>
    <row r="7" spans="1:27">
      <c r="A7" t="s">
        <v>33</v>
      </c>
      <c r="B7" s="3">
        <v>3</v>
      </c>
      <c r="C7" s="3">
        <v>1</v>
      </c>
      <c r="D7" s="1">
        <v>38079</v>
      </c>
      <c r="E7" s="1">
        <v>39082</v>
      </c>
      <c r="F7" s="2">
        <f t="shared" si="0"/>
        <v>2.7460643394934978</v>
      </c>
      <c r="G7" s="3">
        <v>1</v>
      </c>
      <c r="H7" s="3">
        <v>1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66.5</v>
      </c>
      <c r="S7" s="2">
        <v>7.3</v>
      </c>
      <c r="T7" t="s">
        <v>34</v>
      </c>
      <c r="U7" s="3">
        <v>0</v>
      </c>
      <c r="V7" s="3">
        <v>0</v>
      </c>
      <c r="W7" s="3">
        <v>1</v>
      </c>
      <c r="X7" s="3">
        <v>1</v>
      </c>
      <c r="Y7" s="3">
        <v>1</v>
      </c>
      <c r="Z7" s="3">
        <v>1</v>
      </c>
      <c r="AA7" s="3">
        <v>1</v>
      </c>
    </row>
    <row r="8" spans="1:27">
      <c r="A8" t="s">
        <v>35</v>
      </c>
      <c r="B8" s="3">
        <v>1</v>
      </c>
      <c r="C8" s="3">
        <v>1</v>
      </c>
      <c r="D8" s="1">
        <v>38220</v>
      </c>
      <c r="E8" s="1">
        <v>39082</v>
      </c>
      <c r="F8" s="2">
        <f t="shared" si="0"/>
        <v>2.3600273785078714</v>
      </c>
      <c r="G8" s="3">
        <v>2</v>
      </c>
      <c r="H8" s="3">
        <v>0</v>
      </c>
      <c r="I8" s="3">
        <v>1</v>
      </c>
      <c r="J8" s="3">
        <v>0</v>
      </c>
      <c r="K8" s="3">
        <v>0</v>
      </c>
      <c r="L8" s="3">
        <v>0</v>
      </c>
      <c r="M8" s="3">
        <v>0</v>
      </c>
      <c r="N8" s="3">
        <v>1</v>
      </c>
      <c r="O8" s="3">
        <v>0</v>
      </c>
      <c r="P8" s="3">
        <v>1</v>
      </c>
      <c r="Q8" s="3">
        <v>0</v>
      </c>
      <c r="R8" s="3">
        <v>67.7</v>
      </c>
      <c r="S8" s="2">
        <v>8.6</v>
      </c>
      <c r="T8" t="s">
        <v>28</v>
      </c>
      <c r="U8" s="3">
        <v>0</v>
      </c>
      <c r="V8" s="3">
        <v>1</v>
      </c>
      <c r="W8" s="3">
        <v>1</v>
      </c>
      <c r="X8" s="3">
        <v>0</v>
      </c>
      <c r="Y8" s="3">
        <v>1</v>
      </c>
      <c r="Z8" s="3">
        <v>0</v>
      </c>
      <c r="AA8" s="3">
        <v>1</v>
      </c>
    </row>
    <row r="9" spans="1:27">
      <c r="A9" t="s">
        <v>36</v>
      </c>
      <c r="B9" s="3">
        <v>3</v>
      </c>
      <c r="C9" s="3">
        <v>1</v>
      </c>
      <c r="D9" s="1">
        <v>38173</v>
      </c>
      <c r="E9" s="1">
        <v>39082</v>
      </c>
      <c r="F9" s="2">
        <f t="shared" si="0"/>
        <v>2.4887063655030799</v>
      </c>
      <c r="G9" s="3">
        <v>2</v>
      </c>
      <c r="H9" s="3">
        <v>1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1</v>
      </c>
      <c r="Q9" s="3">
        <v>0</v>
      </c>
      <c r="R9" s="3">
        <v>67.8</v>
      </c>
      <c r="S9" s="2">
        <v>7.2</v>
      </c>
      <c r="T9" t="s">
        <v>37</v>
      </c>
      <c r="U9" s="3">
        <v>0</v>
      </c>
      <c r="V9" s="3">
        <v>1</v>
      </c>
      <c r="W9" s="3">
        <v>0</v>
      </c>
      <c r="X9" s="3">
        <v>1</v>
      </c>
      <c r="Y9" s="3">
        <v>1</v>
      </c>
      <c r="Z9" s="3">
        <v>0</v>
      </c>
      <c r="AA9" s="3">
        <v>1</v>
      </c>
    </row>
    <row r="10" spans="1:27">
      <c r="A10" t="s">
        <v>38</v>
      </c>
      <c r="B10" s="3">
        <v>2</v>
      </c>
      <c r="C10" s="3">
        <v>1</v>
      </c>
      <c r="D10" s="1">
        <v>38160</v>
      </c>
      <c r="E10" s="1">
        <v>39082</v>
      </c>
      <c r="F10" s="2">
        <f t="shared" si="0"/>
        <v>2.5242984257357972</v>
      </c>
      <c r="G10" s="3">
        <v>1</v>
      </c>
      <c r="H10" s="3">
        <v>1</v>
      </c>
      <c r="I10" s="3">
        <v>1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67.8</v>
      </c>
      <c r="S10" s="2">
        <v>6.7</v>
      </c>
      <c r="T10" t="s">
        <v>28</v>
      </c>
      <c r="U10" s="3">
        <v>1</v>
      </c>
      <c r="V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</row>
    <row r="11" spans="1:27">
      <c r="A11" t="s">
        <v>39</v>
      </c>
      <c r="B11" s="3">
        <v>3</v>
      </c>
      <c r="C11" s="3">
        <v>1</v>
      </c>
      <c r="D11" s="1">
        <v>37987</v>
      </c>
      <c r="E11" s="1">
        <v>39082</v>
      </c>
      <c r="F11" s="2">
        <f t="shared" si="0"/>
        <v>2.9979466119096507</v>
      </c>
      <c r="G11" s="3">
        <v>2</v>
      </c>
      <c r="H11" s="3">
        <v>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68.099999999999994</v>
      </c>
      <c r="S11" s="2">
        <v>5.9</v>
      </c>
      <c r="T11" t="s">
        <v>40</v>
      </c>
      <c r="U11" s="3">
        <v>0</v>
      </c>
      <c r="V11" s="3">
        <v>0</v>
      </c>
      <c r="W11" s="3">
        <v>1</v>
      </c>
      <c r="X11" s="3">
        <v>1</v>
      </c>
      <c r="Y11" s="3">
        <v>1</v>
      </c>
      <c r="Z11" s="3">
        <v>0</v>
      </c>
      <c r="AA11" s="3">
        <v>1</v>
      </c>
    </row>
    <row r="12" spans="1:27">
      <c r="A12" t="s">
        <v>41</v>
      </c>
      <c r="B12" s="3">
        <v>1</v>
      </c>
      <c r="C12" s="3">
        <v>1</v>
      </c>
      <c r="D12" s="1">
        <v>38153</v>
      </c>
      <c r="E12" s="1">
        <v>39082</v>
      </c>
      <c r="F12" s="2">
        <f t="shared" si="0"/>
        <v>2.5434633812457221</v>
      </c>
      <c r="G12" s="3">
        <v>2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0</v>
      </c>
      <c r="N12" s="3">
        <v>1</v>
      </c>
      <c r="O12" s="3">
        <v>0</v>
      </c>
      <c r="P12" s="3">
        <v>1</v>
      </c>
      <c r="Q12" s="3">
        <v>0</v>
      </c>
      <c r="R12" s="3">
        <v>68.3</v>
      </c>
      <c r="S12" s="2">
        <v>8</v>
      </c>
      <c r="T12" t="s">
        <v>28</v>
      </c>
      <c r="U12" s="3">
        <v>1</v>
      </c>
      <c r="V12" s="3">
        <v>1</v>
      </c>
      <c r="W12" s="3">
        <v>1</v>
      </c>
      <c r="X12" s="3">
        <v>1</v>
      </c>
      <c r="Y12" s="3">
        <v>1</v>
      </c>
      <c r="Z12" s="3">
        <v>0</v>
      </c>
      <c r="AA12" s="3">
        <v>1</v>
      </c>
    </row>
    <row r="13" spans="1:27">
      <c r="A13" t="s">
        <v>42</v>
      </c>
      <c r="B13" s="3">
        <v>3</v>
      </c>
      <c r="C13" s="3">
        <v>1</v>
      </c>
      <c r="D13" s="1">
        <v>38091</v>
      </c>
      <c r="E13" s="1">
        <v>39082</v>
      </c>
      <c r="F13" s="2">
        <f t="shared" si="0"/>
        <v>2.7132101300479126</v>
      </c>
      <c r="G13" s="3">
        <v>1</v>
      </c>
      <c r="H13" s="3">
        <v>1</v>
      </c>
      <c r="I13" s="3">
        <v>0</v>
      </c>
      <c r="J13" s="3">
        <v>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1</v>
      </c>
      <c r="Q13" s="3">
        <v>0</v>
      </c>
      <c r="R13" s="3">
        <v>69.5</v>
      </c>
      <c r="S13" s="2">
        <v>8</v>
      </c>
      <c r="T13" t="s">
        <v>28</v>
      </c>
      <c r="U13" s="3">
        <v>0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</row>
    <row r="14" spans="1:27">
      <c r="A14" t="s">
        <v>43</v>
      </c>
      <c r="B14" s="3">
        <v>2</v>
      </c>
      <c r="C14" s="3">
        <v>1</v>
      </c>
      <c r="D14" s="1">
        <v>38132</v>
      </c>
      <c r="E14" s="1">
        <v>39082</v>
      </c>
      <c r="F14" s="2">
        <f t="shared" si="0"/>
        <v>2.6009582477754964</v>
      </c>
      <c r="G14" s="3">
        <v>1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1</v>
      </c>
      <c r="O14" s="3">
        <v>0</v>
      </c>
      <c r="P14" s="3">
        <v>1</v>
      </c>
      <c r="Q14" s="3">
        <v>0</v>
      </c>
      <c r="R14" s="3">
        <v>70.400000000000006</v>
      </c>
      <c r="S14" s="2">
        <v>8.5</v>
      </c>
      <c r="T14" t="s">
        <v>44</v>
      </c>
      <c r="U14" s="3">
        <v>1</v>
      </c>
      <c r="V14" s="3">
        <v>1</v>
      </c>
      <c r="W14" s="3">
        <v>1</v>
      </c>
      <c r="X14" s="3">
        <v>0</v>
      </c>
      <c r="Y14" s="3">
        <v>0</v>
      </c>
      <c r="Z14" s="3">
        <v>1</v>
      </c>
      <c r="AA14" s="3">
        <v>1</v>
      </c>
    </row>
    <row r="15" spans="1:27">
      <c r="A15" t="s">
        <v>45</v>
      </c>
      <c r="B15" s="3">
        <v>3</v>
      </c>
      <c r="C15" s="3">
        <v>1</v>
      </c>
      <c r="D15" s="1">
        <v>38052</v>
      </c>
      <c r="E15" s="1">
        <v>39082</v>
      </c>
      <c r="F15" s="2">
        <f t="shared" si="0"/>
        <v>2.8199863107460645</v>
      </c>
      <c r="G15" s="3">
        <v>2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71.3</v>
      </c>
      <c r="S15" s="2">
        <v>8.4</v>
      </c>
      <c r="T15" t="s">
        <v>46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  <c r="AA15" s="3">
        <v>1</v>
      </c>
    </row>
    <row r="16" spans="1:27">
      <c r="A16" t="s">
        <v>47</v>
      </c>
      <c r="B16" s="3">
        <v>2</v>
      </c>
      <c r="C16" s="3">
        <v>0</v>
      </c>
      <c r="D16" s="1">
        <v>37810</v>
      </c>
      <c r="E16" s="1">
        <v>39082</v>
      </c>
      <c r="F16" s="2">
        <f t="shared" si="0"/>
        <v>3.482546201232033</v>
      </c>
      <c r="G16" s="3">
        <v>1</v>
      </c>
      <c r="H16" s="3">
        <v>1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71.8</v>
      </c>
      <c r="S16" s="2">
        <v>8.1</v>
      </c>
      <c r="T16" t="s">
        <v>48</v>
      </c>
      <c r="U16" s="3">
        <v>1</v>
      </c>
      <c r="V16" s="3">
        <v>1</v>
      </c>
      <c r="W16" s="3">
        <v>0</v>
      </c>
      <c r="X16" s="3">
        <v>0</v>
      </c>
      <c r="Y16" s="3">
        <v>0</v>
      </c>
      <c r="Z16" s="3">
        <v>1</v>
      </c>
      <c r="AA16" s="3">
        <v>1</v>
      </c>
    </row>
    <row r="17" spans="1:27">
      <c r="A17" t="s">
        <v>49</v>
      </c>
      <c r="B17" s="3">
        <v>3</v>
      </c>
      <c r="C17" s="3">
        <v>1</v>
      </c>
      <c r="D17" s="1">
        <v>38111</v>
      </c>
      <c r="E17" s="1">
        <v>39082</v>
      </c>
      <c r="F17" s="2">
        <f t="shared" si="0"/>
        <v>2.6584531143052703</v>
      </c>
      <c r="G17" s="3">
        <v>2</v>
      </c>
      <c r="H17" s="3">
        <v>1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</v>
      </c>
      <c r="O17" s="3">
        <v>0</v>
      </c>
      <c r="P17" s="3">
        <v>1</v>
      </c>
      <c r="Q17" s="3">
        <v>0</v>
      </c>
      <c r="R17" s="3">
        <v>72.3</v>
      </c>
      <c r="S17" s="2">
        <v>8.1</v>
      </c>
      <c r="T17" t="s">
        <v>50</v>
      </c>
      <c r="U17" s="3">
        <v>0</v>
      </c>
      <c r="V17" s="3">
        <v>1</v>
      </c>
      <c r="W17" s="3">
        <v>1</v>
      </c>
      <c r="X17" s="3">
        <v>0</v>
      </c>
      <c r="Y17" s="3">
        <v>0</v>
      </c>
      <c r="Z17" s="3">
        <v>0</v>
      </c>
      <c r="AA17" s="3">
        <v>1</v>
      </c>
    </row>
    <row r="18" spans="1:27">
      <c r="A18" t="s">
        <v>51</v>
      </c>
      <c r="B18" s="3">
        <v>1</v>
      </c>
      <c r="C18" s="3">
        <v>1</v>
      </c>
      <c r="D18" s="1">
        <v>37971</v>
      </c>
      <c r="E18" s="1">
        <v>39082</v>
      </c>
      <c r="F18" s="2">
        <f t="shared" si="0"/>
        <v>3.0417522245037647</v>
      </c>
      <c r="G18" s="3">
        <v>2</v>
      </c>
      <c r="H18" s="3">
        <v>0</v>
      </c>
      <c r="I18" s="3">
        <v>0</v>
      </c>
      <c r="J18" s="3">
        <v>0</v>
      </c>
      <c r="K18" s="3">
        <v>1</v>
      </c>
      <c r="L18" s="3">
        <v>0</v>
      </c>
      <c r="M18" s="3">
        <v>0</v>
      </c>
      <c r="N18" s="3">
        <v>1</v>
      </c>
      <c r="O18" s="3">
        <v>0</v>
      </c>
      <c r="P18" s="3">
        <v>1</v>
      </c>
      <c r="Q18" s="3">
        <v>0</v>
      </c>
      <c r="R18" s="3">
        <v>74.3</v>
      </c>
      <c r="S18" s="2">
        <v>8.1</v>
      </c>
      <c r="T18" t="s">
        <v>28</v>
      </c>
      <c r="U18" s="3">
        <v>1</v>
      </c>
      <c r="V18" s="3">
        <v>1</v>
      </c>
      <c r="W18" s="3">
        <v>0</v>
      </c>
      <c r="X18" s="3">
        <v>0</v>
      </c>
      <c r="Y18" s="3">
        <v>0</v>
      </c>
      <c r="Z18" s="3">
        <v>0</v>
      </c>
      <c r="AA18" s="3">
        <v>1</v>
      </c>
    </row>
    <row r="19" spans="1:27">
      <c r="A19" t="s">
        <v>52</v>
      </c>
      <c r="B19" s="3">
        <v>1</v>
      </c>
      <c r="C19" s="3">
        <v>1</v>
      </c>
      <c r="D19" s="1">
        <v>38014</v>
      </c>
      <c r="E19" s="1">
        <v>39082</v>
      </c>
      <c r="F19" s="2">
        <f t="shared" si="0"/>
        <v>2.924024640657084</v>
      </c>
      <c r="G19" s="3">
        <v>1</v>
      </c>
      <c r="H19" s="3">
        <v>0</v>
      </c>
      <c r="I19" s="3">
        <v>0</v>
      </c>
      <c r="J19" s="3">
        <v>0</v>
      </c>
      <c r="K19" s="3">
        <v>1</v>
      </c>
      <c r="L19" s="3">
        <v>1</v>
      </c>
      <c r="M19" s="3">
        <v>0</v>
      </c>
      <c r="N19" s="3">
        <v>1</v>
      </c>
      <c r="O19" s="3">
        <v>0</v>
      </c>
      <c r="P19" s="3">
        <v>1</v>
      </c>
      <c r="Q19" s="3">
        <v>0</v>
      </c>
      <c r="R19" s="3">
        <v>74.5</v>
      </c>
      <c r="S19" s="2">
        <v>9.9</v>
      </c>
      <c r="T19" t="s">
        <v>28</v>
      </c>
      <c r="U19" s="3">
        <v>1</v>
      </c>
      <c r="V19" s="3">
        <v>1</v>
      </c>
      <c r="W19" s="3">
        <v>0</v>
      </c>
      <c r="X19" s="3">
        <v>0</v>
      </c>
      <c r="Y19" s="3">
        <v>0</v>
      </c>
      <c r="Z19" s="3">
        <v>1</v>
      </c>
      <c r="AA19" s="3">
        <v>1</v>
      </c>
    </row>
    <row r="20" spans="1:27">
      <c r="A20" t="s">
        <v>53</v>
      </c>
      <c r="B20" s="3">
        <v>1</v>
      </c>
      <c r="C20" s="3">
        <v>1</v>
      </c>
      <c r="D20" s="1">
        <v>38210</v>
      </c>
      <c r="E20" s="1">
        <v>39082</v>
      </c>
      <c r="F20" s="2">
        <f t="shared" si="0"/>
        <v>2.3874058863791925</v>
      </c>
      <c r="G20" s="3">
        <v>2</v>
      </c>
      <c r="H20" s="3">
        <v>1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1</v>
      </c>
      <c r="O20" s="3">
        <v>0</v>
      </c>
      <c r="P20" s="3">
        <v>1</v>
      </c>
      <c r="Q20" s="3">
        <v>0</v>
      </c>
      <c r="R20" s="3">
        <v>74.5</v>
      </c>
      <c r="S20" s="2">
        <v>8.9</v>
      </c>
      <c r="T20" t="s">
        <v>28</v>
      </c>
      <c r="U20" s="3">
        <v>1</v>
      </c>
      <c r="V20" s="3">
        <v>1</v>
      </c>
      <c r="W20" s="3">
        <v>0</v>
      </c>
      <c r="X20" s="3">
        <v>0</v>
      </c>
      <c r="Y20" s="3">
        <v>0</v>
      </c>
      <c r="Z20" s="3">
        <v>0</v>
      </c>
      <c r="AA20" s="3">
        <v>1</v>
      </c>
    </row>
    <row r="21" spans="1:27">
      <c r="A21" t="s">
        <v>54</v>
      </c>
      <c r="B21" s="3">
        <v>1</v>
      </c>
      <c r="C21" s="3">
        <v>0</v>
      </c>
      <c r="D21" s="1">
        <v>37817</v>
      </c>
      <c r="E21" s="1">
        <v>39082</v>
      </c>
      <c r="F21" s="2">
        <f t="shared" si="0"/>
        <v>3.463381245722108</v>
      </c>
      <c r="G21" s="3">
        <v>1</v>
      </c>
      <c r="H21" s="3">
        <v>1</v>
      </c>
      <c r="I21" s="3">
        <v>1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74.7</v>
      </c>
      <c r="S21" s="2">
        <v>8.9</v>
      </c>
      <c r="T21" t="s">
        <v>28</v>
      </c>
      <c r="U21" s="3">
        <v>1</v>
      </c>
      <c r="V21" s="3">
        <v>1</v>
      </c>
      <c r="W21" s="3">
        <v>1</v>
      </c>
      <c r="X21" s="3">
        <v>1</v>
      </c>
      <c r="Y21" s="3">
        <v>0</v>
      </c>
      <c r="Z21" s="3">
        <v>1</v>
      </c>
      <c r="AA21" s="3">
        <v>1</v>
      </c>
    </row>
    <row r="22" spans="1:27">
      <c r="A22" t="s">
        <v>55</v>
      </c>
      <c r="B22" s="3">
        <v>1</v>
      </c>
      <c r="C22" s="3">
        <v>1</v>
      </c>
      <c r="D22" s="1">
        <v>38001</v>
      </c>
      <c r="E22" s="1">
        <v>39082</v>
      </c>
      <c r="F22" s="2">
        <f t="shared" si="0"/>
        <v>2.9596167008898013</v>
      </c>
      <c r="G22" s="3">
        <v>1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1</v>
      </c>
      <c r="Q22" s="3">
        <v>0</v>
      </c>
      <c r="R22" s="3">
        <v>75.5</v>
      </c>
      <c r="S22" s="2">
        <v>9.9</v>
      </c>
      <c r="T22" t="s">
        <v>28</v>
      </c>
      <c r="U22" s="3">
        <v>1</v>
      </c>
      <c r="V22" s="3">
        <v>1</v>
      </c>
      <c r="W22" s="3">
        <v>0</v>
      </c>
      <c r="X22" s="3">
        <v>0</v>
      </c>
      <c r="Y22" s="3">
        <v>0</v>
      </c>
      <c r="Z22" s="3">
        <v>1</v>
      </c>
      <c r="AA22" s="3">
        <v>1</v>
      </c>
    </row>
    <row r="23" spans="1:27">
      <c r="A23" t="s">
        <v>56</v>
      </c>
      <c r="B23" s="3">
        <v>2</v>
      </c>
      <c r="C23" s="3">
        <v>1</v>
      </c>
      <c r="D23" s="1">
        <v>37878</v>
      </c>
      <c r="E23" s="1">
        <v>39082</v>
      </c>
      <c r="F23" s="2">
        <f t="shared" si="0"/>
        <v>3.2963723477070501</v>
      </c>
      <c r="G23" s="3">
        <v>1</v>
      </c>
      <c r="H23" s="3">
        <v>1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76.400000000000006</v>
      </c>
      <c r="S23" s="2">
        <v>9.1</v>
      </c>
      <c r="T23" t="s">
        <v>28</v>
      </c>
      <c r="U23" s="3">
        <v>1</v>
      </c>
      <c r="V23" s="3">
        <v>1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</row>
    <row r="24" spans="1:27">
      <c r="A24" t="s">
        <v>57</v>
      </c>
      <c r="B24" s="3">
        <v>3</v>
      </c>
      <c r="C24" s="3">
        <v>1</v>
      </c>
      <c r="D24" s="1">
        <v>38292</v>
      </c>
      <c r="E24" s="1">
        <v>39082</v>
      </c>
      <c r="F24" s="2">
        <f t="shared" si="0"/>
        <v>2.1629021218343598</v>
      </c>
      <c r="G24" s="3">
        <v>1</v>
      </c>
      <c r="H24" s="3">
        <v>1</v>
      </c>
      <c r="I24" s="3">
        <v>0</v>
      </c>
      <c r="J24" s="3">
        <v>1</v>
      </c>
      <c r="K24" s="3">
        <v>0</v>
      </c>
      <c r="L24" s="3">
        <v>0</v>
      </c>
      <c r="M24" s="3">
        <v>0</v>
      </c>
      <c r="N24" s="3">
        <v>1</v>
      </c>
      <c r="O24" s="3">
        <v>0</v>
      </c>
      <c r="P24" s="3">
        <v>0</v>
      </c>
      <c r="Q24" s="3">
        <v>0</v>
      </c>
      <c r="R24" s="3">
        <v>77.5</v>
      </c>
      <c r="S24" s="2">
        <v>9.6</v>
      </c>
      <c r="T24" t="s">
        <v>40</v>
      </c>
      <c r="U24" s="3">
        <v>1</v>
      </c>
      <c r="V24" s="3">
        <v>0</v>
      </c>
      <c r="W24" s="3">
        <v>1</v>
      </c>
      <c r="X24" s="3">
        <v>1</v>
      </c>
      <c r="Y24" s="3">
        <v>0</v>
      </c>
      <c r="Z24" s="3">
        <v>1</v>
      </c>
      <c r="AA24" s="3">
        <v>1</v>
      </c>
    </row>
    <row r="25" spans="1:27">
      <c r="A25" t="s">
        <v>58</v>
      </c>
      <c r="B25" s="3">
        <v>2</v>
      </c>
      <c r="C25" s="3">
        <v>0</v>
      </c>
      <c r="D25" s="1">
        <v>37694</v>
      </c>
      <c r="E25" s="1">
        <v>39082</v>
      </c>
      <c r="F25" s="2">
        <f t="shared" si="0"/>
        <v>3.8001368925393568</v>
      </c>
      <c r="G25" s="3">
        <v>1</v>
      </c>
      <c r="H25" s="3">
        <v>1</v>
      </c>
      <c r="I25" s="3">
        <v>0</v>
      </c>
      <c r="J25" s="3">
        <v>1</v>
      </c>
      <c r="K25" s="3">
        <v>1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77.7</v>
      </c>
      <c r="S25" s="2">
        <v>7.4</v>
      </c>
      <c r="T25" t="s">
        <v>59</v>
      </c>
      <c r="U25" s="3">
        <v>1</v>
      </c>
      <c r="V25" s="3">
        <v>1</v>
      </c>
      <c r="W25" s="3">
        <v>1</v>
      </c>
      <c r="X25" s="3">
        <v>1</v>
      </c>
      <c r="Y25" s="3">
        <v>0</v>
      </c>
      <c r="Z25" s="3">
        <v>1</v>
      </c>
      <c r="AA25" s="3">
        <v>1</v>
      </c>
    </row>
    <row r="26" spans="1:27">
      <c r="A26" t="s">
        <v>60</v>
      </c>
      <c r="B26" s="3">
        <v>3</v>
      </c>
      <c r="C26" s="3">
        <v>1</v>
      </c>
      <c r="D26" s="1">
        <v>38283</v>
      </c>
      <c r="E26" s="1">
        <v>39082</v>
      </c>
      <c r="F26" s="2">
        <f t="shared" si="0"/>
        <v>2.1875427789185489</v>
      </c>
      <c r="G26" s="3">
        <v>2</v>
      </c>
      <c r="H26" s="3">
        <v>1</v>
      </c>
      <c r="I26" s="3">
        <v>0</v>
      </c>
      <c r="J26" s="3">
        <v>1</v>
      </c>
      <c r="K26" s="3">
        <v>0</v>
      </c>
      <c r="L26" s="3">
        <v>0</v>
      </c>
      <c r="M26" s="3">
        <v>0</v>
      </c>
      <c r="N26" s="3">
        <v>1</v>
      </c>
      <c r="O26" s="3">
        <v>0</v>
      </c>
      <c r="P26" s="3">
        <v>1</v>
      </c>
      <c r="Q26" s="3">
        <v>0</v>
      </c>
      <c r="R26" s="3">
        <v>79</v>
      </c>
      <c r="S26" s="2">
        <v>9.6</v>
      </c>
      <c r="T26" t="s">
        <v>28</v>
      </c>
      <c r="U26" s="3">
        <v>1</v>
      </c>
      <c r="V26" s="3">
        <v>1</v>
      </c>
      <c r="W26" s="3">
        <v>1</v>
      </c>
      <c r="X26" s="3">
        <v>0</v>
      </c>
      <c r="Y26" s="3">
        <v>0</v>
      </c>
      <c r="Z26" s="3">
        <v>0</v>
      </c>
      <c r="AA26" s="3">
        <v>1</v>
      </c>
    </row>
    <row r="27" spans="1:27">
      <c r="A27" t="s">
        <v>61</v>
      </c>
      <c r="B27" s="3">
        <v>2</v>
      </c>
      <c r="C27" s="3">
        <v>1</v>
      </c>
      <c r="D27" s="1">
        <v>37860</v>
      </c>
      <c r="E27" s="1">
        <v>39082</v>
      </c>
      <c r="F27" s="2">
        <f t="shared" si="0"/>
        <v>3.3456536618754278</v>
      </c>
      <c r="G27" s="3">
        <v>1</v>
      </c>
      <c r="H27" s="3">
        <v>1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80.099999999999994</v>
      </c>
      <c r="S27" s="2">
        <v>8.6999999999999993</v>
      </c>
      <c r="T27" t="s">
        <v>28</v>
      </c>
      <c r="U27" s="3">
        <v>1</v>
      </c>
      <c r="V27" s="3">
        <v>1</v>
      </c>
      <c r="W27" s="3">
        <v>0</v>
      </c>
      <c r="X27" s="3">
        <v>1</v>
      </c>
      <c r="Y27" s="3">
        <v>0</v>
      </c>
      <c r="Z27" s="3">
        <v>1</v>
      </c>
      <c r="AA27" s="3">
        <v>1</v>
      </c>
    </row>
    <row r="28" spans="1:27">
      <c r="A28" t="s">
        <v>62</v>
      </c>
      <c r="B28" s="3">
        <v>2</v>
      </c>
      <c r="C28" s="3">
        <v>0</v>
      </c>
      <c r="D28" s="1">
        <v>37417</v>
      </c>
      <c r="E28" s="1">
        <v>39082</v>
      </c>
      <c r="F28" s="2">
        <f t="shared" si="0"/>
        <v>4.5585215605749489</v>
      </c>
      <c r="G28" s="3">
        <v>2</v>
      </c>
      <c r="H28" s="3">
        <v>0</v>
      </c>
      <c r="I28" s="3">
        <v>1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83</v>
      </c>
      <c r="S28" s="2">
        <v>9.8000000000000007</v>
      </c>
      <c r="T28" t="s">
        <v>63</v>
      </c>
      <c r="U28" s="3">
        <v>1</v>
      </c>
      <c r="V28" s="3">
        <v>1</v>
      </c>
      <c r="W28" s="3">
        <v>1</v>
      </c>
      <c r="X28" s="3">
        <v>1</v>
      </c>
      <c r="Y28" s="3">
        <v>1</v>
      </c>
      <c r="Z28" s="3">
        <v>0</v>
      </c>
      <c r="AA28" s="3">
        <v>1</v>
      </c>
    </row>
    <row r="29" spans="1:27">
      <c r="A29" s="19" t="s">
        <v>64</v>
      </c>
      <c r="B29" s="3">
        <v>2</v>
      </c>
      <c r="C29" s="3">
        <v>0</v>
      </c>
      <c r="D29" s="1">
        <v>36709</v>
      </c>
      <c r="E29" s="1">
        <v>39082</v>
      </c>
      <c r="F29" s="2">
        <f t="shared" si="0"/>
        <v>6.4969199178644761</v>
      </c>
      <c r="G29" s="3">
        <v>1</v>
      </c>
      <c r="H29" s="3">
        <v>1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1</v>
      </c>
      <c r="O29" s="3">
        <v>0</v>
      </c>
      <c r="P29" s="3">
        <v>0</v>
      </c>
      <c r="Q29" s="3">
        <v>0</v>
      </c>
      <c r="R29" s="3">
        <v>85</v>
      </c>
      <c r="S29" s="2">
        <v>11.1</v>
      </c>
      <c r="T29" t="s">
        <v>28</v>
      </c>
      <c r="U29" s="3">
        <v>0</v>
      </c>
      <c r="V29" s="3">
        <v>1</v>
      </c>
      <c r="W29" s="3">
        <v>1</v>
      </c>
      <c r="X29" s="3">
        <v>1</v>
      </c>
      <c r="Y29" s="3">
        <v>0</v>
      </c>
      <c r="Z29" s="3">
        <v>1</v>
      </c>
      <c r="AA29" s="3">
        <v>1</v>
      </c>
    </row>
    <row r="30" spans="1:27">
      <c r="A30" t="s">
        <v>65</v>
      </c>
      <c r="B30" s="3">
        <v>2</v>
      </c>
      <c r="C30" s="3">
        <v>0</v>
      </c>
      <c r="D30" s="1">
        <v>36937</v>
      </c>
      <c r="E30" s="1">
        <v>39082</v>
      </c>
      <c r="F30" s="2">
        <f t="shared" si="0"/>
        <v>5.8726899383983575</v>
      </c>
      <c r="G30" s="3">
        <v>2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85.3</v>
      </c>
      <c r="S30" s="2">
        <v>11.1</v>
      </c>
      <c r="T30" t="s">
        <v>66</v>
      </c>
      <c r="U30" s="3">
        <v>0</v>
      </c>
      <c r="V30" s="3">
        <v>1</v>
      </c>
      <c r="W30" s="3">
        <v>1</v>
      </c>
      <c r="X30" s="3">
        <v>0</v>
      </c>
      <c r="Y30" s="3">
        <v>0</v>
      </c>
      <c r="Z30" s="3">
        <v>0</v>
      </c>
      <c r="AA30" s="3">
        <v>1</v>
      </c>
    </row>
    <row r="31" spans="1:27">
      <c r="A31" t="s">
        <v>67</v>
      </c>
      <c r="B31" s="3">
        <v>2</v>
      </c>
      <c r="C31" s="3">
        <v>0</v>
      </c>
      <c r="D31" s="1">
        <v>36965</v>
      </c>
      <c r="E31" s="1">
        <v>39082</v>
      </c>
      <c r="F31" s="2">
        <f t="shared" si="0"/>
        <v>5.7960301163586587</v>
      </c>
      <c r="G31" s="3">
        <v>1</v>
      </c>
      <c r="H31" s="3">
        <v>1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1</v>
      </c>
      <c r="O31" s="3">
        <v>0</v>
      </c>
      <c r="P31" s="3">
        <v>1</v>
      </c>
      <c r="Q31" s="3">
        <v>0</v>
      </c>
      <c r="R31" s="3">
        <v>89.1</v>
      </c>
      <c r="S31" s="2">
        <v>12.8</v>
      </c>
      <c r="T31" t="s">
        <v>28</v>
      </c>
      <c r="U31" s="3">
        <v>1</v>
      </c>
      <c r="V31" s="3">
        <v>1</v>
      </c>
      <c r="W31" s="3">
        <v>0</v>
      </c>
      <c r="X31" s="3">
        <v>0</v>
      </c>
      <c r="Y31" s="3">
        <v>0</v>
      </c>
      <c r="Z31" s="3">
        <v>1</v>
      </c>
      <c r="AA31" s="3">
        <v>1</v>
      </c>
    </row>
    <row r="32" spans="1:27">
      <c r="A32" t="s">
        <v>68</v>
      </c>
      <c r="B32" s="3">
        <v>2</v>
      </c>
      <c r="C32" s="3">
        <v>0</v>
      </c>
      <c r="D32" s="1">
        <v>37318</v>
      </c>
      <c r="E32" s="1">
        <v>39082</v>
      </c>
      <c r="F32" s="2">
        <f t="shared" si="0"/>
        <v>4.8295687885010263</v>
      </c>
      <c r="G32" s="3">
        <v>2</v>
      </c>
      <c r="H32" s="3">
        <v>1</v>
      </c>
      <c r="I32" s="3">
        <v>1</v>
      </c>
      <c r="J32" s="3">
        <v>0</v>
      </c>
      <c r="K32" s="3">
        <v>0</v>
      </c>
      <c r="L32" s="3">
        <v>0</v>
      </c>
      <c r="M32" s="3">
        <v>0</v>
      </c>
      <c r="N32" s="3">
        <v>1</v>
      </c>
      <c r="O32" s="3">
        <v>0</v>
      </c>
      <c r="P32" s="3">
        <v>0</v>
      </c>
      <c r="Q32" s="3">
        <v>0</v>
      </c>
      <c r="R32" s="3">
        <v>89.6</v>
      </c>
      <c r="S32" s="2">
        <v>11.6</v>
      </c>
      <c r="T32" t="s">
        <v>69</v>
      </c>
      <c r="U32" s="3">
        <v>1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  <c r="AA32" s="3">
        <v>1</v>
      </c>
    </row>
    <row r="33" spans="1:27">
      <c r="A33" t="s">
        <v>70</v>
      </c>
      <c r="B33" s="3">
        <v>2</v>
      </c>
      <c r="C33" s="3">
        <v>0</v>
      </c>
      <c r="D33" s="1">
        <v>36851</v>
      </c>
      <c r="E33" s="1">
        <v>39082</v>
      </c>
      <c r="F33" s="2">
        <f t="shared" si="0"/>
        <v>6.108145106091718</v>
      </c>
      <c r="G33" s="3">
        <v>1</v>
      </c>
      <c r="H33" s="3">
        <v>1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90.8</v>
      </c>
      <c r="S33" s="2">
        <v>14.1</v>
      </c>
      <c r="T33" t="s">
        <v>66</v>
      </c>
      <c r="U33" s="3">
        <v>1</v>
      </c>
      <c r="V33" s="3">
        <v>1</v>
      </c>
      <c r="W33" s="3">
        <v>0</v>
      </c>
      <c r="X33" s="3">
        <v>0</v>
      </c>
      <c r="Y33" s="3">
        <v>0</v>
      </c>
      <c r="Z33" s="3">
        <v>1</v>
      </c>
      <c r="AA33" s="3">
        <v>1</v>
      </c>
    </row>
    <row r="34" spans="1:27">
      <c r="A34" t="s">
        <v>71</v>
      </c>
      <c r="B34" s="3">
        <v>3</v>
      </c>
      <c r="C34" s="3">
        <v>0</v>
      </c>
      <c r="D34" s="1">
        <v>36621</v>
      </c>
      <c r="E34" s="1">
        <v>39082</v>
      </c>
      <c r="F34" s="2">
        <f t="shared" si="0"/>
        <v>6.7378507871321016</v>
      </c>
      <c r="G34" s="3">
        <v>2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1</v>
      </c>
      <c r="Q34" s="3">
        <v>0</v>
      </c>
      <c r="R34" s="3">
        <v>92.4</v>
      </c>
      <c r="S34" s="2">
        <v>11.3</v>
      </c>
      <c r="T34" t="s">
        <v>28</v>
      </c>
      <c r="U34" s="3">
        <v>0</v>
      </c>
      <c r="V34" s="3">
        <v>1</v>
      </c>
      <c r="W34" s="3">
        <v>0</v>
      </c>
      <c r="X34" s="3">
        <v>0</v>
      </c>
      <c r="Y34" s="3">
        <v>0</v>
      </c>
      <c r="Z34" s="3">
        <v>0</v>
      </c>
      <c r="AA34" s="3">
        <v>1</v>
      </c>
    </row>
    <row r="35" spans="1:27">
      <c r="A35" t="s">
        <v>72</v>
      </c>
      <c r="B35" s="3">
        <v>3</v>
      </c>
      <c r="C35" s="3">
        <v>0</v>
      </c>
      <c r="D35" s="1">
        <v>37318</v>
      </c>
      <c r="E35" s="1">
        <v>39082</v>
      </c>
      <c r="F35" s="2">
        <f t="shared" si="0"/>
        <v>4.8295687885010263</v>
      </c>
      <c r="G35" s="3">
        <v>2</v>
      </c>
      <c r="H35" s="3">
        <v>0</v>
      </c>
      <c r="I35" s="3">
        <v>0</v>
      </c>
      <c r="J35" s="3">
        <v>1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92.4</v>
      </c>
      <c r="S35" s="2">
        <v>12.2</v>
      </c>
      <c r="T35" t="s">
        <v>28</v>
      </c>
      <c r="U35" s="3">
        <v>1</v>
      </c>
      <c r="V35" s="3">
        <v>1</v>
      </c>
      <c r="W35" s="3">
        <v>1</v>
      </c>
      <c r="X35" s="3">
        <v>0</v>
      </c>
      <c r="Y35" s="3">
        <v>0</v>
      </c>
      <c r="Z35" s="3">
        <v>0</v>
      </c>
      <c r="AA35" s="3">
        <v>1</v>
      </c>
    </row>
    <row r="36" spans="1:27">
      <c r="A36" t="s">
        <v>73</v>
      </c>
      <c r="B36" s="3">
        <v>3</v>
      </c>
      <c r="C36" s="3">
        <v>0</v>
      </c>
      <c r="D36" s="1">
        <v>38312</v>
      </c>
      <c r="E36" s="1">
        <v>39082</v>
      </c>
      <c r="F36" s="2">
        <f t="shared" si="0"/>
        <v>2.108145106091718</v>
      </c>
      <c r="G36" s="3">
        <v>2</v>
      </c>
      <c r="H36" s="3">
        <v>1</v>
      </c>
      <c r="I36" s="3">
        <v>0</v>
      </c>
      <c r="J36" s="3">
        <v>1</v>
      </c>
      <c r="K36" s="3">
        <v>0</v>
      </c>
      <c r="L36" s="3">
        <v>0</v>
      </c>
      <c r="M36" s="3">
        <v>0</v>
      </c>
      <c r="N36" s="3">
        <v>1</v>
      </c>
      <c r="O36" s="3">
        <v>0</v>
      </c>
      <c r="P36" s="3">
        <v>1</v>
      </c>
      <c r="Q36" s="3">
        <v>0</v>
      </c>
      <c r="R36" s="3">
        <v>92.7</v>
      </c>
      <c r="S36" s="2">
        <v>12.3</v>
      </c>
      <c r="T36" t="s">
        <v>28</v>
      </c>
      <c r="U36" s="3">
        <v>0</v>
      </c>
      <c r="V36" s="3">
        <v>1</v>
      </c>
      <c r="W36" s="3">
        <v>0</v>
      </c>
      <c r="X36" s="3">
        <v>0</v>
      </c>
      <c r="Y36" s="3">
        <v>0</v>
      </c>
      <c r="Z36" s="3">
        <v>0</v>
      </c>
      <c r="AA36" s="3">
        <v>1</v>
      </c>
    </row>
    <row r="37" spans="1:27">
      <c r="A37" t="s">
        <v>74</v>
      </c>
      <c r="B37" s="3">
        <v>3</v>
      </c>
      <c r="C37" s="3">
        <v>0</v>
      </c>
      <c r="D37" s="1">
        <v>36958</v>
      </c>
      <c r="E37" s="1">
        <v>39082</v>
      </c>
      <c r="F37" s="2">
        <f t="shared" si="0"/>
        <v>5.8151950718685832</v>
      </c>
      <c r="G37" s="3">
        <v>1</v>
      </c>
      <c r="H37" s="3">
        <v>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</v>
      </c>
      <c r="O37" s="3">
        <v>0</v>
      </c>
      <c r="P37" s="3">
        <v>0</v>
      </c>
      <c r="Q37" s="3">
        <v>0</v>
      </c>
      <c r="R37" s="3">
        <v>93.3</v>
      </c>
      <c r="S37" s="2">
        <v>12.3</v>
      </c>
      <c r="T37" t="s">
        <v>28</v>
      </c>
      <c r="U37" s="3">
        <v>1</v>
      </c>
      <c r="V37" s="3">
        <v>1</v>
      </c>
      <c r="W37" s="3">
        <v>1</v>
      </c>
      <c r="X37" s="3">
        <v>1</v>
      </c>
      <c r="Y37" s="3">
        <v>0</v>
      </c>
      <c r="Z37" s="3">
        <v>1</v>
      </c>
      <c r="AA37" s="3">
        <v>1</v>
      </c>
    </row>
    <row r="38" spans="1:27">
      <c r="A38" t="s">
        <v>75</v>
      </c>
      <c r="B38" s="3">
        <v>2</v>
      </c>
      <c r="C38" s="3">
        <v>0</v>
      </c>
      <c r="D38" s="1">
        <v>37087</v>
      </c>
      <c r="E38" s="1">
        <v>39082</v>
      </c>
      <c r="F38" s="2">
        <f t="shared" si="0"/>
        <v>5.462012320328542</v>
      </c>
      <c r="G38" s="3">
        <v>1</v>
      </c>
      <c r="H38" s="3">
        <v>1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1</v>
      </c>
      <c r="O38" s="3">
        <v>0</v>
      </c>
      <c r="P38" s="3">
        <v>1</v>
      </c>
      <c r="Q38" s="3">
        <v>0</v>
      </c>
      <c r="R38" s="3">
        <v>93.4</v>
      </c>
      <c r="S38" s="2">
        <v>13.2</v>
      </c>
      <c r="T38" t="s">
        <v>28</v>
      </c>
      <c r="U38" s="3">
        <v>1</v>
      </c>
      <c r="V38" s="3">
        <v>1</v>
      </c>
      <c r="W38" s="3">
        <v>1</v>
      </c>
      <c r="X38" s="3">
        <v>1</v>
      </c>
      <c r="Y38" s="3">
        <v>1</v>
      </c>
      <c r="Z38" s="3">
        <v>1</v>
      </c>
      <c r="AA38" s="3">
        <v>1</v>
      </c>
    </row>
    <row r="39" spans="1:27">
      <c r="A39" t="s">
        <v>76</v>
      </c>
      <c r="B39" s="3">
        <v>1</v>
      </c>
      <c r="C39" s="3">
        <v>1</v>
      </c>
      <c r="D39" s="1">
        <v>36821</v>
      </c>
      <c r="E39" s="1">
        <v>39082</v>
      </c>
      <c r="F39" s="2">
        <f t="shared" si="0"/>
        <v>6.1902806297056809</v>
      </c>
      <c r="G39" s="3">
        <v>2</v>
      </c>
      <c r="H39" s="3">
        <v>0</v>
      </c>
      <c r="I39" s="3">
        <v>0</v>
      </c>
      <c r="J39" s="3">
        <v>1</v>
      </c>
      <c r="K39" s="3">
        <v>0</v>
      </c>
      <c r="L39" s="3">
        <v>0</v>
      </c>
      <c r="M39" s="3">
        <v>0</v>
      </c>
      <c r="N39" s="3">
        <v>1</v>
      </c>
      <c r="O39" s="3">
        <v>0</v>
      </c>
      <c r="P39" s="3">
        <v>1</v>
      </c>
      <c r="Q39" s="3">
        <v>0</v>
      </c>
      <c r="R39" s="3">
        <v>94.1</v>
      </c>
      <c r="S39" s="2">
        <v>13</v>
      </c>
      <c r="T39" t="s">
        <v>28</v>
      </c>
      <c r="U39" s="3">
        <v>1</v>
      </c>
      <c r="V39" s="3">
        <v>1</v>
      </c>
      <c r="W39" s="3">
        <v>1</v>
      </c>
      <c r="X39" s="3">
        <v>0</v>
      </c>
      <c r="Y39" s="3">
        <v>0</v>
      </c>
      <c r="Z39" s="3">
        <v>0</v>
      </c>
      <c r="AA39" s="3">
        <v>1</v>
      </c>
    </row>
    <row r="40" spans="1:27">
      <c r="A40" t="s">
        <v>77</v>
      </c>
      <c r="B40" s="3">
        <v>1</v>
      </c>
      <c r="C40" s="3">
        <v>0</v>
      </c>
      <c r="D40" s="1">
        <v>36757</v>
      </c>
      <c r="E40" s="1">
        <v>39082</v>
      </c>
      <c r="F40" s="2">
        <f t="shared" si="0"/>
        <v>6.3655030800821359</v>
      </c>
      <c r="G40" s="3">
        <v>2</v>
      </c>
      <c r="H40" s="3">
        <v>1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1</v>
      </c>
      <c r="O40" s="3">
        <v>0</v>
      </c>
      <c r="P40" s="3">
        <v>0</v>
      </c>
      <c r="Q40" s="3">
        <v>0</v>
      </c>
      <c r="R40" s="3">
        <v>95.1</v>
      </c>
      <c r="S40" s="2">
        <v>11.7</v>
      </c>
      <c r="T40" t="s">
        <v>28</v>
      </c>
      <c r="U40" s="3">
        <v>1</v>
      </c>
      <c r="V40" s="3">
        <v>1</v>
      </c>
      <c r="W40" s="3">
        <v>1</v>
      </c>
      <c r="X40" s="3">
        <v>1</v>
      </c>
      <c r="Y40" s="3">
        <v>0</v>
      </c>
      <c r="Z40" s="3">
        <v>0</v>
      </c>
      <c r="AA40" s="3">
        <v>1</v>
      </c>
    </row>
    <row r="41" spans="1:27">
      <c r="A41" t="s">
        <v>78</v>
      </c>
      <c r="B41" s="3">
        <v>2</v>
      </c>
      <c r="C41" s="3">
        <v>0</v>
      </c>
      <c r="D41" s="1">
        <v>36896</v>
      </c>
      <c r="E41" s="1">
        <v>39082</v>
      </c>
      <c r="F41" s="2">
        <f t="shared" si="0"/>
        <v>5.9849418206707732</v>
      </c>
      <c r="G41" s="3">
        <v>1</v>
      </c>
      <c r="H41" s="3">
        <v>1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1</v>
      </c>
      <c r="O41" s="3">
        <v>0</v>
      </c>
      <c r="P41" s="3">
        <v>1</v>
      </c>
      <c r="Q41" s="3">
        <v>0</v>
      </c>
      <c r="R41" s="3">
        <v>95.9</v>
      </c>
      <c r="S41" s="2">
        <v>12.2</v>
      </c>
      <c r="T41" t="s">
        <v>44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1</v>
      </c>
      <c r="AA41" s="3">
        <v>1</v>
      </c>
    </row>
    <row r="42" spans="1:27">
      <c r="A42" t="s">
        <v>79</v>
      </c>
      <c r="B42" s="3">
        <v>1</v>
      </c>
      <c r="C42" s="3">
        <v>0</v>
      </c>
      <c r="D42" s="1">
        <v>36770</v>
      </c>
      <c r="E42" s="1">
        <v>39082</v>
      </c>
      <c r="F42" s="2">
        <f t="shared" si="0"/>
        <v>6.3299110198494182</v>
      </c>
      <c r="G42" s="3">
        <v>1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1</v>
      </c>
      <c r="O42" s="3">
        <v>0</v>
      </c>
      <c r="P42" s="3">
        <v>0</v>
      </c>
      <c r="Q42" s="3">
        <v>0</v>
      </c>
      <c r="R42" s="3">
        <v>96</v>
      </c>
      <c r="S42" s="2">
        <v>12.9</v>
      </c>
      <c r="T42" t="s">
        <v>28</v>
      </c>
      <c r="U42" s="3">
        <v>1</v>
      </c>
      <c r="V42" s="3">
        <v>1</v>
      </c>
      <c r="W42" s="3">
        <v>1</v>
      </c>
      <c r="X42" s="3">
        <v>1</v>
      </c>
      <c r="Y42" s="3">
        <v>0</v>
      </c>
      <c r="Z42" s="3">
        <v>1</v>
      </c>
      <c r="AA42" s="3">
        <v>1</v>
      </c>
    </row>
    <row r="43" spans="1:27">
      <c r="A43" t="s">
        <v>80</v>
      </c>
      <c r="B43" s="3">
        <v>2</v>
      </c>
      <c r="C43" s="3">
        <v>0</v>
      </c>
      <c r="D43" s="1">
        <v>36661</v>
      </c>
      <c r="E43" s="1">
        <v>39082</v>
      </c>
      <c r="F43" s="2">
        <f t="shared" si="0"/>
        <v>6.6283367556468171</v>
      </c>
      <c r="G43" s="3">
        <v>2</v>
      </c>
      <c r="H43" s="3">
        <v>1</v>
      </c>
      <c r="I43" s="3">
        <v>1</v>
      </c>
      <c r="J43" s="3">
        <v>0</v>
      </c>
      <c r="K43" s="3">
        <v>0</v>
      </c>
      <c r="L43" s="3">
        <v>1</v>
      </c>
      <c r="M43" s="3">
        <v>0</v>
      </c>
      <c r="N43" s="3">
        <v>1</v>
      </c>
      <c r="O43" s="3">
        <v>0</v>
      </c>
      <c r="P43" s="3">
        <v>0</v>
      </c>
      <c r="Q43" s="3">
        <v>0</v>
      </c>
      <c r="R43" s="3">
        <v>96.4</v>
      </c>
      <c r="S43" s="2">
        <v>13.8</v>
      </c>
      <c r="T43" t="s">
        <v>28</v>
      </c>
      <c r="U43" s="3">
        <v>1</v>
      </c>
      <c r="V43" s="3">
        <v>1</v>
      </c>
      <c r="W43" s="3">
        <v>0</v>
      </c>
      <c r="X43" s="3">
        <v>0</v>
      </c>
      <c r="Y43" s="3">
        <v>0</v>
      </c>
      <c r="Z43" s="3">
        <v>0</v>
      </c>
      <c r="AA43" s="3">
        <v>1</v>
      </c>
    </row>
    <row r="44" spans="1:27">
      <c r="A44" t="s">
        <v>81</v>
      </c>
      <c r="B44" s="3">
        <v>3</v>
      </c>
      <c r="C44" s="3">
        <v>0</v>
      </c>
      <c r="D44" s="1">
        <v>38273</v>
      </c>
      <c r="E44" s="1">
        <v>39082</v>
      </c>
      <c r="F44" s="2">
        <f t="shared" si="0"/>
        <v>2.21492128678987</v>
      </c>
      <c r="G44" s="3">
        <v>2</v>
      </c>
      <c r="H44" s="3">
        <v>1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101.2</v>
      </c>
      <c r="S44" s="2">
        <v>17.3</v>
      </c>
      <c r="T44" t="s">
        <v>82</v>
      </c>
      <c r="U44" s="3">
        <v>0</v>
      </c>
      <c r="V44" s="3">
        <v>1</v>
      </c>
      <c r="W44" s="3">
        <v>0</v>
      </c>
      <c r="X44" s="3">
        <v>0</v>
      </c>
      <c r="Y44" s="3">
        <v>1</v>
      </c>
      <c r="Z44" s="3">
        <v>0</v>
      </c>
      <c r="AA44" s="3">
        <v>1</v>
      </c>
    </row>
    <row r="45" spans="1:27">
      <c r="A45" t="s">
        <v>83</v>
      </c>
      <c r="B45" s="3">
        <v>3</v>
      </c>
      <c r="C45" s="3">
        <v>0</v>
      </c>
      <c r="D45" s="1">
        <v>38336</v>
      </c>
      <c r="E45" s="1">
        <v>39082</v>
      </c>
      <c r="F45" s="2">
        <f t="shared" si="0"/>
        <v>2.0424366872005475</v>
      </c>
      <c r="G45" s="3">
        <v>2</v>
      </c>
      <c r="H45" s="3">
        <v>1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101.4</v>
      </c>
      <c r="S45" s="2">
        <v>15.8</v>
      </c>
      <c r="T45" t="s">
        <v>28</v>
      </c>
      <c r="U45" s="3">
        <v>0</v>
      </c>
      <c r="V45" s="3">
        <v>0</v>
      </c>
      <c r="W45" s="3">
        <v>1</v>
      </c>
      <c r="X45" s="3">
        <v>1</v>
      </c>
      <c r="Y45" s="3">
        <v>0</v>
      </c>
      <c r="Z45" s="3">
        <v>0</v>
      </c>
      <c r="AA45" s="3">
        <v>1</v>
      </c>
    </row>
    <row r="46" spans="1:27">
      <c r="A46" t="s">
        <v>84</v>
      </c>
      <c r="B46" s="3">
        <v>1</v>
      </c>
      <c r="C46" s="3">
        <v>0</v>
      </c>
      <c r="D46" s="1">
        <v>38083</v>
      </c>
      <c r="E46" s="1">
        <v>39082</v>
      </c>
      <c r="F46" s="2">
        <f t="shared" si="0"/>
        <v>2.7351129363449691</v>
      </c>
      <c r="G46" s="3">
        <v>1</v>
      </c>
      <c r="H46" s="3">
        <v>0</v>
      </c>
      <c r="I46" s="3">
        <v>1</v>
      </c>
      <c r="J46" s="3">
        <v>1</v>
      </c>
      <c r="K46" s="3">
        <v>0</v>
      </c>
      <c r="L46" s="3">
        <v>0</v>
      </c>
      <c r="M46" s="3">
        <v>0</v>
      </c>
      <c r="N46" s="3">
        <v>0</v>
      </c>
      <c r="O46" s="3">
        <v>1</v>
      </c>
      <c r="P46" s="3">
        <v>0</v>
      </c>
      <c r="Q46" s="3">
        <v>0</v>
      </c>
      <c r="R46" s="3">
        <v>102</v>
      </c>
      <c r="S46" s="2">
        <v>14.1</v>
      </c>
      <c r="T46" t="s">
        <v>28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1</v>
      </c>
      <c r="AA46" s="3">
        <v>1</v>
      </c>
    </row>
    <row r="47" spans="1:27">
      <c r="A47" t="s">
        <v>85</v>
      </c>
      <c r="B47" s="3">
        <v>3</v>
      </c>
      <c r="C47" s="3">
        <v>1</v>
      </c>
      <c r="D47" s="1">
        <v>38710</v>
      </c>
      <c r="E47" s="1">
        <v>39082</v>
      </c>
      <c r="F47" s="2">
        <f t="shared" si="0"/>
        <v>1.0184804928131417</v>
      </c>
      <c r="G47" s="3">
        <v>2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55</v>
      </c>
      <c r="S47" s="2">
        <v>4.4000000000000004</v>
      </c>
      <c r="T47" t="s">
        <v>28</v>
      </c>
      <c r="U47" s="5" t="e">
        <v>#NULL!</v>
      </c>
      <c r="V47" s="5" t="e">
        <v>#NULL!</v>
      </c>
      <c r="W47" s="5" t="e">
        <v>#NULL!</v>
      </c>
      <c r="X47" s="5" t="e">
        <v>#NULL!</v>
      </c>
      <c r="Y47" s="3">
        <v>0</v>
      </c>
      <c r="Z47" s="3">
        <v>0</v>
      </c>
      <c r="AA47" s="3">
        <v>0</v>
      </c>
    </row>
    <row r="48" spans="1:27">
      <c r="A48" t="s">
        <v>86</v>
      </c>
      <c r="B48" s="3">
        <v>3</v>
      </c>
      <c r="C48" s="3">
        <v>0</v>
      </c>
      <c r="D48" s="1">
        <v>38040</v>
      </c>
      <c r="E48" s="1">
        <v>39082</v>
      </c>
      <c r="F48" s="2">
        <f t="shared" si="0"/>
        <v>2.8528405201916494</v>
      </c>
      <c r="G48" s="3">
        <v>1</v>
      </c>
      <c r="H48" s="3">
        <v>1</v>
      </c>
      <c r="I48" s="3">
        <v>0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95</v>
      </c>
      <c r="S48" s="2">
        <v>14.3</v>
      </c>
      <c r="T48" t="s">
        <v>28</v>
      </c>
      <c r="U48" s="3">
        <v>0</v>
      </c>
      <c r="V48" s="3">
        <v>1</v>
      </c>
      <c r="W48" s="3">
        <v>0</v>
      </c>
      <c r="X48" s="3">
        <v>0</v>
      </c>
      <c r="Y48" s="3">
        <v>0</v>
      </c>
      <c r="Z48" s="3">
        <v>1</v>
      </c>
      <c r="AA48" s="3">
        <v>0</v>
      </c>
    </row>
    <row r="49" spans="1:27">
      <c r="A49" t="s">
        <v>87</v>
      </c>
      <c r="B49" s="3">
        <v>2</v>
      </c>
      <c r="C49" s="3">
        <v>1</v>
      </c>
      <c r="D49" s="1">
        <v>38237</v>
      </c>
      <c r="E49" s="1">
        <v>39082</v>
      </c>
      <c r="F49" s="2">
        <f t="shared" si="0"/>
        <v>2.3134839151266258</v>
      </c>
      <c r="G49" s="3">
        <v>2</v>
      </c>
      <c r="H49" s="3">
        <v>1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1</v>
      </c>
      <c r="P49" s="3">
        <v>0</v>
      </c>
      <c r="Q49" s="3">
        <v>0</v>
      </c>
      <c r="R49" s="3">
        <v>60</v>
      </c>
      <c r="S49" s="2">
        <v>5.4</v>
      </c>
      <c r="T49" t="s">
        <v>28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</row>
    <row r="50" spans="1:27">
      <c r="A50" t="s">
        <v>88</v>
      </c>
      <c r="B50" s="3">
        <v>2</v>
      </c>
      <c r="C50" s="3">
        <v>1</v>
      </c>
      <c r="D50" s="1">
        <v>38108</v>
      </c>
      <c r="E50" s="1">
        <v>39082</v>
      </c>
      <c r="F50" s="2">
        <f t="shared" si="0"/>
        <v>2.6666666666666665</v>
      </c>
      <c r="G50" s="3">
        <v>2</v>
      </c>
      <c r="H50" s="3">
        <v>1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1</v>
      </c>
      <c r="O50" s="3">
        <v>0</v>
      </c>
      <c r="P50" s="3">
        <v>1</v>
      </c>
      <c r="Q50" s="3">
        <v>0</v>
      </c>
      <c r="R50" s="3">
        <v>70</v>
      </c>
      <c r="S50" s="2">
        <v>8</v>
      </c>
      <c r="T50" t="s">
        <v>28</v>
      </c>
      <c r="U50" s="3">
        <v>1</v>
      </c>
      <c r="V50" s="3">
        <v>1</v>
      </c>
      <c r="W50" s="3">
        <v>1</v>
      </c>
      <c r="X50" s="3">
        <v>1</v>
      </c>
      <c r="Y50" s="3">
        <v>0</v>
      </c>
      <c r="Z50" s="3">
        <v>0</v>
      </c>
      <c r="AA50" s="3">
        <v>0</v>
      </c>
    </row>
    <row r="51" spans="1:27">
      <c r="A51" t="s">
        <v>89</v>
      </c>
      <c r="B51" s="3">
        <v>2</v>
      </c>
      <c r="C51" s="3">
        <v>1</v>
      </c>
      <c r="D51" s="1">
        <v>38301</v>
      </c>
      <c r="E51" s="1">
        <v>39082</v>
      </c>
      <c r="F51" s="2">
        <f t="shared" si="0"/>
        <v>2.1382614647501712</v>
      </c>
      <c r="G51" s="3">
        <v>1</v>
      </c>
      <c r="H51" s="3">
        <v>1</v>
      </c>
      <c r="I51" s="3">
        <v>1</v>
      </c>
      <c r="J51" s="3">
        <v>0</v>
      </c>
      <c r="K51" s="3">
        <v>0</v>
      </c>
      <c r="L51" s="3">
        <v>0</v>
      </c>
      <c r="M51" s="3">
        <v>0</v>
      </c>
      <c r="N51" s="3">
        <v>1</v>
      </c>
      <c r="O51" s="3">
        <v>0</v>
      </c>
      <c r="P51" s="3">
        <v>0</v>
      </c>
      <c r="Q51" s="3">
        <v>0</v>
      </c>
      <c r="R51" s="3">
        <v>90</v>
      </c>
      <c r="S51" s="2">
        <v>10.199999999999999</v>
      </c>
      <c r="T51" t="s">
        <v>28</v>
      </c>
      <c r="U51" s="3">
        <v>1</v>
      </c>
      <c r="V51" s="3">
        <v>0</v>
      </c>
      <c r="W51" s="3">
        <v>1</v>
      </c>
      <c r="X51" s="3">
        <v>1</v>
      </c>
      <c r="Y51" s="3">
        <v>0</v>
      </c>
      <c r="Z51" s="3">
        <v>1</v>
      </c>
      <c r="AA51" s="3">
        <v>0</v>
      </c>
    </row>
    <row r="52" spans="1:27">
      <c r="A52" t="s">
        <v>90</v>
      </c>
      <c r="B52" s="3">
        <v>1</v>
      </c>
      <c r="C52" s="3">
        <v>1</v>
      </c>
      <c r="D52" s="1">
        <v>38426</v>
      </c>
      <c r="E52" s="1">
        <v>39082</v>
      </c>
      <c r="F52" s="2">
        <f t="shared" si="0"/>
        <v>1.7960301163586585</v>
      </c>
      <c r="G52" s="3">
        <v>1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48.5</v>
      </c>
      <c r="S52" s="2">
        <v>3.5</v>
      </c>
      <c r="T52" t="s">
        <v>28</v>
      </c>
      <c r="U52" s="5" t="e">
        <v>#NULL!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  <c r="AA52" s="3">
        <v>0</v>
      </c>
    </row>
    <row r="53" spans="1:27">
      <c r="A53" t="s">
        <v>91</v>
      </c>
      <c r="B53" s="3">
        <v>1</v>
      </c>
      <c r="C53" s="3">
        <v>1</v>
      </c>
      <c r="D53" s="1">
        <v>38372</v>
      </c>
      <c r="E53" s="1">
        <v>39082</v>
      </c>
      <c r="F53" s="2">
        <f t="shared" si="0"/>
        <v>1.9438740588637919</v>
      </c>
      <c r="G53" s="3">
        <v>2</v>
      </c>
      <c r="H53" s="3">
        <v>1</v>
      </c>
      <c r="I53" s="3">
        <v>1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50</v>
      </c>
      <c r="S53" s="2">
        <v>5.6</v>
      </c>
      <c r="T53" t="s">
        <v>92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</row>
    <row r="54" spans="1:27">
      <c r="A54" t="s">
        <v>93</v>
      </c>
      <c r="B54" s="3">
        <v>3</v>
      </c>
      <c r="C54" s="3">
        <v>1</v>
      </c>
      <c r="D54" s="1">
        <v>37994</v>
      </c>
      <c r="E54" s="1">
        <v>39082</v>
      </c>
      <c r="F54" s="2">
        <f t="shared" si="0"/>
        <v>2.9787816563997263</v>
      </c>
      <c r="G54" s="3">
        <v>1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51.2</v>
      </c>
      <c r="S54" s="2">
        <v>4.2</v>
      </c>
      <c r="T54" t="s">
        <v>28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1</v>
      </c>
      <c r="AA54" s="3">
        <v>0</v>
      </c>
    </row>
    <row r="55" spans="1:27">
      <c r="A55" t="s">
        <v>94</v>
      </c>
      <c r="B55" s="3">
        <v>2</v>
      </c>
      <c r="C55" s="3">
        <v>1</v>
      </c>
      <c r="D55" s="1">
        <v>38501</v>
      </c>
      <c r="E55" s="1">
        <v>39082</v>
      </c>
      <c r="F55" s="2">
        <f t="shared" si="0"/>
        <v>1.5906913073237507</v>
      </c>
      <c r="G55" s="3">
        <v>2</v>
      </c>
      <c r="H55" s="3">
        <v>1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51.2</v>
      </c>
      <c r="S55" s="2">
        <v>3.4</v>
      </c>
      <c r="T55" t="s">
        <v>95</v>
      </c>
      <c r="U55" s="3">
        <v>0</v>
      </c>
      <c r="V55" s="3">
        <v>1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</row>
    <row r="56" spans="1:27">
      <c r="A56" t="s">
        <v>96</v>
      </c>
      <c r="B56" s="3">
        <v>3</v>
      </c>
      <c r="C56" s="3">
        <v>1</v>
      </c>
      <c r="D56" s="1">
        <v>38400</v>
      </c>
      <c r="E56" s="1">
        <v>39082</v>
      </c>
      <c r="F56" s="2">
        <f t="shared" si="0"/>
        <v>1.8672142368240932</v>
      </c>
      <c r="G56" s="3">
        <v>1</v>
      </c>
      <c r="H56" s="3">
        <v>0</v>
      </c>
      <c r="I56" s="3">
        <v>1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51.5</v>
      </c>
      <c r="S56" s="2">
        <v>4.5999999999999996</v>
      </c>
      <c r="T56" t="s">
        <v>28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1</v>
      </c>
      <c r="AA56" s="3">
        <v>0</v>
      </c>
    </row>
    <row r="57" spans="1:27">
      <c r="A57" t="s">
        <v>97</v>
      </c>
      <c r="B57" s="3">
        <v>3</v>
      </c>
      <c r="C57" s="3">
        <v>1</v>
      </c>
      <c r="D57" s="1">
        <v>38274</v>
      </c>
      <c r="E57" s="1">
        <v>39082</v>
      </c>
      <c r="F57" s="2">
        <f t="shared" si="0"/>
        <v>2.2121834360027379</v>
      </c>
      <c r="G57" s="3">
        <v>2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51.7</v>
      </c>
      <c r="S57" s="2">
        <v>4.5</v>
      </c>
      <c r="T57" t="s">
        <v>28</v>
      </c>
      <c r="U57" s="3">
        <v>0</v>
      </c>
      <c r="V57" s="3">
        <v>1</v>
      </c>
      <c r="W57" s="3">
        <v>0</v>
      </c>
      <c r="X57" s="3">
        <v>1</v>
      </c>
      <c r="Y57" s="3">
        <v>1</v>
      </c>
      <c r="Z57" s="3">
        <v>0</v>
      </c>
      <c r="AA57" s="3">
        <v>0</v>
      </c>
    </row>
    <row r="58" spans="1:27">
      <c r="A58" t="s">
        <v>98</v>
      </c>
      <c r="B58" s="3">
        <v>3</v>
      </c>
      <c r="C58" s="3">
        <v>1</v>
      </c>
      <c r="D58" s="1">
        <v>38003</v>
      </c>
      <c r="E58" s="1">
        <v>39082</v>
      </c>
      <c r="F58" s="2">
        <f t="shared" si="0"/>
        <v>2.9541409993155372</v>
      </c>
      <c r="G58" s="3">
        <v>2</v>
      </c>
      <c r="H58" s="3">
        <v>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51.7</v>
      </c>
      <c r="S58" s="2">
        <v>4.9000000000000004</v>
      </c>
      <c r="T58" t="s">
        <v>28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</row>
    <row r="59" spans="1:27">
      <c r="A59" t="s">
        <v>99</v>
      </c>
      <c r="B59" s="3">
        <v>3</v>
      </c>
      <c r="C59" s="3">
        <v>1</v>
      </c>
      <c r="D59" s="1">
        <v>38042</v>
      </c>
      <c r="E59" s="1">
        <v>39082</v>
      </c>
      <c r="F59" s="2">
        <f t="shared" si="0"/>
        <v>2.8473648186173852</v>
      </c>
      <c r="G59" s="3">
        <v>1</v>
      </c>
      <c r="H59" s="3">
        <v>1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52</v>
      </c>
      <c r="S59" s="2">
        <v>3.8</v>
      </c>
      <c r="T59" t="s">
        <v>28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  <c r="AA59" s="3">
        <v>0</v>
      </c>
    </row>
    <row r="60" spans="1:27">
      <c r="A60" t="s">
        <v>100</v>
      </c>
      <c r="B60" s="3">
        <v>2</v>
      </c>
      <c r="C60" s="3">
        <v>1</v>
      </c>
      <c r="D60" s="1">
        <v>38029</v>
      </c>
      <c r="E60" s="1">
        <v>39082</v>
      </c>
      <c r="F60" s="2">
        <f t="shared" si="0"/>
        <v>2.8829568788501025</v>
      </c>
      <c r="G60" s="3">
        <v>1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52.8</v>
      </c>
      <c r="S60" s="2">
        <v>4</v>
      </c>
      <c r="T60" t="s">
        <v>28</v>
      </c>
      <c r="U60" s="3">
        <v>0</v>
      </c>
      <c r="V60" s="3">
        <v>0</v>
      </c>
      <c r="W60" s="3">
        <v>0</v>
      </c>
      <c r="X60" s="3">
        <v>1</v>
      </c>
      <c r="Y60" s="3">
        <v>0</v>
      </c>
      <c r="Z60" s="3">
        <v>1</v>
      </c>
      <c r="AA60" s="3">
        <v>0</v>
      </c>
    </row>
    <row r="61" spans="1:27">
      <c r="A61" t="s">
        <v>101</v>
      </c>
      <c r="B61" s="3">
        <v>2</v>
      </c>
      <c r="C61" s="3">
        <v>1</v>
      </c>
      <c r="D61" s="1">
        <v>38016</v>
      </c>
      <c r="E61" s="1">
        <v>39082</v>
      </c>
      <c r="F61" s="2">
        <f t="shared" si="0"/>
        <v>2.9185489390828199</v>
      </c>
      <c r="G61" s="3">
        <v>2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52.8</v>
      </c>
      <c r="S61" s="2">
        <v>3.9</v>
      </c>
      <c r="T61" t="s">
        <v>28</v>
      </c>
      <c r="U61" s="3">
        <v>1</v>
      </c>
      <c r="V61" s="3">
        <v>1</v>
      </c>
      <c r="W61" s="3">
        <v>1</v>
      </c>
      <c r="X61" s="3">
        <v>1</v>
      </c>
      <c r="Y61" s="3">
        <v>0</v>
      </c>
      <c r="Z61" s="3">
        <v>0</v>
      </c>
      <c r="AA61" s="3">
        <v>0</v>
      </c>
    </row>
    <row r="62" spans="1:27">
      <c r="A62" t="s">
        <v>102</v>
      </c>
      <c r="B62" s="3">
        <v>1</v>
      </c>
      <c r="C62" s="3">
        <v>1</v>
      </c>
      <c r="D62" s="1">
        <v>38354</v>
      </c>
      <c r="E62" s="1">
        <v>39082</v>
      </c>
      <c r="F62" s="2">
        <f t="shared" si="0"/>
        <v>1.9931553730321698</v>
      </c>
      <c r="G62" s="3">
        <v>2</v>
      </c>
      <c r="H62" s="3">
        <v>1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53.3</v>
      </c>
      <c r="S62" s="2">
        <v>4.3</v>
      </c>
      <c r="T62" t="s">
        <v>28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</row>
    <row r="63" spans="1:27">
      <c r="A63" t="s">
        <v>103</v>
      </c>
      <c r="B63" s="3">
        <v>2</v>
      </c>
      <c r="C63" s="3">
        <v>1</v>
      </c>
      <c r="D63" s="1">
        <v>38438</v>
      </c>
      <c r="E63" s="1">
        <v>39082</v>
      </c>
      <c r="F63" s="2">
        <f t="shared" si="0"/>
        <v>1.7631759069130732</v>
      </c>
      <c r="G63" s="3">
        <v>2</v>
      </c>
      <c r="H63" s="3">
        <v>1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53.6</v>
      </c>
      <c r="S63" s="2">
        <v>4.4000000000000004</v>
      </c>
      <c r="T63" t="s">
        <v>28</v>
      </c>
      <c r="U63" s="3">
        <v>1</v>
      </c>
      <c r="V63" s="3">
        <v>1</v>
      </c>
      <c r="W63" s="3">
        <v>1</v>
      </c>
      <c r="X63" s="3">
        <v>1</v>
      </c>
      <c r="Y63" s="3">
        <v>1</v>
      </c>
      <c r="Z63" s="3">
        <v>0</v>
      </c>
      <c r="AA63" s="3">
        <v>0</v>
      </c>
    </row>
    <row r="64" spans="1:27">
      <c r="A64" t="s">
        <v>104</v>
      </c>
      <c r="B64" s="3">
        <v>2</v>
      </c>
      <c r="C64" s="3">
        <v>1</v>
      </c>
      <c r="D64" s="1">
        <v>38363</v>
      </c>
      <c r="E64" s="1">
        <v>39082</v>
      </c>
      <c r="F64" s="2">
        <f t="shared" si="0"/>
        <v>1.9685147159479808</v>
      </c>
      <c r="G64" s="3">
        <v>2</v>
      </c>
      <c r="H64" s="3">
        <v>1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54</v>
      </c>
      <c r="S64" s="2">
        <v>4.8</v>
      </c>
      <c r="T64" t="s">
        <v>105</v>
      </c>
      <c r="U64" s="3">
        <v>0</v>
      </c>
      <c r="V64" s="3">
        <v>1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</row>
    <row r="65" spans="1:27">
      <c r="A65" t="s">
        <v>106</v>
      </c>
      <c r="B65" s="3">
        <v>1</v>
      </c>
      <c r="C65" s="3">
        <v>1</v>
      </c>
      <c r="D65" s="1">
        <v>38396</v>
      </c>
      <c r="E65" s="1">
        <v>39082</v>
      </c>
      <c r="F65" s="2">
        <f t="shared" si="0"/>
        <v>1.8781656399726214</v>
      </c>
      <c r="G65" s="3">
        <v>2</v>
      </c>
      <c r="H65" s="3">
        <v>1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54.5</v>
      </c>
      <c r="S65" s="2">
        <v>5.3</v>
      </c>
      <c r="T65" t="s">
        <v>28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</row>
    <row r="66" spans="1:27">
      <c r="A66" t="s">
        <v>107</v>
      </c>
      <c r="B66" s="3">
        <v>2</v>
      </c>
      <c r="C66" s="3">
        <v>1</v>
      </c>
      <c r="D66" s="1">
        <v>38379</v>
      </c>
      <c r="E66" s="1">
        <v>39082</v>
      </c>
      <c r="F66" s="2">
        <f t="shared" si="0"/>
        <v>1.9247091033538672</v>
      </c>
      <c r="G66" s="3">
        <v>1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55</v>
      </c>
      <c r="S66" s="2">
        <v>3.2</v>
      </c>
      <c r="T66" t="s">
        <v>28</v>
      </c>
      <c r="U66" s="3">
        <v>1</v>
      </c>
      <c r="V66" s="3">
        <v>0</v>
      </c>
      <c r="W66" s="3">
        <v>0</v>
      </c>
      <c r="X66" s="3">
        <v>0</v>
      </c>
      <c r="Y66" s="3">
        <v>0</v>
      </c>
      <c r="Z66" s="3">
        <v>1</v>
      </c>
      <c r="AA66" s="3">
        <v>0</v>
      </c>
    </row>
    <row r="67" spans="1:27">
      <c r="A67" t="s">
        <v>108</v>
      </c>
      <c r="B67" s="3">
        <v>3</v>
      </c>
      <c r="C67" s="3">
        <v>1</v>
      </c>
      <c r="D67" s="1">
        <v>38393</v>
      </c>
      <c r="E67" s="1">
        <v>39082</v>
      </c>
      <c r="F67" s="2">
        <f t="shared" ref="F67:F130" si="1">(E67-D67)/365.25</f>
        <v>1.8863791923340179</v>
      </c>
      <c r="G67" s="3">
        <v>2</v>
      </c>
      <c r="H67" s="3">
        <v>1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55.4</v>
      </c>
      <c r="S67" s="2">
        <v>4.9000000000000004</v>
      </c>
      <c r="T67" t="s">
        <v>28</v>
      </c>
      <c r="U67" s="3">
        <v>0</v>
      </c>
      <c r="V67" s="3">
        <v>1</v>
      </c>
      <c r="W67" s="3">
        <v>0</v>
      </c>
      <c r="X67" s="3">
        <v>1</v>
      </c>
      <c r="Y67" s="3">
        <v>0</v>
      </c>
      <c r="Z67" s="3">
        <v>0</v>
      </c>
      <c r="AA67" s="3">
        <v>0</v>
      </c>
    </row>
    <row r="68" spans="1:27">
      <c r="A68" t="s">
        <v>109</v>
      </c>
      <c r="B68" s="3">
        <v>3</v>
      </c>
      <c r="C68" s="3">
        <v>0</v>
      </c>
      <c r="D68" s="1">
        <v>37381</v>
      </c>
      <c r="E68" s="1">
        <v>39082</v>
      </c>
      <c r="F68" s="2">
        <f t="shared" si="1"/>
        <v>4.6570841889117043</v>
      </c>
      <c r="G68" s="3">
        <v>1</v>
      </c>
      <c r="H68" s="3">
        <v>1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1</v>
      </c>
      <c r="O68" s="3">
        <v>0</v>
      </c>
      <c r="P68" s="3">
        <v>0</v>
      </c>
      <c r="Q68" s="3">
        <v>0</v>
      </c>
      <c r="R68" s="3">
        <v>55.5</v>
      </c>
      <c r="S68" s="2">
        <v>11.7</v>
      </c>
      <c r="T68" t="s">
        <v>28</v>
      </c>
      <c r="U68" s="3">
        <v>0</v>
      </c>
      <c r="V68" s="3">
        <v>1</v>
      </c>
      <c r="W68" s="3">
        <v>0</v>
      </c>
      <c r="X68" s="3">
        <v>0</v>
      </c>
      <c r="Y68" s="3">
        <v>0</v>
      </c>
      <c r="Z68" s="3">
        <v>1</v>
      </c>
      <c r="AA68" s="3">
        <v>0</v>
      </c>
    </row>
    <row r="69" spans="1:27">
      <c r="A69" t="s">
        <v>110</v>
      </c>
      <c r="B69" s="3">
        <v>1</v>
      </c>
      <c r="C69" s="3">
        <v>1</v>
      </c>
      <c r="D69" s="1">
        <v>38377</v>
      </c>
      <c r="E69" s="1">
        <v>39082</v>
      </c>
      <c r="F69" s="2">
        <f t="shared" si="1"/>
        <v>1.9301848049281314</v>
      </c>
      <c r="G69" s="3">
        <v>2</v>
      </c>
      <c r="H69" s="3">
        <v>1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55.5</v>
      </c>
      <c r="S69" s="2">
        <v>5.2</v>
      </c>
      <c r="T69" t="s">
        <v>28</v>
      </c>
      <c r="U69" s="3">
        <v>0</v>
      </c>
      <c r="V69" s="3">
        <v>1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</row>
    <row r="70" spans="1:27">
      <c r="A70" t="s">
        <v>111</v>
      </c>
      <c r="B70" s="3">
        <v>1</v>
      </c>
      <c r="C70" s="3">
        <v>1</v>
      </c>
      <c r="D70" s="1">
        <v>38400</v>
      </c>
      <c r="E70" s="1">
        <v>39082</v>
      </c>
      <c r="F70" s="2">
        <f t="shared" si="1"/>
        <v>1.8672142368240932</v>
      </c>
      <c r="G70" s="3">
        <v>2</v>
      </c>
      <c r="H70" s="3">
        <v>1</v>
      </c>
      <c r="I70" s="3">
        <v>1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55.5</v>
      </c>
      <c r="S70" s="2">
        <v>4.8</v>
      </c>
      <c r="T70" t="s">
        <v>69</v>
      </c>
      <c r="U70" s="3">
        <v>0</v>
      </c>
      <c r="V70" s="3">
        <v>0</v>
      </c>
      <c r="W70" s="3">
        <v>0</v>
      </c>
      <c r="X70" s="3">
        <v>0</v>
      </c>
      <c r="Y70" s="3">
        <v>1</v>
      </c>
      <c r="Z70" s="3">
        <v>0</v>
      </c>
      <c r="AA70" s="3">
        <v>0</v>
      </c>
    </row>
    <row r="71" spans="1:27">
      <c r="A71" t="s">
        <v>112</v>
      </c>
      <c r="B71" s="3">
        <v>2</v>
      </c>
      <c r="C71" s="3">
        <v>1</v>
      </c>
      <c r="D71" s="1">
        <v>38395</v>
      </c>
      <c r="E71" s="1">
        <v>39082</v>
      </c>
      <c r="F71" s="2">
        <f t="shared" si="1"/>
        <v>1.8809034907597535</v>
      </c>
      <c r="G71" s="3">
        <v>2</v>
      </c>
      <c r="H71" s="3">
        <v>1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55.6</v>
      </c>
      <c r="S71" s="2">
        <v>5.0999999999999996</v>
      </c>
      <c r="T71" t="s">
        <v>28</v>
      </c>
      <c r="U71" s="5" t="e">
        <v>#NULL!</v>
      </c>
      <c r="V71" s="3">
        <v>1</v>
      </c>
      <c r="W71" s="3">
        <v>1</v>
      </c>
      <c r="X71" s="3">
        <v>0</v>
      </c>
      <c r="Y71" s="3">
        <v>0</v>
      </c>
      <c r="Z71" s="3">
        <v>0</v>
      </c>
      <c r="AA71" s="3">
        <v>0</v>
      </c>
    </row>
    <row r="72" spans="1:27">
      <c r="A72" t="s">
        <v>113</v>
      </c>
      <c r="B72" s="3">
        <v>3</v>
      </c>
      <c r="C72" s="3">
        <v>1</v>
      </c>
      <c r="D72" s="1">
        <v>38389</v>
      </c>
      <c r="E72" s="1">
        <v>39082</v>
      </c>
      <c r="F72" s="2">
        <f t="shared" si="1"/>
        <v>1.8973305954825461</v>
      </c>
      <c r="G72" s="3">
        <v>2</v>
      </c>
      <c r="H72" s="3">
        <v>1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55.6</v>
      </c>
      <c r="S72" s="2">
        <v>5.0999999999999996</v>
      </c>
      <c r="T72" t="s">
        <v>28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  <c r="AA72" s="3">
        <v>0</v>
      </c>
    </row>
    <row r="73" spans="1:27">
      <c r="A73" t="s">
        <v>114</v>
      </c>
      <c r="B73" s="3">
        <v>3</v>
      </c>
      <c r="C73" s="3">
        <v>1</v>
      </c>
      <c r="D73" s="1">
        <v>38302</v>
      </c>
      <c r="E73" s="1">
        <v>39082</v>
      </c>
      <c r="F73" s="2">
        <f t="shared" si="1"/>
        <v>2.1355236139630391</v>
      </c>
      <c r="G73" s="3">
        <v>1</v>
      </c>
      <c r="H73" s="3">
        <v>1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55.8</v>
      </c>
      <c r="S73" s="2">
        <v>4.2</v>
      </c>
      <c r="T73" t="s">
        <v>28</v>
      </c>
      <c r="U73" s="3">
        <v>0</v>
      </c>
      <c r="V73" s="3">
        <v>1</v>
      </c>
      <c r="W73" s="3">
        <v>0</v>
      </c>
      <c r="X73" s="3">
        <v>0</v>
      </c>
      <c r="Y73" s="3">
        <v>0</v>
      </c>
      <c r="Z73" s="3">
        <v>1</v>
      </c>
      <c r="AA73" s="3">
        <v>0</v>
      </c>
    </row>
    <row r="74" spans="1:27">
      <c r="A74" t="s">
        <v>115</v>
      </c>
      <c r="B74" s="3">
        <v>2</v>
      </c>
      <c r="C74" s="3">
        <v>1</v>
      </c>
      <c r="D74" s="1">
        <v>38408</v>
      </c>
      <c r="E74" s="1">
        <v>39082</v>
      </c>
      <c r="F74" s="2">
        <f t="shared" si="1"/>
        <v>1.8453114305270362</v>
      </c>
      <c r="G74" s="3">
        <v>2</v>
      </c>
      <c r="H74" s="3">
        <v>1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1</v>
      </c>
      <c r="O74" s="3">
        <v>0</v>
      </c>
      <c r="P74" s="3">
        <v>0</v>
      </c>
      <c r="Q74" s="3">
        <v>0</v>
      </c>
      <c r="R74" s="3">
        <v>55.9</v>
      </c>
      <c r="S74" s="2">
        <v>4.7</v>
      </c>
      <c r="T74" t="s">
        <v>28</v>
      </c>
      <c r="U74" s="3">
        <v>0</v>
      </c>
      <c r="V74" s="3">
        <v>1</v>
      </c>
      <c r="W74" s="3">
        <v>1</v>
      </c>
      <c r="X74" s="3">
        <v>1</v>
      </c>
      <c r="Y74" s="3">
        <v>0</v>
      </c>
      <c r="Z74" s="3">
        <v>0</v>
      </c>
      <c r="AA74" s="3">
        <v>0</v>
      </c>
    </row>
    <row r="75" spans="1:27">
      <c r="A75" t="s">
        <v>116</v>
      </c>
      <c r="B75" s="3">
        <v>3</v>
      </c>
      <c r="C75" s="3">
        <v>1</v>
      </c>
      <c r="D75" s="1">
        <v>38373</v>
      </c>
      <c r="E75" s="1">
        <v>39082</v>
      </c>
      <c r="F75" s="2">
        <f t="shared" si="1"/>
        <v>1.9411362080766599</v>
      </c>
      <c r="G75" s="3">
        <v>2</v>
      </c>
      <c r="H75" s="3">
        <v>1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56.2</v>
      </c>
      <c r="S75" s="2">
        <v>4.8</v>
      </c>
      <c r="T75" t="s">
        <v>117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</row>
    <row r="76" spans="1:27">
      <c r="A76" t="s">
        <v>118</v>
      </c>
      <c r="B76" s="3">
        <v>2</v>
      </c>
      <c r="C76" s="3">
        <v>1</v>
      </c>
      <c r="D76" s="1">
        <v>38345</v>
      </c>
      <c r="E76" s="1">
        <v>39082</v>
      </c>
      <c r="F76" s="2">
        <f t="shared" si="1"/>
        <v>2.0177960301163584</v>
      </c>
      <c r="G76" s="3">
        <v>2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56.4</v>
      </c>
      <c r="S76" s="2">
        <v>4.5999999999999996</v>
      </c>
      <c r="T76" t="s">
        <v>69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  <c r="AA76" s="3">
        <v>0</v>
      </c>
    </row>
    <row r="77" spans="1:27">
      <c r="A77" t="s">
        <v>119</v>
      </c>
      <c r="B77" s="3">
        <v>2</v>
      </c>
      <c r="C77" s="3">
        <v>1</v>
      </c>
      <c r="D77" s="1">
        <v>38373</v>
      </c>
      <c r="E77" s="1">
        <v>39082</v>
      </c>
      <c r="F77" s="2">
        <f t="shared" si="1"/>
        <v>1.9411362080766599</v>
      </c>
      <c r="G77" s="3">
        <v>1</v>
      </c>
      <c r="H77" s="3">
        <v>1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56.6</v>
      </c>
      <c r="S77" s="2">
        <v>3.6</v>
      </c>
      <c r="T77" t="s">
        <v>120</v>
      </c>
      <c r="U77" s="3">
        <v>0</v>
      </c>
      <c r="V77" s="3">
        <v>0</v>
      </c>
      <c r="W77" s="3">
        <v>1</v>
      </c>
      <c r="X77" s="3">
        <v>1</v>
      </c>
      <c r="Y77" s="3">
        <v>1</v>
      </c>
      <c r="Z77" s="3">
        <v>1</v>
      </c>
      <c r="AA77" s="3">
        <v>0</v>
      </c>
    </row>
    <row r="78" spans="1:27">
      <c r="A78" t="s">
        <v>121</v>
      </c>
      <c r="B78" s="3">
        <v>3</v>
      </c>
      <c r="C78" s="3">
        <v>1</v>
      </c>
      <c r="D78" s="1">
        <v>37987</v>
      </c>
      <c r="E78" s="1">
        <v>39082</v>
      </c>
      <c r="F78" s="2">
        <f t="shared" si="1"/>
        <v>2.9979466119096507</v>
      </c>
      <c r="G78" s="3">
        <v>2</v>
      </c>
      <c r="H78" s="3">
        <v>1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57</v>
      </c>
      <c r="S78" s="2">
        <v>5.0999999999999996</v>
      </c>
      <c r="T78" t="s">
        <v>28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  <c r="AA78" s="3">
        <v>0</v>
      </c>
    </row>
    <row r="79" spans="1:27">
      <c r="A79" t="s">
        <v>122</v>
      </c>
      <c r="B79" s="3">
        <v>1</v>
      </c>
      <c r="C79" s="3">
        <v>1</v>
      </c>
      <c r="D79" s="1">
        <v>38357</v>
      </c>
      <c r="E79" s="1">
        <v>39082</v>
      </c>
      <c r="F79" s="2">
        <f t="shared" si="1"/>
        <v>1.9849418206707734</v>
      </c>
      <c r="G79" s="3">
        <v>2</v>
      </c>
      <c r="H79" s="3">
        <v>1</v>
      </c>
      <c r="I79" s="3">
        <v>1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57</v>
      </c>
      <c r="S79" s="2">
        <v>7.2</v>
      </c>
      <c r="T79" t="s">
        <v>123</v>
      </c>
      <c r="U79" s="3">
        <v>0</v>
      </c>
      <c r="V79" s="3">
        <v>0</v>
      </c>
      <c r="W79" s="3">
        <v>1</v>
      </c>
      <c r="X79" s="3">
        <v>0</v>
      </c>
      <c r="Y79" s="3">
        <v>1</v>
      </c>
      <c r="Z79" s="3">
        <v>0</v>
      </c>
      <c r="AA79" s="3">
        <v>0</v>
      </c>
    </row>
    <row r="80" spans="1:27">
      <c r="A80" t="s">
        <v>124</v>
      </c>
      <c r="B80" s="3">
        <v>2</v>
      </c>
      <c r="C80" s="3">
        <v>1</v>
      </c>
      <c r="D80" s="1">
        <v>38339</v>
      </c>
      <c r="E80" s="1">
        <v>39082</v>
      </c>
      <c r="F80" s="2">
        <f t="shared" si="1"/>
        <v>2.0342231348391513</v>
      </c>
      <c r="G80" s="3">
        <v>2</v>
      </c>
      <c r="H80" s="3">
        <v>1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57.3</v>
      </c>
      <c r="S80" s="2">
        <v>4.3</v>
      </c>
      <c r="T80" t="s">
        <v>28</v>
      </c>
      <c r="U80" s="3">
        <v>1</v>
      </c>
      <c r="V80" s="3">
        <v>1</v>
      </c>
      <c r="W80" s="3">
        <v>1</v>
      </c>
      <c r="X80" s="3">
        <v>0</v>
      </c>
      <c r="Y80" s="3">
        <v>0</v>
      </c>
      <c r="Z80" s="3">
        <v>0</v>
      </c>
      <c r="AA80" s="3">
        <v>0</v>
      </c>
    </row>
    <row r="81" spans="1:27">
      <c r="A81" t="s">
        <v>125</v>
      </c>
      <c r="B81" s="3">
        <v>3</v>
      </c>
      <c r="C81" s="3">
        <v>1</v>
      </c>
      <c r="D81" s="1">
        <v>37992</v>
      </c>
      <c r="E81" s="1">
        <v>39082</v>
      </c>
      <c r="F81" s="2">
        <f t="shared" si="1"/>
        <v>2.9842573579739904</v>
      </c>
      <c r="G81" s="3">
        <v>1</v>
      </c>
      <c r="H81" s="3">
        <v>1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57.8</v>
      </c>
      <c r="S81" s="2">
        <v>6.7</v>
      </c>
      <c r="T81" t="s">
        <v>126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1</v>
      </c>
      <c r="AA81" s="3">
        <v>0</v>
      </c>
    </row>
    <row r="82" spans="1:27">
      <c r="A82" t="s">
        <v>127</v>
      </c>
      <c r="B82" s="3">
        <v>3</v>
      </c>
      <c r="C82" s="3">
        <v>1</v>
      </c>
      <c r="D82" s="1">
        <v>38324</v>
      </c>
      <c r="E82" s="1">
        <v>39082</v>
      </c>
      <c r="F82" s="2">
        <f t="shared" si="1"/>
        <v>2.0752908966461328</v>
      </c>
      <c r="G82" s="3">
        <v>1</v>
      </c>
      <c r="H82" s="3">
        <v>1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57.8</v>
      </c>
      <c r="S82" s="2">
        <v>5.9</v>
      </c>
      <c r="T82" t="s">
        <v>28</v>
      </c>
      <c r="U82" s="3">
        <v>0</v>
      </c>
      <c r="V82" s="3">
        <v>1</v>
      </c>
      <c r="W82" s="3">
        <v>0</v>
      </c>
      <c r="X82" s="3">
        <v>0</v>
      </c>
      <c r="Y82" s="3">
        <v>1</v>
      </c>
      <c r="Z82" s="3">
        <v>1</v>
      </c>
      <c r="AA82" s="3">
        <v>0</v>
      </c>
    </row>
    <row r="83" spans="1:27">
      <c r="A83" t="s">
        <v>128</v>
      </c>
      <c r="B83" s="3">
        <v>2</v>
      </c>
      <c r="C83" s="3">
        <v>1</v>
      </c>
      <c r="D83" s="1">
        <v>38424</v>
      </c>
      <c r="E83" s="1">
        <v>39082</v>
      </c>
      <c r="F83" s="2">
        <f t="shared" si="1"/>
        <v>1.8015058179329226</v>
      </c>
      <c r="G83" s="3">
        <v>1</v>
      </c>
      <c r="H83" s="3">
        <v>1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57.9</v>
      </c>
      <c r="S83" s="2">
        <v>4.9000000000000004</v>
      </c>
      <c r="T83" t="s">
        <v>28</v>
      </c>
      <c r="U83" s="3">
        <v>0</v>
      </c>
      <c r="V83" s="3">
        <v>1</v>
      </c>
      <c r="W83" s="3">
        <v>0</v>
      </c>
      <c r="X83" s="3">
        <v>0</v>
      </c>
      <c r="Y83" s="3">
        <v>0</v>
      </c>
      <c r="Z83" s="3">
        <v>1</v>
      </c>
      <c r="AA83" s="3">
        <v>0</v>
      </c>
    </row>
    <row r="84" spans="1:27">
      <c r="A84" t="s">
        <v>129</v>
      </c>
      <c r="B84" s="3">
        <v>3</v>
      </c>
      <c r="C84" s="3">
        <v>1</v>
      </c>
      <c r="D84" s="1">
        <v>38353</v>
      </c>
      <c r="E84" s="1">
        <v>39082</v>
      </c>
      <c r="F84" s="2">
        <f t="shared" si="1"/>
        <v>1.9958932238193019</v>
      </c>
      <c r="G84" s="3">
        <v>1</v>
      </c>
      <c r="H84" s="3">
        <v>1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58</v>
      </c>
      <c r="S84" s="2">
        <v>8.6</v>
      </c>
      <c r="T84" t="s">
        <v>28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1</v>
      </c>
      <c r="AA84" s="3">
        <v>0</v>
      </c>
    </row>
    <row r="85" spans="1:27">
      <c r="A85" t="s">
        <v>130</v>
      </c>
      <c r="B85" s="3">
        <v>3</v>
      </c>
      <c r="C85" s="3">
        <v>1</v>
      </c>
      <c r="D85" s="1">
        <v>38360</v>
      </c>
      <c r="E85" s="1">
        <v>39082</v>
      </c>
      <c r="F85" s="2">
        <f t="shared" si="1"/>
        <v>1.9767282683093772</v>
      </c>
      <c r="G85" s="3">
        <v>2</v>
      </c>
      <c r="H85" s="3">
        <v>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58.1</v>
      </c>
      <c r="S85" s="2">
        <v>6.9</v>
      </c>
      <c r="T85" t="s">
        <v>28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</row>
    <row r="86" spans="1:27">
      <c r="A86" t="s">
        <v>131</v>
      </c>
      <c r="B86" s="3">
        <v>2</v>
      </c>
      <c r="C86" s="3">
        <v>1</v>
      </c>
      <c r="D86" s="1">
        <v>38358</v>
      </c>
      <c r="E86" s="1">
        <v>39082</v>
      </c>
      <c r="F86" s="2">
        <f t="shared" si="1"/>
        <v>1.9822039698836413</v>
      </c>
      <c r="G86" s="3">
        <v>1</v>
      </c>
      <c r="H86" s="3">
        <v>1</v>
      </c>
      <c r="I86" s="3">
        <v>1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58.2</v>
      </c>
      <c r="S86" s="2">
        <v>5</v>
      </c>
      <c r="T86" t="s">
        <v>28</v>
      </c>
      <c r="U86" s="3">
        <v>0</v>
      </c>
      <c r="V86" s="3">
        <v>1</v>
      </c>
      <c r="W86" s="3">
        <v>0</v>
      </c>
      <c r="X86" s="3">
        <v>0</v>
      </c>
      <c r="Y86" s="3">
        <v>0</v>
      </c>
      <c r="Z86" s="3">
        <v>1</v>
      </c>
      <c r="AA86" s="3">
        <v>0</v>
      </c>
    </row>
    <row r="87" spans="1:27">
      <c r="A87" t="s">
        <v>132</v>
      </c>
      <c r="B87" s="3">
        <v>2</v>
      </c>
      <c r="C87" s="3">
        <v>1</v>
      </c>
      <c r="D87" s="1">
        <v>38338</v>
      </c>
      <c r="E87" s="1">
        <v>39082</v>
      </c>
      <c r="F87" s="2">
        <f t="shared" si="1"/>
        <v>2.0369609856262834</v>
      </c>
      <c r="G87" s="3">
        <v>2</v>
      </c>
      <c r="H87" s="3">
        <v>1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58.3</v>
      </c>
      <c r="S87" s="2">
        <v>5.5</v>
      </c>
      <c r="T87" t="s">
        <v>28</v>
      </c>
      <c r="U87" s="3">
        <v>1</v>
      </c>
      <c r="V87" s="3">
        <v>1</v>
      </c>
      <c r="W87" s="3">
        <v>1</v>
      </c>
      <c r="X87" s="3">
        <v>0</v>
      </c>
      <c r="Y87" s="3">
        <v>0</v>
      </c>
      <c r="Z87" s="3">
        <v>0</v>
      </c>
      <c r="AA87" s="3">
        <v>0</v>
      </c>
    </row>
    <row r="88" spans="1:27">
      <c r="A88" t="s">
        <v>133</v>
      </c>
      <c r="B88" s="3">
        <v>2</v>
      </c>
      <c r="C88" s="3">
        <v>1</v>
      </c>
      <c r="D88" s="1">
        <v>38386</v>
      </c>
      <c r="E88" s="1">
        <v>39082</v>
      </c>
      <c r="F88" s="2">
        <f t="shared" si="1"/>
        <v>1.9055441478439425</v>
      </c>
      <c r="G88" s="3">
        <v>2</v>
      </c>
      <c r="H88" s="3">
        <v>1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58.3</v>
      </c>
      <c r="S88" s="2">
        <v>5.4</v>
      </c>
      <c r="T88" t="s">
        <v>28</v>
      </c>
      <c r="U88" s="3">
        <v>0</v>
      </c>
      <c r="V88" s="3">
        <v>1</v>
      </c>
      <c r="W88" s="3">
        <v>1</v>
      </c>
      <c r="X88" s="3">
        <v>1</v>
      </c>
      <c r="Y88" s="3">
        <v>1</v>
      </c>
      <c r="Z88" s="3">
        <v>0</v>
      </c>
      <c r="AA88" s="3">
        <v>0</v>
      </c>
    </row>
    <row r="89" spans="1:27">
      <c r="A89" t="s">
        <v>134</v>
      </c>
      <c r="B89" s="3">
        <v>2</v>
      </c>
      <c r="C89" s="3">
        <v>1</v>
      </c>
      <c r="D89" s="1">
        <v>38275</v>
      </c>
      <c r="E89" s="1">
        <v>39082</v>
      </c>
      <c r="F89" s="2">
        <f t="shared" si="1"/>
        <v>2.2094455852156059</v>
      </c>
      <c r="G89" s="3">
        <v>1</v>
      </c>
      <c r="H89" s="3">
        <v>1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58.4</v>
      </c>
      <c r="S89" s="2">
        <v>4.8</v>
      </c>
      <c r="T89" t="s">
        <v>69</v>
      </c>
      <c r="U89" s="3">
        <v>0</v>
      </c>
      <c r="V89" s="3">
        <v>1</v>
      </c>
      <c r="W89" s="3">
        <v>1</v>
      </c>
      <c r="X89" s="3">
        <v>1</v>
      </c>
      <c r="Y89" s="3">
        <v>0</v>
      </c>
      <c r="Z89" s="3">
        <v>1</v>
      </c>
      <c r="AA89" s="3">
        <v>0</v>
      </c>
    </row>
    <row r="90" spans="1:27">
      <c r="A90" t="s">
        <v>135</v>
      </c>
      <c r="B90" s="3">
        <v>3</v>
      </c>
      <c r="C90" s="3">
        <v>1</v>
      </c>
      <c r="D90" s="1">
        <v>38300</v>
      </c>
      <c r="E90" s="1">
        <v>39082</v>
      </c>
      <c r="F90" s="2">
        <f t="shared" si="1"/>
        <v>2.1409993155373033</v>
      </c>
      <c r="G90" s="3">
        <v>2</v>
      </c>
      <c r="H90" s="3">
        <v>1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58.5</v>
      </c>
      <c r="S90" s="2">
        <v>5.5</v>
      </c>
      <c r="T90" t="s">
        <v>28</v>
      </c>
      <c r="U90" s="3">
        <v>0</v>
      </c>
      <c r="V90" s="3">
        <v>0</v>
      </c>
      <c r="W90" s="3">
        <v>1</v>
      </c>
      <c r="X90" s="3">
        <v>1</v>
      </c>
      <c r="Y90" s="3">
        <v>1</v>
      </c>
      <c r="Z90" s="3">
        <v>0</v>
      </c>
      <c r="AA90" s="3">
        <v>0</v>
      </c>
    </row>
    <row r="91" spans="1:27">
      <c r="A91" t="s">
        <v>136</v>
      </c>
      <c r="B91" s="3">
        <v>1</v>
      </c>
      <c r="C91" s="3">
        <v>1</v>
      </c>
      <c r="D91" s="1">
        <v>38381</v>
      </c>
      <c r="E91" s="1">
        <v>39082</v>
      </c>
      <c r="F91" s="2">
        <f t="shared" si="1"/>
        <v>1.9192334017796031</v>
      </c>
      <c r="G91" s="3">
        <v>2</v>
      </c>
      <c r="H91" s="3">
        <v>1</v>
      </c>
      <c r="I91" s="3">
        <v>1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58.5</v>
      </c>
      <c r="S91" s="2">
        <v>5.5</v>
      </c>
      <c r="T91" t="s">
        <v>92</v>
      </c>
      <c r="U91" s="3">
        <v>0</v>
      </c>
      <c r="V91" s="3">
        <v>1</v>
      </c>
      <c r="W91" s="3">
        <v>0</v>
      </c>
      <c r="X91" s="3">
        <v>1</v>
      </c>
      <c r="Y91" s="3">
        <v>0</v>
      </c>
      <c r="Z91" s="3">
        <v>0</v>
      </c>
      <c r="AA91" s="3">
        <v>0</v>
      </c>
    </row>
    <row r="92" spans="1:27">
      <c r="A92" t="s">
        <v>137</v>
      </c>
      <c r="B92" s="3">
        <v>2</v>
      </c>
      <c r="C92" s="3">
        <v>1</v>
      </c>
      <c r="D92" s="1">
        <v>37548</v>
      </c>
      <c r="E92" s="1">
        <v>39082</v>
      </c>
      <c r="F92" s="2">
        <f t="shared" si="1"/>
        <v>4.1998631074606436</v>
      </c>
      <c r="G92" s="3">
        <v>1</v>
      </c>
      <c r="H92" s="3">
        <v>1</v>
      </c>
      <c r="I92" s="3">
        <v>1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58.6</v>
      </c>
      <c r="S92" s="2">
        <v>10.4</v>
      </c>
      <c r="T92" t="s">
        <v>105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  <c r="AA92" s="3">
        <v>0</v>
      </c>
    </row>
    <row r="93" spans="1:27">
      <c r="A93" t="s">
        <v>138</v>
      </c>
      <c r="B93" s="3">
        <v>2</v>
      </c>
      <c r="C93" s="3">
        <v>1</v>
      </c>
      <c r="D93" s="1">
        <v>38322</v>
      </c>
      <c r="E93" s="1">
        <v>39082</v>
      </c>
      <c r="F93" s="2">
        <f t="shared" si="1"/>
        <v>2.0807665982203969</v>
      </c>
      <c r="G93" s="3">
        <v>2</v>
      </c>
      <c r="H93" s="3">
        <v>1</v>
      </c>
      <c r="I93" s="3">
        <v>1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58.7</v>
      </c>
      <c r="S93" s="2">
        <v>5.4</v>
      </c>
      <c r="T93" t="s">
        <v>69</v>
      </c>
      <c r="U93" s="3">
        <v>1</v>
      </c>
      <c r="V93" s="3">
        <v>1</v>
      </c>
      <c r="W93" s="3">
        <v>1</v>
      </c>
      <c r="X93" s="3">
        <v>1</v>
      </c>
      <c r="Y93" s="3">
        <v>1</v>
      </c>
      <c r="Z93" s="3">
        <v>0</v>
      </c>
      <c r="AA93" s="3">
        <v>0</v>
      </c>
    </row>
    <row r="94" spans="1:27">
      <c r="A94" t="s">
        <v>139</v>
      </c>
      <c r="B94" s="3">
        <v>2</v>
      </c>
      <c r="C94" s="3">
        <v>1</v>
      </c>
      <c r="D94" s="1">
        <v>38346</v>
      </c>
      <c r="E94" s="1">
        <v>39082</v>
      </c>
      <c r="F94" s="2">
        <f t="shared" si="1"/>
        <v>2.0150581793292264</v>
      </c>
      <c r="G94" s="3">
        <v>2</v>
      </c>
      <c r="H94" s="3">
        <v>1</v>
      </c>
      <c r="I94" s="3">
        <v>1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58.8</v>
      </c>
      <c r="S94" s="2">
        <v>5</v>
      </c>
      <c r="T94" t="s">
        <v>28</v>
      </c>
      <c r="U94" s="3">
        <v>0</v>
      </c>
      <c r="V94" s="3">
        <v>0</v>
      </c>
      <c r="W94" s="3">
        <v>1</v>
      </c>
      <c r="X94" s="3">
        <v>1</v>
      </c>
      <c r="Y94" s="3">
        <v>0</v>
      </c>
      <c r="Z94" s="3">
        <v>0</v>
      </c>
      <c r="AA94" s="3">
        <v>0</v>
      </c>
    </row>
    <row r="95" spans="1:27">
      <c r="A95" t="s">
        <v>140</v>
      </c>
      <c r="B95" s="3">
        <v>3</v>
      </c>
      <c r="C95" s="3">
        <v>1</v>
      </c>
      <c r="D95" s="1">
        <v>38366</v>
      </c>
      <c r="E95" s="1">
        <v>39082</v>
      </c>
      <c r="F95" s="2">
        <f t="shared" si="1"/>
        <v>1.9603011635865846</v>
      </c>
      <c r="G95" s="3">
        <v>2</v>
      </c>
      <c r="H95" s="3">
        <v>1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59</v>
      </c>
      <c r="S95" s="2">
        <v>6.7</v>
      </c>
      <c r="T95" t="s">
        <v>40</v>
      </c>
      <c r="U95" s="3">
        <v>0</v>
      </c>
      <c r="V95" s="3">
        <v>0</v>
      </c>
      <c r="W95" s="3">
        <v>1</v>
      </c>
      <c r="X95" s="3">
        <v>1</v>
      </c>
      <c r="Y95" s="3">
        <v>1</v>
      </c>
      <c r="Z95" s="3">
        <v>0</v>
      </c>
      <c r="AA95" s="3">
        <v>0</v>
      </c>
    </row>
    <row r="96" spans="1:27">
      <c r="A96" t="s">
        <v>141</v>
      </c>
      <c r="B96" s="3">
        <v>1</v>
      </c>
      <c r="C96" s="3">
        <v>0</v>
      </c>
      <c r="D96" s="1">
        <v>38396</v>
      </c>
      <c r="E96" s="1">
        <v>39082</v>
      </c>
      <c r="F96" s="2">
        <f t="shared" si="1"/>
        <v>1.8781656399726214</v>
      </c>
      <c r="G96" s="3">
        <v>1</v>
      </c>
      <c r="H96" s="3">
        <v>1</v>
      </c>
      <c r="I96" s="3">
        <v>1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59</v>
      </c>
      <c r="S96" s="2">
        <v>7.1</v>
      </c>
      <c r="T96" t="s">
        <v>28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1</v>
      </c>
      <c r="AA96" s="3">
        <v>0</v>
      </c>
    </row>
    <row r="97" spans="1:27">
      <c r="A97" t="s">
        <v>142</v>
      </c>
      <c r="B97" s="3">
        <v>3</v>
      </c>
      <c r="C97" s="3">
        <v>1</v>
      </c>
      <c r="D97" s="1">
        <v>38200</v>
      </c>
      <c r="E97" s="1">
        <v>39082</v>
      </c>
      <c r="F97" s="2">
        <f t="shared" si="1"/>
        <v>2.4147843942505132</v>
      </c>
      <c r="G97" s="3">
        <v>2</v>
      </c>
      <c r="H97" s="3">
        <v>1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59.1</v>
      </c>
      <c r="S97" s="2">
        <v>6.3</v>
      </c>
      <c r="T97" t="s">
        <v>92</v>
      </c>
      <c r="U97" s="3">
        <v>0</v>
      </c>
      <c r="V97" s="3">
        <v>0</v>
      </c>
      <c r="W97" s="3">
        <v>1</v>
      </c>
      <c r="X97" s="3">
        <v>1</v>
      </c>
      <c r="Y97" s="3">
        <v>1</v>
      </c>
      <c r="Z97" s="3">
        <v>0</v>
      </c>
      <c r="AA97" s="3">
        <v>0</v>
      </c>
    </row>
    <row r="98" spans="1:27">
      <c r="A98" t="s">
        <v>143</v>
      </c>
      <c r="B98" s="3">
        <v>2</v>
      </c>
      <c r="C98" s="3">
        <v>1</v>
      </c>
      <c r="D98" s="1">
        <v>38408</v>
      </c>
      <c r="E98" s="1">
        <v>39082</v>
      </c>
      <c r="F98" s="2">
        <f t="shared" si="1"/>
        <v>1.8453114305270362</v>
      </c>
      <c r="G98" s="3">
        <v>1</v>
      </c>
      <c r="H98" s="3">
        <v>1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59.2</v>
      </c>
      <c r="S98" s="2">
        <v>5.8</v>
      </c>
      <c r="T98" t="s">
        <v>28</v>
      </c>
      <c r="U98" s="3">
        <v>0</v>
      </c>
      <c r="V98" s="3">
        <v>1</v>
      </c>
      <c r="W98" s="3">
        <v>0</v>
      </c>
      <c r="X98" s="3">
        <v>0</v>
      </c>
      <c r="Y98" s="3">
        <v>0</v>
      </c>
      <c r="Z98" s="3">
        <v>1</v>
      </c>
      <c r="AA98" s="3">
        <v>0</v>
      </c>
    </row>
    <row r="99" spans="1:27">
      <c r="A99" t="s">
        <v>144</v>
      </c>
      <c r="B99" s="3">
        <v>3</v>
      </c>
      <c r="C99" s="3">
        <v>1</v>
      </c>
      <c r="D99" s="1">
        <v>38370</v>
      </c>
      <c r="E99" s="1">
        <v>39082</v>
      </c>
      <c r="F99" s="2">
        <f t="shared" si="1"/>
        <v>1.9493497604380561</v>
      </c>
      <c r="G99" s="3">
        <v>2</v>
      </c>
      <c r="H99" s="3">
        <v>1</v>
      </c>
      <c r="I99" s="3">
        <v>1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59.3</v>
      </c>
      <c r="S99" s="2">
        <v>6.1</v>
      </c>
      <c r="T99" t="s">
        <v>28</v>
      </c>
      <c r="U99" s="3">
        <v>0</v>
      </c>
      <c r="V99" s="3">
        <v>0</v>
      </c>
      <c r="W99" s="3">
        <v>1</v>
      </c>
      <c r="X99" s="3">
        <v>1</v>
      </c>
      <c r="Y99" s="3">
        <v>1</v>
      </c>
      <c r="Z99" s="3">
        <v>0</v>
      </c>
      <c r="AA99" s="3">
        <v>0</v>
      </c>
    </row>
    <row r="100" spans="1:27">
      <c r="A100" t="s">
        <v>145</v>
      </c>
      <c r="B100" s="3">
        <v>1</v>
      </c>
      <c r="C100" s="3">
        <v>1</v>
      </c>
      <c r="D100" s="1">
        <v>38356</v>
      </c>
      <c r="E100" s="1">
        <v>39082</v>
      </c>
      <c r="F100" s="2">
        <f t="shared" si="1"/>
        <v>1.9876796714579055</v>
      </c>
      <c r="G100" s="3">
        <v>1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59.4</v>
      </c>
      <c r="S100" s="2">
        <v>6.4</v>
      </c>
      <c r="T100" t="s">
        <v>28</v>
      </c>
      <c r="U100" s="3">
        <v>0</v>
      </c>
      <c r="V100" s="3">
        <v>0</v>
      </c>
      <c r="W100" s="3">
        <v>1</v>
      </c>
      <c r="X100" s="3">
        <v>1</v>
      </c>
      <c r="Y100" s="3">
        <v>0</v>
      </c>
      <c r="Z100" s="3">
        <v>1</v>
      </c>
      <c r="AA100" s="3">
        <v>0</v>
      </c>
    </row>
    <row r="101" spans="1:27">
      <c r="A101" t="s">
        <v>146</v>
      </c>
      <c r="B101" s="3">
        <v>3</v>
      </c>
      <c r="C101" s="3">
        <v>1</v>
      </c>
      <c r="D101" s="1">
        <v>38335</v>
      </c>
      <c r="E101" s="1">
        <v>39082</v>
      </c>
      <c r="F101" s="2">
        <f t="shared" si="1"/>
        <v>2.0451745379876796</v>
      </c>
      <c r="G101" s="3">
        <v>1</v>
      </c>
      <c r="H101" s="3">
        <v>1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59.4</v>
      </c>
      <c r="S101" s="2">
        <v>5.7</v>
      </c>
      <c r="T101" t="s">
        <v>28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1</v>
      </c>
      <c r="AA101" s="3">
        <v>0</v>
      </c>
    </row>
    <row r="102" spans="1:27">
      <c r="A102" t="s">
        <v>147</v>
      </c>
      <c r="B102" s="3">
        <v>2</v>
      </c>
      <c r="C102" s="3">
        <v>1</v>
      </c>
      <c r="D102" s="1">
        <v>38237</v>
      </c>
      <c r="E102" s="1">
        <v>39082</v>
      </c>
      <c r="F102" s="2">
        <f t="shared" si="1"/>
        <v>2.3134839151266258</v>
      </c>
      <c r="G102" s="3">
        <v>1</v>
      </c>
      <c r="H102" s="3">
        <v>1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59.5</v>
      </c>
      <c r="S102" s="2">
        <v>5.8</v>
      </c>
      <c r="T102" t="s">
        <v>66</v>
      </c>
      <c r="U102" s="3">
        <v>1</v>
      </c>
      <c r="V102" s="3">
        <v>1</v>
      </c>
      <c r="W102" s="3">
        <v>0</v>
      </c>
      <c r="X102" s="3">
        <v>1</v>
      </c>
      <c r="Y102" s="3">
        <v>0</v>
      </c>
      <c r="Z102" s="3">
        <v>1</v>
      </c>
      <c r="AA102" s="3">
        <v>0</v>
      </c>
    </row>
    <row r="103" spans="1:27">
      <c r="A103" t="s">
        <v>148</v>
      </c>
      <c r="B103" s="3">
        <v>3</v>
      </c>
      <c r="C103" s="3">
        <v>1</v>
      </c>
      <c r="D103" s="1">
        <v>38297</v>
      </c>
      <c r="E103" s="1">
        <v>39082</v>
      </c>
      <c r="F103" s="2">
        <f t="shared" si="1"/>
        <v>2.1492128678986995</v>
      </c>
      <c r="G103" s="3">
        <v>1</v>
      </c>
      <c r="H103" s="3">
        <v>1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59.5</v>
      </c>
      <c r="S103" s="2">
        <v>5.7</v>
      </c>
      <c r="T103" t="s">
        <v>28</v>
      </c>
      <c r="U103" s="3">
        <v>0</v>
      </c>
      <c r="V103" s="3">
        <v>0</v>
      </c>
      <c r="W103" s="3">
        <v>1</v>
      </c>
      <c r="X103" s="3">
        <v>1</v>
      </c>
      <c r="Y103" s="3">
        <v>0</v>
      </c>
      <c r="Z103" s="3">
        <v>1</v>
      </c>
      <c r="AA103" s="3">
        <v>0</v>
      </c>
    </row>
    <row r="104" spans="1:27">
      <c r="A104" t="s">
        <v>149</v>
      </c>
      <c r="B104" s="3">
        <v>2</v>
      </c>
      <c r="C104" s="3">
        <v>1</v>
      </c>
      <c r="D104" s="1">
        <v>38236</v>
      </c>
      <c r="E104" s="1">
        <v>39082</v>
      </c>
      <c r="F104" s="2">
        <f t="shared" si="1"/>
        <v>2.3162217659137578</v>
      </c>
      <c r="G104" s="3">
        <v>2</v>
      </c>
      <c r="H104" s="3">
        <v>1</v>
      </c>
      <c r="I104" s="3">
        <v>1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59.5</v>
      </c>
      <c r="S104" s="2">
        <v>5.0999999999999996</v>
      </c>
      <c r="T104" t="s">
        <v>28</v>
      </c>
      <c r="U104" s="3">
        <v>1</v>
      </c>
      <c r="V104" s="3">
        <v>1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</row>
    <row r="105" spans="1:27">
      <c r="A105" t="s">
        <v>150</v>
      </c>
      <c r="B105" s="3">
        <v>2</v>
      </c>
      <c r="C105" s="3">
        <v>1</v>
      </c>
      <c r="D105" s="1">
        <v>38328</v>
      </c>
      <c r="E105" s="1">
        <v>39082</v>
      </c>
      <c r="F105" s="2">
        <f t="shared" si="1"/>
        <v>2.0643394934976045</v>
      </c>
      <c r="G105" s="3">
        <v>1</v>
      </c>
      <c r="H105" s="3">
        <v>1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59.8</v>
      </c>
      <c r="S105" s="2">
        <v>5.5</v>
      </c>
      <c r="T105" t="s">
        <v>28</v>
      </c>
      <c r="U105" s="3">
        <v>1</v>
      </c>
      <c r="V105" s="3">
        <v>1</v>
      </c>
      <c r="W105" s="3">
        <v>1</v>
      </c>
      <c r="X105" s="3">
        <v>1</v>
      </c>
      <c r="Y105" s="3">
        <v>0</v>
      </c>
      <c r="Z105" s="3">
        <v>1</v>
      </c>
      <c r="AA105" s="3">
        <v>0</v>
      </c>
    </row>
    <row r="106" spans="1:27">
      <c r="A106" t="s">
        <v>151</v>
      </c>
      <c r="B106" s="3">
        <v>1</v>
      </c>
      <c r="C106" s="3">
        <v>1</v>
      </c>
      <c r="D106" s="1">
        <v>38363</v>
      </c>
      <c r="E106" s="1">
        <v>39082</v>
      </c>
      <c r="F106" s="2">
        <f t="shared" si="1"/>
        <v>1.9685147159479808</v>
      </c>
      <c r="G106" s="3">
        <v>2</v>
      </c>
      <c r="H106" s="3">
        <v>1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59.8</v>
      </c>
      <c r="S106" s="2">
        <v>6.1</v>
      </c>
      <c r="T106" t="s">
        <v>28</v>
      </c>
      <c r="U106" s="3">
        <v>0</v>
      </c>
      <c r="V106" s="3">
        <v>1</v>
      </c>
      <c r="W106" s="3">
        <v>0</v>
      </c>
      <c r="X106" s="3">
        <v>0</v>
      </c>
      <c r="Y106" s="3">
        <v>1</v>
      </c>
      <c r="Z106" s="3">
        <v>0</v>
      </c>
      <c r="AA106" s="3">
        <v>0</v>
      </c>
    </row>
    <row r="107" spans="1:27">
      <c r="A107" t="s">
        <v>152</v>
      </c>
      <c r="B107" s="3">
        <v>2</v>
      </c>
      <c r="C107" s="3">
        <v>1</v>
      </c>
      <c r="D107" s="1">
        <v>38316</v>
      </c>
      <c r="E107" s="1">
        <v>39082</v>
      </c>
      <c r="F107" s="2">
        <f t="shared" si="1"/>
        <v>2.0971937029431897</v>
      </c>
      <c r="G107" s="3">
        <v>2</v>
      </c>
      <c r="H107" s="3">
        <v>1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59.9</v>
      </c>
      <c r="S107" s="2">
        <v>5</v>
      </c>
      <c r="T107" t="s">
        <v>66</v>
      </c>
      <c r="U107" s="3">
        <v>1</v>
      </c>
      <c r="V107" s="3">
        <v>1</v>
      </c>
      <c r="W107" s="3">
        <v>0</v>
      </c>
      <c r="X107" s="3">
        <v>1</v>
      </c>
      <c r="Y107" s="3">
        <v>1</v>
      </c>
      <c r="Z107" s="3">
        <v>0</v>
      </c>
      <c r="AA107" s="3">
        <v>0</v>
      </c>
    </row>
    <row r="108" spans="1:27">
      <c r="A108" t="s">
        <v>153</v>
      </c>
      <c r="B108" s="3">
        <v>2</v>
      </c>
      <c r="C108" s="3">
        <v>1</v>
      </c>
      <c r="D108" s="1">
        <v>38301</v>
      </c>
      <c r="E108" s="1">
        <v>39082</v>
      </c>
      <c r="F108" s="2">
        <f t="shared" si="1"/>
        <v>2.1382614647501712</v>
      </c>
      <c r="G108" s="3">
        <v>2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60</v>
      </c>
      <c r="S108" s="2">
        <v>5.8</v>
      </c>
      <c r="T108" t="s">
        <v>44</v>
      </c>
      <c r="U108" s="3">
        <v>0</v>
      </c>
      <c r="V108" s="3">
        <v>0</v>
      </c>
      <c r="W108" s="3">
        <v>0</v>
      </c>
      <c r="X108" s="3">
        <v>0</v>
      </c>
      <c r="Y108" s="3">
        <v>1</v>
      </c>
      <c r="Z108" s="3">
        <v>0</v>
      </c>
      <c r="AA108" s="3">
        <v>0</v>
      </c>
    </row>
    <row r="109" spans="1:27">
      <c r="A109" t="s">
        <v>154</v>
      </c>
      <c r="B109" s="3">
        <v>3</v>
      </c>
      <c r="C109" s="3">
        <v>1</v>
      </c>
      <c r="D109" s="1">
        <v>38384</v>
      </c>
      <c r="E109" s="1">
        <v>39082</v>
      </c>
      <c r="F109" s="2">
        <f t="shared" si="1"/>
        <v>1.9110198494182067</v>
      </c>
      <c r="G109" s="3">
        <v>1</v>
      </c>
      <c r="H109" s="3">
        <v>1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60</v>
      </c>
      <c r="S109" s="2">
        <v>8</v>
      </c>
      <c r="T109" t="s">
        <v>28</v>
      </c>
      <c r="U109" s="3">
        <v>0</v>
      </c>
      <c r="V109" s="3">
        <v>0</v>
      </c>
      <c r="W109" s="3">
        <v>1</v>
      </c>
      <c r="X109" s="3">
        <v>1</v>
      </c>
      <c r="Y109" s="3">
        <v>1</v>
      </c>
      <c r="Z109" s="3">
        <v>1</v>
      </c>
      <c r="AA109" s="3">
        <v>0</v>
      </c>
    </row>
    <row r="110" spans="1:27">
      <c r="A110" t="s">
        <v>155</v>
      </c>
      <c r="B110" s="3">
        <v>3</v>
      </c>
      <c r="C110" s="3">
        <v>1</v>
      </c>
      <c r="D110" s="1">
        <v>37987</v>
      </c>
      <c r="E110" s="1">
        <v>39082</v>
      </c>
      <c r="F110" s="2">
        <f t="shared" si="1"/>
        <v>2.9979466119096507</v>
      </c>
      <c r="G110" s="3">
        <v>1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60.1</v>
      </c>
      <c r="S110" s="2">
        <v>5.6</v>
      </c>
      <c r="T110" t="s">
        <v>28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  <c r="AA110" s="3">
        <v>0</v>
      </c>
    </row>
    <row r="111" spans="1:27">
      <c r="A111" t="s">
        <v>156</v>
      </c>
      <c r="B111" s="3">
        <v>2</v>
      </c>
      <c r="C111" s="3">
        <v>1</v>
      </c>
      <c r="D111" s="1">
        <v>38357</v>
      </c>
      <c r="E111" s="1">
        <v>39082</v>
      </c>
      <c r="F111" s="2">
        <f t="shared" si="1"/>
        <v>1.9849418206707734</v>
      </c>
      <c r="G111" s="3">
        <v>1</v>
      </c>
      <c r="H111" s="3">
        <v>1</v>
      </c>
      <c r="I111" s="3">
        <v>1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60.1</v>
      </c>
      <c r="S111" s="2">
        <v>5.0999999999999996</v>
      </c>
      <c r="T111" t="s">
        <v>28</v>
      </c>
      <c r="U111" s="3">
        <v>0</v>
      </c>
      <c r="V111" s="3">
        <v>1</v>
      </c>
      <c r="W111" s="3">
        <v>1</v>
      </c>
      <c r="X111" s="3">
        <v>0</v>
      </c>
      <c r="Y111" s="3">
        <v>1</v>
      </c>
      <c r="Z111" s="3">
        <v>1</v>
      </c>
      <c r="AA111" s="3">
        <v>0</v>
      </c>
    </row>
    <row r="112" spans="1:27">
      <c r="A112" t="s">
        <v>157</v>
      </c>
      <c r="B112" s="3">
        <v>2</v>
      </c>
      <c r="C112" s="3">
        <v>1</v>
      </c>
      <c r="D112" s="1">
        <v>38261</v>
      </c>
      <c r="E112" s="1">
        <v>39082</v>
      </c>
      <c r="F112" s="2">
        <f t="shared" si="1"/>
        <v>2.2477754962354553</v>
      </c>
      <c r="G112" s="3">
        <v>1</v>
      </c>
      <c r="H112" s="3">
        <v>0</v>
      </c>
      <c r="I112" s="3">
        <v>0</v>
      </c>
      <c r="J112" s="3">
        <v>1</v>
      </c>
      <c r="K112" s="3">
        <v>0</v>
      </c>
      <c r="L112" s="3">
        <v>0</v>
      </c>
      <c r="M112" s="3">
        <v>0</v>
      </c>
      <c r="N112" s="3">
        <v>1</v>
      </c>
      <c r="O112" s="3">
        <v>0</v>
      </c>
      <c r="P112" s="3">
        <v>1</v>
      </c>
      <c r="Q112" s="3">
        <v>0</v>
      </c>
      <c r="R112" s="3">
        <v>60.2</v>
      </c>
      <c r="S112" s="2">
        <v>4.5</v>
      </c>
      <c r="T112" t="s">
        <v>28</v>
      </c>
      <c r="U112" s="3">
        <v>0</v>
      </c>
      <c r="V112" s="3">
        <v>0</v>
      </c>
      <c r="W112" s="3">
        <v>1</v>
      </c>
      <c r="X112" s="3">
        <v>1</v>
      </c>
      <c r="Y112" s="3">
        <v>1</v>
      </c>
      <c r="Z112" s="3">
        <v>1</v>
      </c>
      <c r="AA112" s="3">
        <v>0</v>
      </c>
    </row>
    <row r="113" spans="1:27">
      <c r="A113" t="s">
        <v>158</v>
      </c>
      <c r="B113" s="3">
        <v>3</v>
      </c>
      <c r="C113" s="3">
        <v>1</v>
      </c>
      <c r="D113" s="1">
        <v>38281</v>
      </c>
      <c r="E113" s="1">
        <v>39082</v>
      </c>
      <c r="F113" s="2">
        <f t="shared" si="1"/>
        <v>2.193018480492813</v>
      </c>
      <c r="G113" s="3">
        <v>1</v>
      </c>
      <c r="H113" s="3">
        <v>1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60.3</v>
      </c>
      <c r="S113" s="2">
        <v>6.5</v>
      </c>
      <c r="T113" t="s">
        <v>28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1</v>
      </c>
      <c r="AA113" s="3">
        <v>0</v>
      </c>
    </row>
    <row r="114" spans="1:27">
      <c r="A114" t="s">
        <v>159</v>
      </c>
      <c r="B114" s="3">
        <v>3</v>
      </c>
      <c r="C114" s="3">
        <v>1</v>
      </c>
      <c r="D114" s="1">
        <v>38361</v>
      </c>
      <c r="E114" s="1">
        <v>39082</v>
      </c>
      <c r="F114" s="2">
        <f t="shared" si="1"/>
        <v>1.9739904175222451</v>
      </c>
      <c r="G114" s="3">
        <v>1</v>
      </c>
      <c r="H114" s="3">
        <v>1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60.4</v>
      </c>
      <c r="S114" s="2">
        <v>6.1</v>
      </c>
      <c r="T114" t="s">
        <v>28</v>
      </c>
      <c r="U114" s="3">
        <v>0</v>
      </c>
      <c r="V114" s="3">
        <v>0</v>
      </c>
      <c r="W114" s="3">
        <v>1</v>
      </c>
      <c r="X114" s="3">
        <v>1</v>
      </c>
      <c r="Y114" s="3">
        <v>1</v>
      </c>
      <c r="Z114" s="3">
        <v>1</v>
      </c>
      <c r="AA114" s="3">
        <v>0</v>
      </c>
    </row>
    <row r="115" spans="1:27">
      <c r="A115" t="s">
        <v>160</v>
      </c>
      <c r="B115" s="3">
        <v>2</v>
      </c>
      <c r="C115" s="3">
        <v>1</v>
      </c>
      <c r="D115" s="1">
        <v>38373</v>
      </c>
      <c r="E115" s="1">
        <v>39082</v>
      </c>
      <c r="F115" s="2">
        <f t="shared" si="1"/>
        <v>1.9411362080766599</v>
      </c>
      <c r="G115" s="3">
        <v>1</v>
      </c>
      <c r="H115" s="3">
        <v>1</v>
      </c>
      <c r="I115" s="3">
        <v>1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60.4</v>
      </c>
      <c r="S115" s="2">
        <v>5.9</v>
      </c>
      <c r="T115" t="s">
        <v>28</v>
      </c>
      <c r="U115" s="3">
        <v>0</v>
      </c>
      <c r="V115" s="3">
        <v>1</v>
      </c>
      <c r="W115" s="3">
        <v>0</v>
      </c>
      <c r="X115" s="3">
        <v>0</v>
      </c>
      <c r="Y115" s="3">
        <v>0</v>
      </c>
      <c r="Z115" s="3">
        <v>1</v>
      </c>
      <c r="AA115" s="3">
        <v>0</v>
      </c>
    </row>
    <row r="116" spans="1:27">
      <c r="A116" t="s">
        <v>161</v>
      </c>
      <c r="B116" s="3">
        <v>1</v>
      </c>
      <c r="C116" s="3">
        <v>1</v>
      </c>
      <c r="D116" s="1">
        <v>38294</v>
      </c>
      <c r="E116" s="1">
        <v>39082</v>
      </c>
      <c r="F116" s="2">
        <f t="shared" si="1"/>
        <v>2.1574264202600957</v>
      </c>
      <c r="G116" s="3">
        <v>2</v>
      </c>
      <c r="H116" s="3">
        <v>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1</v>
      </c>
      <c r="P116" s="3">
        <v>0</v>
      </c>
      <c r="Q116" s="3">
        <v>0</v>
      </c>
      <c r="R116" s="3">
        <v>60.5</v>
      </c>
      <c r="S116" s="2">
        <v>7.7</v>
      </c>
      <c r="T116" t="s">
        <v>28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</row>
    <row r="117" spans="1:27">
      <c r="A117" t="s">
        <v>162</v>
      </c>
      <c r="B117" s="3">
        <v>2</v>
      </c>
      <c r="C117" s="3">
        <v>1</v>
      </c>
      <c r="D117" s="1">
        <v>38239</v>
      </c>
      <c r="E117" s="1">
        <v>39082</v>
      </c>
      <c r="F117" s="2">
        <f t="shared" si="1"/>
        <v>2.3080082135523612</v>
      </c>
      <c r="G117" s="3">
        <v>2</v>
      </c>
      <c r="H117" s="3">
        <v>1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1</v>
      </c>
      <c r="P117" s="3">
        <v>0</v>
      </c>
      <c r="Q117" s="3">
        <v>0</v>
      </c>
      <c r="R117" s="3">
        <v>60.8</v>
      </c>
      <c r="S117" s="2">
        <v>6.2</v>
      </c>
      <c r="T117" t="s">
        <v>28</v>
      </c>
      <c r="U117" s="3">
        <v>1</v>
      </c>
      <c r="V117" s="3">
        <v>1</v>
      </c>
      <c r="W117" s="3">
        <v>1</v>
      </c>
      <c r="X117" s="3">
        <v>1</v>
      </c>
      <c r="Y117" s="3">
        <v>0</v>
      </c>
      <c r="Z117" s="3">
        <v>0</v>
      </c>
      <c r="AA117" s="3">
        <v>0</v>
      </c>
    </row>
    <row r="118" spans="1:27">
      <c r="A118" t="s">
        <v>163</v>
      </c>
      <c r="B118" s="3">
        <v>3</v>
      </c>
      <c r="C118" s="3">
        <v>1</v>
      </c>
      <c r="D118" s="1">
        <v>38300</v>
      </c>
      <c r="E118" s="1">
        <v>39082</v>
      </c>
      <c r="F118" s="2">
        <f t="shared" si="1"/>
        <v>2.1409993155373033</v>
      </c>
      <c r="G118" s="3">
        <v>2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1</v>
      </c>
      <c r="O118" s="3">
        <v>0</v>
      </c>
      <c r="P118" s="3">
        <v>0</v>
      </c>
      <c r="Q118" s="3">
        <v>0</v>
      </c>
      <c r="R118" s="3">
        <v>61</v>
      </c>
      <c r="S118" s="2">
        <v>5.9</v>
      </c>
      <c r="T118" t="s">
        <v>44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</row>
    <row r="119" spans="1:27">
      <c r="A119" t="s">
        <v>164</v>
      </c>
      <c r="B119" s="3">
        <v>3</v>
      </c>
      <c r="C119" s="3">
        <v>1</v>
      </c>
      <c r="D119" s="1">
        <v>38200</v>
      </c>
      <c r="E119" s="1">
        <v>39082</v>
      </c>
      <c r="F119" s="2">
        <f t="shared" si="1"/>
        <v>2.4147843942505132</v>
      </c>
      <c r="G119" s="3">
        <v>2</v>
      </c>
      <c r="H119" s="3">
        <v>1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61</v>
      </c>
      <c r="S119" s="2">
        <v>6.6</v>
      </c>
      <c r="T119" t="s">
        <v>28</v>
      </c>
      <c r="U119" s="3">
        <v>0</v>
      </c>
      <c r="V119" s="3">
        <v>0</v>
      </c>
      <c r="W119" s="3">
        <v>0</v>
      </c>
      <c r="X119" s="3">
        <v>0</v>
      </c>
      <c r="Y119" s="3">
        <v>1</v>
      </c>
      <c r="Z119" s="3">
        <v>0</v>
      </c>
      <c r="AA119" s="3">
        <v>0</v>
      </c>
    </row>
    <row r="120" spans="1:27">
      <c r="A120" t="s">
        <v>165</v>
      </c>
      <c r="B120" s="3">
        <v>3</v>
      </c>
      <c r="C120" s="3">
        <v>1</v>
      </c>
      <c r="D120" s="1">
        <v>38359</v>
      </c>
      <c r="E120" s="1">
        <v>39082</v>
      </c>
      <c r="F120" s="2">
        <f t="shared" si="1"/>
        <v>1.9794661190965093</v>
      </c>
      <c r="G120" s="3">
        <v>1</v>
      </c>
      <c r="H120" s="3">
        <v>1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61.1</v>
      </c>
      <c r="S120" s="2">
        <v>6.7</v>
      </c>
      <c r="T120" t="s">
        <v>28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1</v>
      </c>
      <c r="AA120" s="3">
        <v>0</v>
      </c>
    </row>
    <row r="121" spans="1:27">
      <c r="A121" t="s">
        <v>166</v>
      </c>
      <c r="B121" s="3">
        <v>3</v>
      </c>
      <c r="C121" s="3">
        <v>1</v>
      </c>
      <c r="D121" s="1">
        <v>38353</v>
      </c>
      <c r="E121" s="1">
        <v>39082</v>
      </c>
      <c r="F121" s="2">
        <f t="shared" si="1"/>
        <v>1.9958932238193019</v>
      </c>
      <c r="G121" s="3">
        <v>2</v>
      </c>
      <c r="H121" s="3">
        <v>1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61.2</v>
      </c>
      <c r="S121" s="2">
        <v>6.5</v>
      </c>
      <c r="T121" t="s">
        <v>28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</row>
    <row r="122" spans="1:27">
      <c r="A122" t="s">
        <v>167</v>
      </c>
      <c r="B122" s="3">
        <v>3</v>
      </c>
      <c r="C122" s="3">
        <v>1</v>
      </c>
      <c r="D122" s="1">
        <v>38322</v>
      </c>
      <c r="E122" s="1">
        <v>39082</v>
      </c>
      <c r="F122" s="2">
        <f t="shared" si="1"/>
        <v>2.0807665982203969</v>
      </c>
      <c r="G122" s="3">
        <v>2</v>
      </c>
      <c r="H122" s="3">
        <v>1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61.2</v>
      </c>
      <c r="S122" s="2">
        <v>5.2</v>
      </c>
      <c r="T122" t="s">
        <v>28</v>
      </c>
      <c r="U122" s="3">
        <v>0</v>
      </c>
      <c r="V122" s="3">
        <v>0</v>
      </c>
      <c r="W122" s="3">
        <v>0</v>
      </c>
      <c r="X122" s="3">
        <v>0</v>
      </c>
      <c r="Y122" s="3">
        <v>1</v>
      </c>
      <c r="Z122" s="3">
        <v>0</v>
      </c>
      <c r="AA122" s="3">
        <v>0</v>
      </c>
    </row>
    <row r="123" spans="1:27">
      <c r="A123" t="s">
        <v>168</v>
      </c>
      <c r="B123" s="3">
        <v>3</v>
      </c>
      <c r="C123" s="3">
        <v>1</v>
      </c>
      <c r="D123" s="1">
        <v>38292</v>
      </c>
      <c r="E123" s="1">
        <v>39082</v>
      </c>
      <c r="F123" s="2">
        <f t="shared" si="1"/>
        <v>2.1629021218343598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  <c r="N123" s="3">
        <v>1</v>
      </c>
      <c r="O123" s="3">
        <v>0</v>
      </c>
      <c r="P123" s="3">
        <v>1</v>
      </c>
      <c r="Q123" s="3">
        <v>0</v>
      </c>
      <c r="R123" s="3">
        <v>61.3</v>
      </c>
      <c r="S123" s="2">
        <v>6.8</v>
      </c>
      <c r="T123" t="s">
        <v>28</v>
      </c>
      <c r="U123" s="3">
        <v>0</v>
      </c>
      <c r="V123" s="3">
        <v>1</v>
      </c>
      <c r="W123" s="3">
        <v>1</v>
      </c>
      <c r="X123" s="3">
        <v>0</v>
      </c>
      <c r="Y123" s="3">
        <v>0</v>
      </c>
      <c r="Z123" s="3">
        <v>1</v>
      </c>
      <c r="AA123" s="3">
        <v>0</v>
      </c>
    </row>
    <row r="124" spans="1:27">
      <c r="A124" t="s">
        <v>169</v>
      </c>
      <c r="B124" s="3">
        <v>2</v>
      </c>
      <c r="C124" s="3">
        <v>1</v>
      </c>
      <c r="D124" s="1">
        <v>38367</v>
      </c>
      <c r="E124" s="1">
        <v>39082</v>
      </c>
      <c r="F124" s="2">
        <f t="shared" si="1"/>
        <v>1.9575633127994525</v>
      </c>
      <c r="G124" s="3">
        <v>2</v>
      </c>
      <c r="H124" s="3">
        <v>1</v>
      </c>
      <c r="I124" s="3">
        <v>1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61.3</v>
      </c>
      <c r="S124" s="2">
        <v>5.5</v>
      </c>
      <c r="T124" t="s">
        <v>28</v>
      </c>
      <c r="U124" s="3">
        <v>0</v>
      </c>
      <c r="V124" s="3">
        <v>1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</row>
    <row r="125" spans="1:27">
      <c r="A125" t="s">
        <v>170</v>
      </c>
      <c r="B125" s="3">
        <v>2</v>
      </c>
      <c r="C125" s="3">
        <v>1</v>
      </c>
      <c r="D125" s="1">
        <v>38275</v>
      </c>
      <c r="E125" s="1">
        <v>39082</v>
      </c>
      <c r="F125" s="2">
        <f t="shared" si="1"/>
        <v>2.2094455852156059</v>
      </c>
      <c r="G125" s="3">
        <v>2</v>
      </c>
      <c r="H125" s="3">
        <v>0</v>
      </c>
      <c r="I125" s="3">
        <v>0</v>
      </c>
      <c r="J125" s="3">
        <v>0</v>
      </c>
      <c r="K125" s="3">
        <v>0</v>
      </c>
      <c r="L125" s="3">
        <v>1</v>
      </c>
      <c r="M125" s="3">
        <v>0</v>
      </c>
      <c r="N125" s="3">
        <v>1</v>
      </c>
      <c r="O125" s="3">
        <v>0</v>
      </c>
      <c r="P125" s="3">
        <v>0</v>
      </c>
      <c r="Q125" s="3">
        <v>0</v>
      </c>
      <c r="R125" s="3">
        <v>61.4</v>
      </c>
      <c r="S125" s="2">
        <v>6.6</v>
      </c>
      <c r="T125" t="s">
        <v>28</v>
      </c>
      <c r="U125" s="3">
        <v>0</v>
      </c>
      <c r="V125" s="3">
        <v>1</v>
      </c>
      <c r="W125" s="3">
        <v>0</v>
      </c>
      <c r="X125" s="3">
        <v>1</v>
      </c>
      <c r="Y125" s="3">
        <v>1</v>
      </c>
      <c r="Z125" s="3">
        <v>0</v>
      </c>
      <c r="AA125" s="3">
        <v>0</v>
      </c>
    </row>
    <row r="126" spans="1:27">
      <c r="A126" t="s">
        <v>171</v>
      </c>
      <c r="B126" s="3">
        <v>3</v>
      </c>
      <c r="C126" s="3">
        <v>1</v>
      </c>
      <c r="D126" s="1">
        <v>38229</v>
      </c>
      <c r="E126" s="1">
        <v>39082</v>
      </c>
      <c r="F126" s="2">
        <f t="shared" si="1"/>
        <v>2.3353867214236823</v>
      </c>
      <c r="G126" s="3">
        <v>2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61.5</v>
      </c>
      <c r="S126" s="2">
        <v>5.7</v>
      </c>
      <c r="T126" t="s">
        <v>172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</row>
    <row r="127" spans="1:27">
      <c r="A127" t="s">
        <v>173</v>
      </c>
      <c r="B127" s="3">
        <v>2</v>
      </c>
      <c r="C127" s="3">
        <v>1</v>
      </c>
      <c r="D127" s="1">
        <v>38306</v>
      </c>
      <c r="E127" s="1">
        <v>39082</v>
      </c>
      <c r="F127" s="2">
        <f t="shared" si="1"/>
        <v>2.1245722108145104</v>
      </c>
      <c r="G127" s="3">
        <v>2</v>
      </c>
      <c r="H127" s="3">
        <v>1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61.5</v>
      </c>
      <c r="S127" s="2">
        <v>5.5</v>
      </c>
      <c r="T127" t="s">
        <v>28</v>
      </c>
      <c r="U127" s="3">
        <v>1</v>
      </c>
      <c r="V127" s="3">
        <v>1</v>
      </c>
      <c r="W127" s="3">
        <v>1</v>
      </c>
      <c r="X127" s="3">
        <v>1</v>
      </c>
      <c r="Y127" s="3">
        <v>1</v>
      </c>
      <c r="Z127" s="3">
        <v>0</v>
      </c>
      <c r="AA127" s="3">
        <v>0</v>
      </c>
    </row>
    <row r="128" spans="1:27">
      <c r="A128" t="s">
        <v>174</v>
      </c>
      <c r="B128" s="3">
        <v>1</v>
      </c>
      <c r="C128" s="3">
        <v>1</v>
      </c>
      <c r="D128" s="1">
        <v>38325</v>
      </c>
      <c r="E128" s="1">
        <v>39082</v>
      </c>
      <c r="F128" s="2">
        <f t="shared" si="1"/>
        <v>2.0725530458590007</v>
      </c>
      <c r="G128" s="3">
        <v>2</v>
      </c>
      <c r="H128" s="3">
        <v>1</v>
      </c>
      <c r="I128" s="3">
        <v>1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61.5</v>
      </c>
      <c r="S128" s="2">
        <v>6.2</v>
      </c>
      <c r="T128" t="s">
        <v>28</v>
      </c>
      <c r="U128" s="3">
        <v>0</v>
      </c>
      <c r="V128" s="3">
        <v>1</v>
      </c>
      <c r="W128" s="3">
        <v>1</v>
      </c>
      <c r="X128" s="3">
        <v>0</v>
      </c>
      <c r="Y128" s="3">
        <v>0</v>
      </c>
      <c r="Z128" s="3">
        <v>0</v>
      </c>
      <c r="AA128" s="3">
        <v>0</v>
      </c>
    </row>
    <row r="129" spans="1:27">
      <c r="A129" t="s">
        <v>175</v>
      </c>
      <c r="B129" s="3">
        <v>3</v>
      </c>
      <c r="C129" s="3">
        <v>1</v>
      </c>
      <c r="D129" s="1">
        <v>38261</v>
      </c>
      <c r="E129" s="1">
        <v>39082</v>
      </c>
      <c r="F129" s="2">
        <f t="shared" si="1"/>
        <v>2.2477754962354553</v>
      </c>
      <c r="G129" s="3">
        <v>2</v>
      </c>
      <c r="H129" s="3">
        <v>1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61.7</v>
      </c>
      <c r="S129" s="2">
        <v>7</v>
      </c>
      <c r="T129" t="s">
        <v>28</v>
      </c>
      <c r="U129" s="3">
        <v>0</v>
      </c>
      <c r="V129" s="3">
        <v>0</v>
      </c>
      <c r="W129" s="3">
        <v>1</v>
      </c>
      <c r="X129" s="3">
        <v>1</v>
      </c>
      <c r="Y129" s="3">
        <v>1</v>
      </c>
      <c r="Z129" s="3">
        <v>0</v>
      </c>
      <c r="AA129" s="3">
        <v>0</v>
      </c>
    </row>
    <row r="130" spans="1:27">
      <c r="A130" t="s">
        <v>176</v>
      </c>
      <c r="B130" s="3">
        <v>1</v>
      </c>
      <c r="C130" s="3">
        <v>1</v>
      </c>
      <c r="D130" s="1">
        <v>38192</v>
      </c>
      <c r="E130" s="1">
        <v>39082</v>
      </c>
      <c r="F130" s="2">
        <f t="shared" si="1"/>
        <v>2.4366872005475702</v>
      </c>
      <c r="G130" s="3">
        <v>1</v>
      </c>
      <c r="H130" s="3">
        <v>1</v>
      </c>
      <c r="I130" s="3">
        <v>1</v>
      </c>
      <c r="J130" s="3">
        <v>0</v>
      </c>
      <c r="K130" s="3">
        <v>0</v>
      </c>
      <c r="L130" s="3">
        <v>0</v>
      </c>
      <c r="M130" s="3">
        <v>0</v>
      </c>
      <c r="N130" s="3">
        <v>1</v>
      </c>
      <c r="O130" s="3">
        <v>1</v>
      </c>
      <c r="P130" s="3">
        <v>0</v>
      </c>
      <c r="Q130" s="3">
        <v>0</v>
      </c>
      <c r="R130" s="3">
        <v>61.8</v>
      </c>
      <c r="S130" s="2">
        <v>6.6</v>
      </c>
      <c r="T130" t="s">
        <v>92</v>
      </c>
      <c r="U130" s="3">
        <v>1</v>
      </c>
      <c r="V130" s="3">
        <v>1</v>
      </c>
      <c r="W130" s="3">
        <v>0</v>
      </c>
      <c r="X130" s="3">
        <v>0</v>
      </c>
      <c r="Y130" s="3">
        <v>1</v>
      </c>
      <c r="Z130" s="3">
        <v>1</v>
      </c>
      <c r="AA130" s="3">
        <v>0</v>
      </c>
    </row>
    <row r="131" spans="1:27">
      <c r="A131" t="s">
        <v>177</v>
      </c>
      <c r="B131" s="3">
        <v>2</v>
      </c>
      <c r="C131" s="3">
        <v>1</v>
      </c>
      <c r="D131" s="1">
        <v>38319</v>
      </c>
      <c r="E131" s="1">
        <v>39082</v>
      </c>
      <c r="F131" s="2">
        <f t="shared" ref="F131:F194" si="2">(E131-D131)/365.25</f>
        <v>2.0889801505817931</v>
      </c>
      <c r="G131" s="3">
        <v>1</v>
      </c>
      <c r="H131" s="3">
        <v>1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1</v>
      </c>
      <c r="P131" s="3">
        <v>0</v>
      </c>
      <c r="Q131" s="3">
        <v>0</v>
      </c>
      <c r="R131" s="3">
        <v>61.9</v>
      </c>
      <c r="S131" s="2">
        <v>6.4</v>
      </c>
      <c r="T131" t="s">
        <v>28</v>
      </c>
      <c r="U131" s="5" t="e">
        <v>#NULL!</v>
      </c>
      <c r="V131" s="3">
        <v>1</v>
      </c>
      <c r="W131" s="3">
        <v>1</v>
      </c>
      <c r="X131" s="3">
        <v>1</v>
      </c>
      <c r="Y131" s="3">
        <v>0</v>
      </c>
      <c r="Z131" s="3">
        <v>1</v>
      </c>
      <c r="AA131" s="3">
        <v>0</v>
      </c>
    </row>
    <row r="132" spans="1:27">
      <c r="A132" t="s">
        <v>58</v>
      </c>
      <c r="B132" s="3">
        <v>2</v>
      </c>
      <c r="C132" s="3">
        <v>1</v>
      </c>
      <c r="D132" s="1">
        <v>38317</v>
      </c>
      <c r="E132" s="1">
        <v>39082</v>
      </c>
      <c r="F132" s="2">
        <f t="shared" si="2"/>
        <v>2.0944558521560577</v>
      </c>
      <c r="G132" s="3">
        <v>2</v>
      </c>
      <c r="H132" s="3">
        <v>1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1</v>
      </c>
      <c r="O132" s="3">
        <v>0</v>
      </c>
      <c r="P132" s="3">
        <v>0</v>
      </c>
      <c r="Q132" s="3">
        <v>0</v>
      </c>
      <c r="R132" s="3">
        <v>61.9</v>
      </c>
      <c r="S132" s="2">
        <v>5.9</v>
      </c>
      <c r="T132" t="s">
        <v>28</v>
      </c>
      <c r="U132" s="3">
        <v>1</v>
      </c>
      <c r="V132" s="3">
        <v>1</v>
      </c>
      <c r="W132" s="3">
        <v>1</v>
      </c>
      <c r="X132" s="3">
        <v>1</v>
      </c>
      <c r="Y132" s="3">
        <v>1</v>
      </c>
      <c r="Z132" s="3">
        <v>0</v>
      </c>
      <c r="AA132" s="3">
        <v>0</v>
      </c>
    </row>
    <row r="133" spans="1:27">
      <c r="A133" t="s">
        <v>178</v>
      </c>
      <c r="B133" s="3">
        <v>3</v>
      </c>
      <c r="C133" s="3">
        <v>1</v>
      </c>
      <c r="D133" s="1">
        <v>38246</v>
      </c>
      <c r="E133" s="1">
        <v>39082</v>
      </c>
      <c r="F133" s="2">
        <f t="shared" si="2"/>
        <v>2.2888432580424367</v>
      </c>
      <c r="G133" s="3">
        <v>2</v>
      </c>
      <c r="H133" s="3">
        <v>1</v>
      </c>
      <c r="I133" s="3">
        <v>1</v>
      </c>
      <c r="J133" s="3">
        <v>0</v>
      </c>
      <c r="K133" s="3">
        <v>0</v>
      </c>
      <c r="L133" s="3">
        <v>0</v>
      </c>
      <c r="M133" s="3">
        <v>0</v>
      </c>
      <c r="N133" s="3">
        <v>1</v>
      </c>
      <c r="O133" s="3">
        <v>0</v>
      </c>
      <c r="P133" s="3">
        <v>0</v>
      </c>
      <c r="Q133" s="3">
        <v>0</v>
      </c>
      <c r="R133" s="3">
        <v>61.9</v>
      </c>
      <c r="S133" s="2">
        <v>7.6</v>
      </c>
      <c r="T133" t="s">
        <v>28</v>
      </c>
      <c r="U133" s="3">
        <v>0</v>
      </c>
      <c r="V133" s="3">
        <v>0</v>
      </c>
      <c r="W133" s="3">
        <v>1</v>
      </c>
      <c r="X133" s="3">
        <v>1</v>
      </c>
      <c r="Y133" s="3">
        <v>0</v>
      </c>
      <c r="Z133" s="3">
        <v>0</v>
      </c>
      <c r="AA133" s="3">
        <v>0</v>
      </c>
    </row>
    <row r="134" spans="1:27">
      <c r="A134" t="s">
        <v>179</v>
      </c>
      <c r="B134" s="3">
        <v>3</v>
      </c>
      <c r="C134" s="3">
        <v>1</v>
      </c>
      <c r="D134" s="1">
        <v>38228</v>
      </c>
      <c r="E134" s="1">
        <v>39082</v>
      </c>
      <c r="F134" s="2">
        <f t="shared" si="2"/>
        <v>2.3381245722108144</v>
      </c>
      <c r="G134" s="3">
        <v>1</v>
      </c>
      <c r="H134" s="3">
        <v>1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1</v>
      </c>
      <c r="O134" s="3">
        <v>0</v>
      </c>
      <c r="P134" s="3">
        <v>0</v>
      </c>
      <c r="Q134" s="3">
        <v>0</v>
      </c>
      <c r="R134" s="3">
        <v>62</v>
      </c>
      <c r="S134" s="2">
        <v>7.4</v>
      </c>
      <c r="T134" t="s">
        <v>28</v>
      </c>
      <c r="U134" s="3">
        <v>0</v>
      </c>
      <c r="V134" s="3">
        <v>1</v>
      </c>
      <c r="W134" s="3">
        <v>1</v>
      </c>
      <c r="X134" s="3">
        <v>1</v>
      </c>
      <c r="Y134" s="3">
        <v>1</v>
      </c>
      <c r="Z134" s="3">
        <v>1</v>
      </c>
      <c r="AA134" s="3">
        <v>0</v>
      </c>
    </row>
    <row r="135" spans="1:27">
      <c r="A135" t="s">
        <v>180</v>
      </c>
      <c r="B135" s="3">
        <v>2</v>
      </c>
      <c r="C135" s="3">
        <v>1</v>
      </c>
      <c r="D135" s="1">
        <v>38226</v>
      </c>
      <c r="E135" s="1">
        <v>39082</v>
      </c>
      <c r="F135" s="2">
        <f t="shared" si="2"/>
        <v>2.3436002737850785</v>
      </c>
      <c r="G135" s="3">
        <v>2</v>
      </c>
      <c r="H135" s="3">
        <v>1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1</v>
      </c>
      <c r="O135" s="3">
        <v>0</v>
      </c>
      <c r="P135" s="3">
        <v>0</v>
      </c>
      <c r="Q135" s="3">
        <v>0</v>
      </c>
      <c r="R135" s="3">
        <v>62</v>
      </c>
      <c r="S135" s="2">
        <v>6.8</v>
      </c>
      <c r="T135" t="s">
        <v>28</v>
      </c>
      <c r="U135" s="3">
        <v>1</v>
      </c>
      <c r="V135" s="3">
        <v>1</v>
      </c>
      <c r="W135" s="3">
        <v>1</v>
      </c>
      <c r="X135" s="3">
        <v>1</v>
      </c>
      <c r="Y135" s="3">
        <v>1</v>
      </c>
      <c r="Z135" s="3">
        <v>0</v>
      </c>
      <c r="AA135" s="3">
        <v>0</v>
      </c>
    </row>
    <row r="136" spans="1:27">
      <c r="A136" t="s">
        <v>181</v>
      </c>
      <c r="B136" s="3">
        <v>2</v>
      </c>
      <c r="C136" s="3">
        <v>1</v>
      </c>
      <c r="D136" s="1">
        <v>38233</v>
      </c>
      <c r="E136" s="1">
        <v>39082</v>
      </c>
      <c r="F136" s="2">
        <f t="shared" si="2"/>
        <v>2.324435318275154</v>
      </c>
      <c r="G136" s="3">
        <v>2</v>
      </c>
      <c r="H136" s="3">
        <v>0</v>
      </c>
      <c r="I136" s="3">
        <v>1</v>
      </c>
      <c r="J136" s="3">
        <v>0</v>
      </c>
      <c r="K136" s="3">
        <v>0</v>
      </c>
      <c r="L136" s="3">
        <v>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62.1</v>
      </c>
      <c r="S136" s="2">
        <v>5.3</v>
      </c>
      <c r="T136" t="s">
        <v>69</v>
      </c>
      <c r="U136" s="3">
        <v>0</v>
      </c>
      <c r="V136" s="3">
        <v>1</v>
      </c>
      <c r="W136" s="3">
        <v>1</v>
      </c>
      <c r="X136" s="3">
        <v>1</v>
      </c>
      <c r="Y136" s="3">
        <v>0</v>
      </c>
      <c r="Z136" s="3">
        <v>0</v>
      </c>
      <c r="AA136" s="3">
        <v>0</v>
      </c>
    </row>
    <row r="137" spans="1:27">
      <c r="A137" t="s">
        <v>182</v>
      </c>
      <c r="B137" s="3">
        <v>1</v>
      </c>
      <c r="C137" s="3">
        <v>1</v>
      </c>
      <c r="D137" s="1">
        <v>38311</v>
      </c>
      <c r="E137" s="1">
        <v>39082</v>
      </c>
      <c r="F137" s="2">
        <f t="shared" si="2"/>
        <v>2.1108829568788501</v>
      </c>
      <c r="G137" s="3">
        <v>1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62.2</v>
      </c>
      <c r="S137" s="2">
        <v>6.7</v>
      </c>
      <c r="T137" t="s">
        <v>28</v>
      </c>
      <c r="U137" s="3">
        <v>0</v>
      </c>
      <c r="V137" s="3">
        <v>1</v>
      </c>
      <c r="W137" s="3">
        <v>1</v>
      </c>
      <c r="X137" s="3">
        <v>1</v>
      </c>
      <c r="Y137" s="5" t="e">
        <v>#NULL!</v>
      </c>
      <c r="Z137" s="3">
        <v>1</v>
      </c>
      <c r="AA137" s="3">
        <v>0</v>
      </c>
    </row>
    <row r="138" spans="1:27">
      <c r="A138" t="s">
        <v>183</v>
      </c>
      <c r="B138" s="3">
        <v>1</v>
      </c>
      <c r="C138" s="3">
        <v>1</v>
      </c>
      <c r="D138" s="1">
        <v>38329</v>
      </c>
      <c r="E138" s="1">
        <v>39082</v>
      </c>
      <c r="F138" s="2">
        <f t="shared" si="2"/>
        <v>2.0616016427104724</v>
      </c>
      <c r="G138" s="3">
        <v>2</v>
      </c>
      <c r="H138" s="3">
        <v>1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62.7</v>
      </c>
      <c r="S138" s="2">
        <v>6.2</v>
      </c>
      <c r="T138" t="s">
        <v>28</v>
      </c>
      <c r="U138" s="3">
        <v>0</v>
      </c>
      <c r="V138" s="3">
        <v>1</v>
      </c>
      <c r="W138" s="3">
        <v>1</v>
      </c>
      <c r="X138" s="3">
        <v>0</v>
      </c>
      <c r="Y138" s="3">
        <v>0</v>
      </c>
      <c r="Z138" s="3">
        <v>0</v>
      </c>
      <c r="AA138" s="3">
        <v>0</v>
      </c>
    </row>
    <row r="139" spans="1:27">
      <c r="A139" t="s">
        <v>184</v>
      </c>
      <c r="B139" s="3">
        <v>3</v>
      </c>
      <c r="C139" s="3">
        <v>1</v>
      </c>
      <c r="D139" s="1">
        <v>38322</v>
      </c>
      <c r="E139" s="1">
        <v>39082</v>
      </c>
      <c r="F139" s="2">
        <f t="shared" si="2"/>
        <v>2.0807665982203969</v>
      </c>
      <c r="G139" s="3">
        <v>1</v>
      </c>
      <c r="H139" s="3">
        <v>1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62.8</v>
      </c>
      <c r="S139" s="2">
        <v>7.7</v>
      </c>
      <c r="T139" t="s">
        <v>34</v>
      </c>
      <c r="U139" s="3">
        <v>0</v>
      </c>
      <c r="V139" s="3">
        <v>0</v>
      </c>
      <c r="W139" s="3">
        <v>1</v>
      </c>
      <c r="X139" s="3">
        <v>1</v>
      </c>
      <c r="Y139" s="3">
        <v>1</v>
      </c>
      <c r="Z139" s="3">
        <v>1</v>
      </c>
      <c r="AA139" s="3">
        <v>0</v>
      </c>
    </row>
    <row r="140" spans="1:27">
      <c r="A140" t="s">
        <v>185</v>
      </c>
      <c r="B140" s="3">
        <v>1</v>
      </c>
      <c r="C140" s="3">
        <v>1</v>
      </c>
      <c r="D140" s="1">
        <v>38317</v>
      </c>
      <c r="E140" s="1">
        <v>39082</v>
      </c>
      <c r="F140" s="2">
        <f t="shared" si="2"/>
        <v>2.0944558521560577</v>
      </c>
      <c r="G140" s="3">
        <v>1</v>
      </c>
      <c r="H140" s="3">
        <v>1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1</v>
      </c>
      <c r="O140" s="3">
        <v>0</v>
      </c>
      <c r="P140" s="3">
        <v>0</v>
      </c>
      <c r="Q140" s="3">
        <v>0</v>
      </c>
      <c r="R140" s="3">
        <v>63</v>
      </c>
      <c r="S140" s="2">
        <v>6.8</v>
      </c>
      <c r="T140" t="s">
        <v>186</v>
      </c>
      <c r="U140" s="3">
        <v>0</v>
      </c>
      <c r="V140" s="3">
        <v>0</v>
      </c>
      <c r="W140" s="3">
        <v>0</v>
      </c>
      <c r="X140" s="3">
        <v>1</v>
      </c>
      <c r="Y140" s="3">
        <v>1</v>
      </c>
      <c r="Z140" s="3">
        <v>1</v>
      </c>
      <c r="AA140" s="3">
        <v>0</v>
      </c>
    </row>
    <row r="141" spans="1:27">
      <c r="A141" t="s">
        <v>187</v>
      </c>
      <c r="B141" s="3">
        <v>2</v>
      </c>
      <c r="C141" s="3">
        <v>1</v>
      </c>
      <c r="D141" s="1">
        <v>38318</v>
      </c>
      <c r="E141" s="1">
        <v>39082</v>
      </c>
      <c r="F141" s="2">
        <f t="shared" si="2"/>
        <v>2.0917180013689256</v>
      </c>
      <c r="G141" s="3">
        <v>1</v>
      </c>
      <c r="H141" s="3">
        <v>1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63</v>
      </c>
      <c r="S141" s="2">
        <v>5.8</v>
      </c>
      <c r="T141" t="s">
        <v>188</v>
      </c>
      <c r="U141" s="3">
        <v>1</v>
      </c>
      <c r="V141" s="3">
        <v>0</v>
      </c>
      <c r="W141" s="3">
        <v>1</v>
      </c>
      <c r="X141" s="3">
        <v>1</v>
      </c>
      <c r="Y141" s="3">
        <v>0</v>
      </c>
      <c r="Z141" s="3">
        <v>1</v>
      </c>
      <c r="AA141" s="3">
        <v>0</v>
      </c>
    </row>
    <row r="142" spans="1:27">
      <c r="A142" t="s">
        <v>189</v>
      </c>
      <c r="B142" s="3">
        <v>3</v>
      </c>
      <c r="C142" s="3">
        <v>1</v>
      </c>
      <c r="D142" s="1">
        <v>38261</v>
      </c>
      <c r="E142" s="1">
        <v>39082</v>
      </c>
      <c r="F142" s="2">
        <f t="shared" si="2"/>
        <v>2.2477754962354553</v>
      </c>
      <c r="G142" s="3">
        <v>1</v>
      </c>
      <c r="H142" s="3">
        <v>1</v>
      </c>
      <c r="I142" s="3">
        <v>0</v>
      </c>
      <c r="J142" s="3">
        <v>1</v>
      </c>
      <c r="K142" s="3">
        <v>0</v>
      </c>
      <c r="L142" s="3">
        <v>0</v>
      </c>
      <c r="M142" s="3">
        <v>1</v>
      </c>
      <c r="N142" s="3">
        <v>1</v>
      </c>
      <c r="O142" s="3">
        <v>0</v>
      </c>
      <c r="P142" s="3">
        <v>1</v>
      </c>
      <c r="Q142" s="3">
        <v>0</v>
      </c>
      <c r="R142" s="3">
        <v>63</v>
      </c>
      <c r="S142" s="2">
        <v>7.5</v>
      </c>
      <c r="T142" t="s">
        <v>28</v>
      </c>
      <c r="U142" s="3">
        <v>0</v>
      </c>
      <c r="V142" s="3">
        <v>0</v>
      </c>
      <c r="W142" s="3">
        <v>1</v>
      </c>
      <c r="X142" s="3">
        <v>1</v>
      </c>
      <c r="Y142" s="3">
        <v>0</v>
      </c>
      <c r="Z142" s="3">
        <v>1</v>
      </c>
      <c r="AA142" s="3">
        <v>0</v>
      </c>
    </row>
    <row r="143" spans="1:27">
      <c r="A143" t="s">
        <v>190</v>
      </c>
      <c r="B143" s="3">
        <v>3</v>
      </c>
      <c r="C143" s="3">
        <v>1</v>
      </c>
      <c r="D143" s="1">
        <v>38170</v>
      </c>
      <c r="E143" s="1">
        <v>39082</v>
      </c>
      <c r="F143" s="2">
        <f t="shared" si="2"/>
        <v>2.4969199178644765</v>
      </c>
      <c r="G143" s="3">
        <v>2</v>
      </c>
      <c r="H143" s="3">
        <v>1</v>
      </c>
      <c r="I143" s="3">
        <v>0</v>
      </c>
      <c r="J143" s="3">
        <v>1</v>
      </c>
      <c r="K143" s="3">
        <v>0</v>
      </c>
      <c r="L143" s="3">
        <v>0</v>
      </c>
      <c r="M143" s="3">
        <v>1</v>
      </c>
      <c r="N143" s="3">
        <v>0</v>
      </c>
      <c r="O143" s="3">
        <v>0</v>
      </c>
      <c r="P143" s="3">
        <v>1</v>
      </c>
      <c r="Q143" s="3">
        <v>0</v>
      </c>
      <c r="R143" s="3">
        <v>63</v>
      </c>
      <c r="S143" s="2">
        <v>5.8</v>
      </c>
      <c r="T143" t="s">
        <v>28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</row>
    <row r="144" spans="1:27">
      <c r="A144" t="s">
        <v>191</v>
      </c>
      <c r="B144" s="3">
        <v>1</v>
      </c>
      <c r="C144" s="3">
        <v>1</v>
      </c>
      <c r="D144" s="1">
        <v>38123</v>
      </c>
      <c r="E144" s="1">
        <v>39082</v>
      </c>
      <c r="F144" s="2">
        <f t="shared" si="2"/>
        <v>2.6255989048596851</v>
      </c>
      <c r="G144" s="3">
        <v>2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1</v>
      </c>
      <c r="P144" s="3">
        <v>0</v>
      </c>
      <c r="Q144" s="3">
        <v>0</v>
      </c>
      <c r="R144" s="3">
        <v>63.2</v>
      </c>
      <c r="S144" s="2">
        <v>6.4</v>
      </c>
      <c r="T144" t="s">
        <v>28</v>
      </c>
      <c r="U144" s="3">
        <v>1</v>
      </c>
      <c r="V144" s="3">
        <v>1</v>
      </c>
      <c r="W144" s="3">
        <v>1</v>
      </c>
      <c r="X144" s="3">
        <v>1</v>
      </c>
      <c r="Y144" s="3">
        <v>1</v>
      </c>
      <c r="Z144" s="3">
        <v>0</v>
      </c>
      <c r="AA144" s="3">
        <v>0</v>
      </c>
    </row>
    <row r="145" spans="1:27">
      <c r="A145" t="s">
        <v>192</v>
      </c>
      <c r="B145" s="3">
        <v>3</v>
      </c>
      <c r="C145" s="3">
        <v>1</v>
      </c>
      <c r="D145" s="1">
        <v>38215</v>
      </c>
      <c r="E145" s="1">
        <v>39082</v>
      </c>
      <c r="F145" s="2">
        <f t="shared" si="2"/>
        <v>2.3737166324435317</v>
      </c>
      <c r="G145" s="3">
        <v>2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1</v>
      </c>
      <c r="O145" s="3">
        <v>0</v>
      </c>
      <c r="P145" s="3">
        <v>0</v>
      </c>
      <c r="Q145" s="3">
        <v>0</v>
      </c>
      <c r="R145" s="3">
        <v>63.2</v>
      </c>
      <c r="S145" s="2">
        <v>7.5</v>
      </c>
      <c r="T145" t="s">
        <v>193</v>
      </c>
      <c r="U145" s="3">
        <v>0</v>
      </c>
      <c r="V145" s="3">
        <v>0</v>
      </c>
      <c r="W145" s="3">
        <v>1</v>
      </c>
      <c r="X145" s="3">
        <v>0</v>
      </c>
      <c r="Y145" s="3">
        <v>0</v>
      </c>
      <c r="Z145" s="3">
        <v>0</v>
      </c>
      <c r="AA145" s="3">
        <v>0</v>
      </c>
    </row>
    <row r="146" spans="1:27">
      <c r="A146" t="s">
        <v>194</v>
      </c>
      <c r="B146" s="3">
        <v>2</v>
      </c>
      <c r="C146" s="3">
        <v>1</v>
      </c>
      <c r="D146" s="1">
        <v>38224</v>
      </c>
      <c r="E146" s="1">
        <v>39082</v>
      </c>
      <c r="F146" s="2">
        <f t="shared" si="2"/>
        <v>2.3490759753593431</v>
      </c>
      <c r="G146" s="3">
        <v>2</v>
      </c>
      <c r="H146" s="3">
        <v>1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63.5</v>
      </c>
      <c r="S146" s="2">
        <v>5.8</v>
      </c>
      <c r="T146" t="s">
        <v>28</v>
      </c>
      <c r="U146" s="3">
        <v>1</v>
      </c>
      <c r="V146" s="3">
        <v>1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</row>
    <row r="147" spans="1:27">
      <c r="A147" t="s">
        <v>104</v>
      </c>
      <c r="B147" s="3">
        <v>2</v>
      </c>
      <c r="C147" s="3">
        <v>1</v>
      </c>
      <c r="D147" s="1">
        <v>38250</v>
      </c>
      <c r="E147" s="1">
        <v>39082</v>
      </c>
      <c r="F147" s="2">
        <f t="shared" si="2"/>
        <v>2.2778918548939084</v>
      </c>
      <c r="G147" s="3">
        <v>2</v>
      </c>
      <c r="H147" s="3">
        <v>0</v>
      </c>
      <c r="I147" s="3">
        <v>1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63.5</v>
      </c>
      <c r="S147" s="2">
        <v>5.6</v>
      </c>
      <c r="T147" t="s">
        <v>28</v>
      </c>
      <c r="U147" s="3">
        <v>0</v>
      </c>
      <c r="V147" s="3">
        <v>0</v>
      </c>
      <c r="W147" s="3">
        <v>1</v>
      </c>
      <c r="X147" s="3">
        <v>0</v>
      </c>
      <c r="Y147" s="3">
        <v>1</v>
      </c>
      <c r="Z147" s="3">
        <v>0</v>
      </c>
      <c r="AA147" s="3">
        <v>0</v>
      </c>
    </row>
    <row r="148" spans="1:27">
      <c r="A148" t="s">
        <v>195</v>
      </c>
      <c r="B148" s="3">
        <v>1</v>
      </c>
      <c r="C148" s="3">
        <v>0</v>
      </c>
      <c r="D148" s="1">
        <v>38256</v>
      </c>
      <c r="E148" s="1">
        <v>39082</v>
      </c>
      <c r="F148" s="2">
        <f t="shared" si="2"/>
        <v>2.2614647501711156</v>
      </c>
      <c r="G148" s="3">
        <v>1</v>
      </c>
      <c r="H148" s="3">
        <v>1</v>
      </c>
      <c r="I148" s="3">
        <v>1</v>
      </c>
      <c r="J148" s="3">
        <v>0</v>
      </c>
      <c r="K148" s="3">
        <v>1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63.5</v>
      </c>
      <c r="S148" s="2">
        <v>6.6</v>
      </c>
      <c r="T148" t="s">
        <v>92</v>
      </c>
      <c r="U148" s="3">
        <v>0</v>
      </c>
      <c r="V148" s="3">
        <v>1</v>
      </c>
      <c r="W148" s="3">
        <v>0</v>
      </c>
      <c r="X148" s="3">
        <v>0</v>
      </c>
      <c r="Y148" s="3">
        <v>1</v>
      </c>
      <c r="Z148" s="3">
        <v>1</v>
      </c>
      <c r="AA148" s="3">
        <v>0</v>
      </c>
    </row>
    <row r="149" spans="1:27">
      <c r="A149" t="s">
        <v>196</v>
      </c>
      <c r="B149" s="3">
        <v>2</v>
      </c>
      <c r="C149" s="3">
        <v>1</v>
      </c>
      <c r="D149" s="1">
        <v>38322</v>
      </c>
      <c r="E149" s="1">
        <v>39082</v>
      </c>
      <c r="F149" s="2">
        <f t="shared" si="2"/>
        <v>2.0807665982203969</v>
      </c>
      <c r="G149" s="3">
        <v>1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63.6</v>
      </c>
      <c r="S149" s="2">
        <v>6.7</v>
      </c>
      <c r="T149" t="s">
        <v>28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  <c r="AA149" s="3">
        <v>0</v>
      </c>
    </row>
    <row r="150" spans="1:27">
      <c r="A150" t="s">
        <v>197</v>
      </c>
      <c r="B150" s="3">
        <v>2</v>
      </c>
      <c r="C150" s="3">
        <v>1</v>
      </c>
      <c r="D150" s="1">
        <v>38251</v>
      </c>
      <c r="E150" s="1">
        <v>39082</v>
      </c>
      <c r="F150" s="2">
        <f t="shared" si="2"/>
        <v>2.2751540041067764</v>
      </c>
      <c r="G150" s="3">
        <v>2</v>
      </c>
      <c r="H150" s="3">
        <v>1</v>
      </c>
      <c r="I150" s="3">
        <v>1</v>
      </c>
      <c r="J150" s="3">
        <v>0</v>
      </c>
      <c r="K150" s="3">
        <v>0</v>
      </c>
      <c r="L150" s="3">
        <v>0</v>
      </c>
      <c r="M150" s="3">
        <v>0</v>
      </c>
      <c r="N150" s="3">
        <v>1</v>
      </c>
      <c r="O150" s="3">
        <v>0</v>
      </c>
      <c r="P150" s="3">
        <v>0</v>
      </c>
      <c r="Q150" s="3">
        <v>0</v>
      </c>
      <c r="R150" s="3">
        <v>63.9</v>
      </c>
      <c r="S150" s="2">
        <v>5.7</v>
      </c>
      <c r="T150" t="s">
        <v>69</v>
      </c>
      <c r="U150" s="3">
        <v>1</v>
      </c>
      <c r="V150" s="3">
        <v>1</v>
      </c>
      <c r="W150" s="3">
        <v>1</v>
      </c>
      <c r="X150" s="3">
        <v>1</v>
      </c>
      <c r="Y150" s="3">
        <v>0</v>
      </c>
      <c r="Z150" s="3">
        <v>0</v>
      </c>
      <c r="AA150" s="3">
        <v>0</v>
      </c>
    </row>
    <row r="151" spans="1:27">
      <c r="A151" t="s">
        <v>198</v>
      </c>
      <c r="B151" s="3">
        <v>3</v>
      </c>
      <c r="C151" s="3">
        <v>1</v>
      </c>
      <c r="D151" s="1">
        <v>38268</v>
      </c>
      <c r="E151" s="1">
        <v>39082</v>
      </c>
      <c r="F151" s="2">
        <f t="shared" si="2"/>
        <v>2.2286105407255303</v>
      </c>
      <c r="G151" s="3">
        <v>2</v>
      </c>
      <c r="H151" s="3">
        <v>1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64.2</v>
      </c>
      <c r="S151" s="2">
        <v>8.1</v>
      </c>
      <c r="T151" t="s">
        <v>199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</row>
    <row r="152" spans="1:27">
      <c r="A152" t="s">
        <v>200</v>
      </c>
      <c r="B152" s="3">
        <v>2</v>
      </c>
      <c r="C152" s="3">
        <v>1</v>
      </c>
      <c r="D152" s="1">
        <v>38236</v>
      </c>
      <c r="E152" s="1">
        <v>39082</v>
      </c>
      <c r="F152" s="2">
        <f t="shared" si="2"/>
        <v>2.3162217659137578</v>
      </c>
      <c r="G152" s="3">
        <v>2</v>
      </c>
      <c r="H152" s="3">
        <v>1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1</v>
      </c>
      <c r="O152" s="3">
        <v>0</v>
      </c>
      <c r="P152" s="3">
        <v>0</v>
      </c>
      <c r="Q152" s="3">
        <v>0</v>
      </c>
      <c r="R152" s="3">
        <v>64.3</v>
      </c>
      <c r="S152" s="2">
        <v>5.9</v>
      </c>
      <c r="T152" t="s">
        <v>28</v>
      </c>
      <c r="U152" s="3">
        <v>1</v>
      </c>
      <c r="V152" s="3">
        <v>1</v>
      </c>
      <c r="W152" s="3">
        <v>0</v>
      </c>
      <c r="X152" s="3">
        <v>1</v>
      </c>
      <c r="Y152" s="3">
        <v>1</v>
      </c>
      <c r="Z152" s="3">
        <v>0</v>
      </c>
      <c r="AA152" s="3">
        <v>0</v>
      </c>
    </row>
    <row r="153" spans="1:27">
      <c r="A153" t="s">
        <v>201</v>
      </c>
      <c r="B153" s="3">
        <v>1</v>
      </c>
      <c r="C153" s="3">
        <v>1</v>
      </c>
      <c r="D153" s="1">
        <v>38257</v>
      </c>
      <c r="E153" s="1">
        <v>39082</v>
      </c>
      <c r="F153" s="2">
        <f t="shared" si="2"/>
        <v>2.2587268993839835</v>
      </c>
      <c r="G153" s="3">
        <v>1</v>
      </c>
      <c r="H153" s="3">
        <v>0</v>
      </c>
      <c r="I153" s="3">
        <v>0</v>
      </c>
      <c r="J153" s="3">
        <v>0</v>
      </c>
      <c r="K153" s="3">
        <v>1</v>
      </c>
      <c r="L153" s="3">
        <v>1</v>
      </c>
      <c r="M153" s="3">
        <v>0</v>
      </c>
      <c r="N153" s="3">
        <v>1</v>
      </c>
      <c r="O153" s="3">
        <v>0</v>
      </c>
      <c r="P153" s="3">
        <v>1</v>
      </c>
      <c r="Q153" s="3">
        <v>0</v>
      </c>
      <c r="R153" s="3">
        <v>64.5</v>
      </c>
      <c r="S153" s="2">
        <v>7.1</v>
      </c>
      <c r="T153" t="s">
        <v>69</v>
      </c>
      <c r="U153" s="3">
        <v>1</v>
      </c>
      <c r="V153" s="3">
        <v>1</v>
      </c>
      <c r="W153" s="3">
        <v>0</v>
      </c>
      <c r="X153" s="3">
        <v>0</v>
      </c>
      <c r="Y153" s="3">
        <v>0</v>
      </c>
      <c r="Z153" s="3">
        <v>1</v>
      </c>
      <c r="AA153" s="3">
        <v>0</v>
      </c>
    </row>
    <row r="154" spans="1:27">
      <c r="A154" t="s">
        <v>202</v>
      </c>
      <c r="B154" s="3">
        <v>2</v>
      </c>
      <c r="C154" s="3">
        <v>1</v>
      </c>
      <c r="D154" s="1">
        <v>38232</v>
      </c>
      <c r="E154" s="1">
        <v>39082</v>
      </c>
      <c r="F154" s="2">
        <f t="shared" si="2"/>
        <v>2.3271731690622861</v>
      </c>
      <c r="G154" s="3">
        <v>1</v>
      </c>
      <c r="H154" s="3">
        <v>1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1</v>
      </c>
      <c r="P154" s="3">
        <v>0</v>
      </c>
      <c r="Q154" s="3">
        <v>0</v>
      </c>
      <c r="R154" s="3">
        <v>64.5</v>
      </c>
      <c r="S154" s="2">
        <v>7.7</v>
      </c>
      <c r="T154" t="s">
        <v>203</v>
      </c>
      <c r="U154" s="3">
        <v>0</v>
      </c>
      <c r="V154" s="3">
        <v>1</v>
      </c>
      <c r="W154" s="3">
        <v>1</v>
      </c>
      <c r="X154" s="3">
        <v>1</v>
      </c>
      <c r="Y154" s="3">
        <v>0</v>
      </c>
      <c r="Z154" s="3">
        <v>1</v>
      </c>
      <c r="AA154" s="3">
        <v>0</v>
      </c>
    </row>
    <row r="155" spans="1:27">
      <c r="A155" t="s">
        <v>204</v>
      </c>
      <c r="B155" s="3">
        <v>3</v>
      </c>
      <c r="C155" s="3">
        <v>1</v>
      </c>
      <c r="D155" s="1">
        <v>38235</v>
      </c>
      <c r="E155" s="1">
        <v>39082</v>
      </c>
      <c r="F155" s="2">
        <f t="shared" si="2"/>
        <v>2.3189596167008899</v>
      </c>
      <c r="G155" s="3">
        <v>1</v>
      </c>
      <c r="H155" s="3">
        <v>1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64.5</v>
      </c>
      <c r="S155" s="2">
        <v>7.6</v>
      </c>
      <c r="T155" t="s">
        <v>205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  <c r="AA155" s="3">
        <v>0</v>
      </c>
    </row>
    <row r="156" spans="1:27">
      <c r="A156" t="s">
        <v>206</v>
      </c>
      <c r="B156" s="3">
        <v>2</v>
      </c>
      <c r="C156" s="3">
        <v>1</v>
      </c>
      <c r="D156" s="1">
        <v>38232</v>
      </c>
      <c r="E156" s="1">
        <v>39082</v>
      </c>
      <c r="F156" s="2">
        <f t="shared" si="2"/>
        <v>2.3271731690622861</v>
      </c>
      <c r="G156" s="3">
        <v>1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64.599999999999994</v>
      </c>
      <c r="S156" s="2">
        <v>6.5</v>
      </c>
      <c r="T156" t="s">
        <v>28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0</v>
      </c>
    </row>
    <row r="157" spans="1:27">
      <c r="A157" t="s">
        <v>207</v>
      </c>
      <c r="B157" s="3">
        <v>1</v>
      </c>
      <c r="C157" s="3">
        <v>1</v>
      </c>
      <c r="D157" s="1">
        <v>38279</v>
      </c>
      <c r="E157" s="1">
        <v>39082</v>
      </c>
      <c r="F157" s="2">
        <f t="shared" si="2"/>
        <v>2.1984941820670771</v>
      </c>
      <c r="G157" s="3">
        <v>1</v>
      </c>
      <c r="H157" s="3">
        <v>1</v>
      </c>
      <c r="I157" s="3">
        <v>1</v>
      </c>
      <c r="J157" s="3">
        <v>0</v>
      </c>
      <c r="K157" s="3">
        <v>0</v>
      </c>
      <c r="L157" s="3">
        <v>0</v>
      </c>
      <c r="M157" s="3">
        <v>0</v>
      </c>
      <c r="N157" s="3">
        <v>1</v>
      </c>
      <c r="O157" s="3">
        <v>1</v>
      </c>
      <c r="P157" s="3">
        <v>1</v>
      </c>
      <c r="Q157" s="3">
        <v>0</v>
      </c>
      <c r="R157" s="3">
        <v>64.599999999999994</v>
      </c>
      <c r="S157" s="2">
        <v>8.1</v>
      </c>
      <c r="T157" t="s">
        <v>28</v>
      </c>
      <c r="U157" s="3">
        <v>0</v>
      </c>
      <c r="V157" s="3">
        <v>1</v>
      </c>
      <c r="W157" s="3">
        <v>0</v>
      </c>
      <c r="X157" s="3">
        <v>0</v>
      </c>
      <c r="Y157" s="3">
        <v>1</v>
      </c>
      <c r="Z157" s="3">
        <v>1</v>
      </c>
      <c r="AA157" s="3">
        <v>0</v>
      </c>
    </row>
    <row r="158" spans="1:27">
      <c r="A158" t="s">
        <v>208</v>
      </c>
      <c r="B158" s="3">
        <v>1</v>
      </c>
      <c r="C158" s="3">
        <v>1</v>
      </c>
      <c r="D158" s="1">
        <v>38232</v>
      </c>
      <c r="E158" s="1">
        <v>39082</v>
      </c>
      <c r="F158" s="2">
        <f t="shared" si="2"/>
        <v>2.3271731690622861</v>
      </c>
      <c r="G158" s="3">
        <v>2</v>
      </c>
      <c r="H158" s="3">
        <v>0</v>
      </c>
      <c r="I158" s="3">
        <v>1</v>
      </c>
      <c r="J158" s="3">
        <v>0</v>
      </c>
      <c r="K158" s="3">
        <v>0</v>
      </c>
      <c r="L158" s="3">
        <v>0</v>
      </c>
      <c r="M158" s="3">
        <v>0</v>
      </c>
      <c r="N158" s="3">
        <v>1</v>
      </c>
      <c r="O158" s="3">
        <v>1</v>
      </c>
      <c r="P158" s="3">
        <v>1</v>
      </c>
      <c r="Q158" s="3">
        <v>0</v>
      </c>
      <c r="R158" s="3">
        <v>64.8</v>
      </c>
      <c r="S158" s="2">
        <v>6.4</v>
      </c>
      <c r="T158" t="s">
        <v>28</v>
      </c>
      <c r="U158" s="3">
        <v>1</v>
      </c>
      <c r="V158" s="3">
        <v>1</v>
      </c>
      <c r="W158" s="3">
        <v>0</v>
      </c>
      <c r="X158" s="3">
        <v>0</v>
      </c>
      <c r="Y158" s="3">
        <v>1</v>
      </c>
      <c r="Z158" s="3">
        <v>0</v>
      </c>
      <c r="AA158" s="3">
        <v>0</v>
      </c>
    </row>
    <row r="159" spans="1:27">
      <c r="A159" t="s">
        <v>209</v>
      </c>
      <c r="B159" s="3">
        <v>3</v>
      </c>
      <c r="C159" s="3">
        <v>1</v>
      </c>
      <c r="D159" s="1">
        <v>38172</v>
      </c>
      <c r="E159" s="1">
        <v>39082</v>
      </c>
      <c r="F159" s="2">
        <f t="shared" si="2"/>
        <v>2.4914442162902124</v>
      </c>
      <c r="G159" s="3">
        <v>2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64.900000000000006</v>
      </c>
      <c r="S159" s="2">
        <v>7.1</v>
      </c>
      <c r="T159" t="s">
        <v>210</v>
      </c>
      <c r="U159" s="3">
        <v>0</v>
      </c>
      <c r="V159" s="3">
        <v>1</v>
      </c>
      <c r="W159" s="3">
        <v>1</v>
      </c>
      <c r="X159" s="3">
        <v>0</v>
      </c>
      <c r="Y159" s="3">
        <v>1</v>
      </c>
      <c r="Z159" s="3">
        <v>0</v>
      </c>
      <c r="AA159" s="3">
        <v>0</v>
      </c>
    </row>
    <row r="160" spans="1:27">
      <c r="A160" t="s">
        <v>211</v>
      </c>
      <c r="B160" s="3">
        <v>3</v>
      </c>
      <c r="C160" s="3">
        <v>1</v>
      </c>
      <c r="D160" s="1">
        <v>38220</v>
      </c>
      <c r="E160" s="1">
        <v>39082</v>
      </c>
      <c r="F160" s="2">
        <f t="shared" si="2"/>
        <v>2.3600273785078714</v>
      </c>
      <c r="G160" s="3">
        <v>2</v>
      </c>
      <c r="H160" s="3">
        <v>1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64.900000000000006</v>
      </c>
      <c r="S160" s="2">
        <v>7.5</v>
      </c>
      <c r="T160" t="s">
        <v>28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  <c r="AA160" s="3">
        <v>0</v>
      </c>
    </row>
    <row r="161" spans="1:27">
      <c r="A161" t="s">
        <v>212</v>
      </c>
      <c r="B161" s="3">
        <v>3</v>
      </c>
      <c r="C161" s="3">
        <v>1</v>
      </c>
      <c r="D161" s="1">
        <v>38226</v>
      </c>
      <c r="E161" s="1">
        <v>39082</v>
      </c>
      <c r="F161" s="2">
        <f t="shared" si="2"/>
        <v>2.3436002737850785</v>
      </c>
      <c r="G161" s="3">
        <v>1</v>
      </c>
      <c r="H161" s="3">
        <v>1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65</v>
      </c>
      <c r="S161" s="2">
        <v>6.8</v>
      </c>
      <c r="T161" t="s">
        <v>213</v>
      </c>
      <c r="U161" s="3">
        <v>0</v>
      </c>
      <c r="V161" s="3">
        <v>0</v>
      </c>
      <c r="W161" s="3">
        <v>1</v>
      </c>
      <c r="X161" s="3">
        <v>1</v>
      </c>
      <c r="Y161" s="3">
        <v>1</v>
      </c>
      <c r="Z161" s="3">
        <v>1</v>
      </c>
      <c r="AA161" s="3">
        <v>0</v>
      </c>
    </row>
    <row r="162" spans="1:27">
      <c r="A162" t="s">
        <v>214</v>
      </c>
      <c r="B162" s="3">
        <v>3</v>
      </c>
      <c r="C162" s="3">
        <v>1</v>
      </c>
      <c r="D162" s="1">
        <v>38154</v>
      </c>
      <c r="E162" s="1">
        <v>39082</v>
      </c>
      <c r="F162" s="2">
        <f t="shared" si="2"/>
        <v>2.5407255304585901</v>
      </c>
      <c r="G162" s="3">
        <v>2</v>
      </c>
      <c r="H162" s="3">
        <v>1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1</v>
      </c>
      <c r="O162" s="3">
        <v>0</v>
      </c>
      <c r="P162" s="3">
        <v>1</v>
      </c>
      <c r="Q162" s="3">
        <v>0</v>
      </c>
      <c r="R162" s="3">
        <v>65</v>
      </c>
      <c r="S162" s="2">
        <v>7.5</v>
      </c>
      <c r="T162" t="s">
        <v>28</v>
      </c>
      <c r="U162" s="3">
        <v>1</v>
      </c>
      <c r="V162" s="3">
        <v>1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</row>
    <row r="163" spans="1:27">
      <c r="A163" t="s">
        <v>215</v>
      </c>
      <c r="B163" s="3">
        <v>1</v>
      </c>
      <c r="C163" s="3">
        <v>1</v>
      </c>
      <c r="D163" s="1">
        <v>38218</v>
      </c>
      <c r="E163" s="1">
        <v>39082</v>
      </c>
      <c r="F163" s="2">
        <f t="shared" si="2"/>
        <v>2.3655030800821355</v>
      </c>
      <c r="G163" s="3">
        <v>2</v>
      </c>
      <c r="H163" s="3">
        <v>1</v>
      </c>
      <c r="I163" s="3">
        <v>1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65.099999999999994</v>
      </c>
      <c r="S163" s="2">
        <v>7.5</v>
      </c>
      <c r="T163" t="s">
        <v>28</v>
      </c>
      <c r="U163" s="3">
        <v>0</v>
      </c>
      <c r="V163" s="3">
        <v>1</v>
      </c>
      <c r="W163" s="3">
        <v>1</v>
      </c>
      <c r="X163" s="3">
        <v>1</v>
      </c>
      <c r="Y163" s="3">
        <v>0</v>
      </c>
      <c r="Z163" s="3">
        <v>0</v>
      </c>
      <c r="AA163" s="3">
        <v>0</v>
      </c>
    </row>
    <row r="164" spans="1:27">
      <c r="A164" t="s">
        <v>216</v>
      </c>
      <c r="B164" s="3">
        <v>1</v>
      </c>
      <c r="C164" s="3">
        <v>1</v>
      </c>
      <c r="D164" s="1">
        <v>38202</v>
      </c>
      <c r="E164" s="1">
        <v>39082</v>
      </c>
      <c r="F164" s="2">
        <f t="shared" si="2"/>
        <v>2.409308692676249</v>
      </c>
      <c r="G164" s="3">
        <v>2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65.2</v>
      </c>
      <c r="S164" s="2">
        <v>6.8</v>
      </c>
      <c r="T164" t="s">
        <v>28</v>
      </c>
      <c r="U164" s="3">
        <v>1</v>
      </c>
      <c r="V164" s="3">
        <v>1</v>
      </c>
      <c r="W164" s="3">
        <v>1</v>
      </c>
      <c r="X164" s="3">
        <v>1</v>
      </c>
      <c r="Y164" s="3">
        <v>0</v>
      </c>
      <c r="Z164" s="3">
        <v>0</v>
      </c>
      <c r="AA164" s="3">
        <v>0</v>
      </c>
    </row>
    <row r="165" spans="1:27">
      <c r="A165" t="s">
        <v>217</v>
      </c>
      <c r="B165" s="3">
        <v>2</v>
      </c>
      <c r="C165" s="3">
        <v>1</v>
      </c>
      <c r="D165" s="1">
        <v>38069</v>
      </c>
      <c r="E165" s="1">
        <v>39082</v>
      </c>
      <c r="F165" s="2">
        <f t="shared" si="2"/>
        <v>2.7734428473648185</v>
      </c>
      <c r="G165" s="3">
        <v>2</v>
      </c>
      <c r="H165" s="3">
        <v>1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65.2</v>
      </c>
      <c r="S165" s="2">
        <v>5</v>
      </c>
      <c r="T165" t="s">
        <v>28</v>
      </c>
      <c r="U165" s="3">
        <v>1</v>
      </c>
      <c r="V165" s="3">
        <v>1</v>
      </c>
      <c r="W165" s="3">
        <v>1</v>
      </c>
      <c r="X165" s="3">
        <v>1</v>
      </c>
      <c r="Y165" s="5" t="e">
        <v>#NULL!</v>
      </c>
      <c r="Z165" s="3">
        <v>0</v>
      </c>
      <c r="AA165" s="3">
        <v>0</v>
      </c>
    </row>
    <row r="166" spans="1:27">
      <c r="A166" t="s">
        <v>218</v>
      </c>
      <c r="B166" s="3">
        <v>1</v>
      </c>
      <c r="C166" s="3">
        <v>1</v>
      </c>
      <c r="D166" s="1">
        <v>38158</v>
      </c>
      <c r="E166" s="1">
        <v>39082</v>
      </c>
      <c r="F166" s="2">
        <f t="shared" si="2"/>
        <v>2.5297741273100618</v>
      </c>
      <c r="G166" s="3">
        <v>2</v>
      </c>
      <c r="H166" s="3">
        <v>0</v>
      </c>
      <c r="I166" s="3">
        <v>1</v>
      </c>
      <c r="J166" s="3">
        <v>0</v>
      </c>
      <c r="K166" s="3">
        <v>0</v>
      </c>
      <c r="L166" s="3">
        <v>0</v>
      </c>
      <c r="M166" s="3">
        <v>0</v>
      </c>
      <c r="N166" s="3">
        <v>1</v>
      </c>
      <c r="O166" s="3">
        <v>0</v>
      </c>
      <c r="P166" s="3">
        <v>0</v>
      </c>
      <c r="Q166" s="3">
        <v>0</v>
      </c>
      <c r="R166" s="3">
        <v>65.3</v>
      </c>
      <c r="S166" s="2">
        <v>7</v>
      </c>
      <c r="T166" t="s">
        <v>219</v>
      </c>
      <c r="U166" s="3">
        <v>1</v>
      </c>
      <c r="V166" s="3">
        <v>1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</row>
    <row r="167" spans="1:27">
      <c r="A167" t="s">
        <v>220</v>
      </c>
      <c r="B167" s="3">
        <v>3</v>
      </c>
      <c r="C167" s="3">
        <v>1</v>
      </c>
      <c r="D167" s="1">
        <v>38227</v>
      </c>
      <c r="E167" s="1">
        <v>39082</v>
      </c>
      <c r="F167" s="2">
        <f t="shared" si="2"/>
        <v>2.3408624229979464</v>
      </c>
      <c r="G167" s="3">
        <v>1</v>
      </c>
      <c r="H167" s="3">
        <v>1</v>
      </c>
      <c r="I167" s="3">
        <v>1</v>
      </c>
      <c r="J167" s="3">
        <v>0</v>
      </c>
      <c r="K167" s="3">
        <v>0</v>
      </c>
      <c r="L167" s="3">
        <v>0</v>
      </c>
      <c r="M167" s="3">
        <v>1</v>
      </c>
      <c r="N167" s="3">
        <v>1</v>
      </c>
      <c r="O167" s="3">
        <v>0</v>
      </c>
      <c r="P167" s="3">
        <v>1</v>
      </c>
      <c r="Q167" s="3">
        <v>0</v>
      </c>
      <c r="R167" s="3">
        <v>65.3</v>
      </c>
      <c r="S167" s="2">
        <v>7.7</v>
      </c>
      <c r="T167" t="s">
        <v>28</v>
      </c>
      <c r="U167" s="3">
        <v>0</v>
      </c>
      <c r="V167" s="3">
        <v>0</v>
      </c>
      <c r="W167" s="3">
        <v>1</v>
      </c>
      <c r="X167" s="3">
        <v>1</v>
      </c>
      <c r="Y167" s="3">
        <v>1</v>
      </c>
      <c r="Z167" s="3">
        <v>1</v>
      </c>
      <c r="AA167" s="3">
        <v>0</v>
      </c>
    </row>
    <row r="168" spans="1:27">
      <c r="A168" t="s">
        <v>221</v>
      </c>
      <c r="B168" s="3">
        <v>3</v>
      </c>
      <c r="C168" s="3">
        <v>1</v>
      </c>
      <c r="D168" s="1">
        <v>38270</v>
      </c>
      <c r="E168" s="1">
        <v>39082</v>
      </c>
      <c r="F168" s="2">
        <f t="shared" si="2"/>
        <v>2.2231348391512662</v>
      </c>
      <c r="G168" s="3">
        <v>1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65.5</v>
      </c>
      <c r="S168" s="2">
        <v>7.2</v>
      </c>
      <c r="T168" t="s">
        <v>28</v>
      </c>
      <c r="U168" s="3">
        <v>0</v>
      </c>
      <c r="V168" s="3">
        <v>0</v>
      </c>
      <c r="W168" s="3">
        <v>1</v>
      </c>
      <c r="X168" s="3">
        <v>0</v>
      </c>
      <c r="Y168" s="3">
        <v>0</v>
      </c>
      <c r="Z168" s="3">
        <v>1</v>
      </c>
      <c r="AA168" s="3">
        <v>0</v>
      </c>
    </row>
    <row r="169" spans="1:27">
      <c r="A169" t="s">
        <v>222</v>
      </c>
      <c r="B169" s="3">
        <v>2</v>
      </c>
      <c r="C169" s="3">
        <v>1</v>
      </c>
      <c r="D169" s="1">
        <v>38390</v>
      </c>
      <c r="E169" s="1">
        <v>39082</v>
      </c>
      <c r="F169" s="2">
        <f t="shared" si="2"/>
        <v>1.8945927446954141</v>
      </c>
      <c r="G169" s="3">
        <v>1</v>
      </c>
      <c r="H169" s="3">
        <v>1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65.599999999999994</v>
      </c>
      <c r="S169" s="2">
        <v>5.6</v>
      </c>
      <c r="T169" t="s">
        <v>28</v>
      </c>
      <c r="U169" s="3">
        <v>0</v>
      </c>
      <c r="V169" s="3">
        <v>1</v>
      </c>
      <c r="W169" s="3">
        <v>0</v>
      </c>
      <c r="X169" s="3">
        <v>1</v>
      </c>
      <c r="Y169" s="3">
        <v>0</v>
      </c>
      <c r="Z169" s="3">
        <v>1</v>
      </c>
      <c r="AA169" s="3">
        <v>0</v>
      </c>
    </row>
    <row r="170" spans="1:27">
      <c r="A170" t="s">
        <v>223</v>
      </c>
      <c r="B170" s="3">
        <v>3</v>
      </c>
      <c r="C170" s="3">
        <v>1</v>
      </c>
      <c r="D170" s="1">
        <v>38243</v>
      </c>
      <c r="E170" s="1">
        <v>39082</v>
      </c>
      <c r="F170" s="2">
        <f t="shared" si="2"/>
        <v>2.2970568104038329</v>
      </c>
      <c r="G170" s="3">
        <v>1</v>
      </c>
      <c r="H170" s="3">
        <v>1</v>
      </c>
      <c r="I170" s="3">
        <v>1</v>
      </c>
      <c r="J170" s="3">
        <v>0</v>
      </c>
      <c r="K170" s="3">
        <v>0</v>
      </c>
      <c r="L170" s="3">
        <v>1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65.599999999999994</v>
      </c>
      <c r="S170" s="2">
        <v>7.5</v>
      </c>
      <c r="T170" t="s">
        <v>28</v>
      </c>
      <c r="U170" s="3">
        <v>0</v>
      </c>
      <c r="V170" s="3">
        <v>0</v>
      </c>
      <c r="W170" s="3">
        <v>0</v>
      </c>
      <c r="X170" s="3">
        <v>0</v>
      </c>
      <c r="Y170" s="3">
        <v>1</v>
      </c>
      <c r="Z170" s="3">
        <v>1</v>
      </c>
      <c r="AA170" s="3">
        <v>0</v>
      </c>
    </row>
    <row r="171" spans="1:27">
      <c r="A171" t="s">
        <v>224</v>
      </c>
      <c r="B171" s="3">
        <v>1</v>
      </c>
      <c r="C171" s="3">
        <v>1</v>
      </c>
      <c r="D171" s="1">
        <v>38232</v>
      </c>
      <c r="E171" s="1">
        <v>39082</v>
      </c>
      <c r="F171" s="2">
        <f t="shared" si="2"/>
        <v>2.3271731690622861</v>
      </c>
      <c r="G171" s="3">
        <v>1</v>
      </c>
      <c r="H171" s="3">
        <v>1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65.7</v>
      </c>
      <c r="S171" s="2">
        <v>7.6</v>
      </c>
      <c r="T171" t="s">
        <v>28</v>
      </c>
      <c r="U171" s="3">
        <v>0</v>
      </c>
      <c r="V171" s="3">
        <v>1</v>
      </c>
      <c r="W171" s="3">
        <v>1</v>
      </c>
      <c r="X171" s="3">
        <v>1</v>
      </c>
      <c r="Y171" s="3">
        <v>0</v>
      </c>
      <c r="Z171" s="3">
        <v>1</v>
      </c>
      <c r="AA171" s="3">
        <v>0</v>
      </c>
    </row>
    <row r="172" spans="1:27">
      <c r="A172" t="s">
        <v>225</v>
      </c>
      <c r="B172" s="3">
        <v>2</v>
      </c>
      <c r="C172" s="3">
        <v>1</v>
      </c>
      <c r="D172" s="1">
        <v>38206</v>
      </c>
      <c r="E172" s="1">
        <v>39082</v>
      </c>
      <c r="F172" s="2">
        <f t="shared" si="2"/>
        <v>2.3983572895277208</v>
      </c>
      <c r="G172" s="3">
        <v>2</v>
      </c>
      <c r="H172" s="3">
        <v>1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1</v>
      </c>
      <c r="O172" s="3">
        <v>0</v>
      </c>
      <c r="P172" s="3">
        <v>0</v>
      </c>
      <c r="Q172" s="3">
        <v>0</v>
      </c>
      <c r="R172" s="3">
        <v>65.7</v>
      </c>
      <c r="S172" s="2">
        <v>6.1</v>
      </c>
      <c r="T172" t="s">
        <v>105</v>
      </c>
      <c r="U172" s="3">
        <v>1</v>
      </c>
      <c r="V172" s="3">
        <v>1</v>
      </c>
      <c r="W172" s="3">
        <v>1</v>
      </c>
      <c r="X172" s="3">
        <v>1</v>
      </c>
      <c r="Y172" s="3">
        <v>0</v>
      </c>
      <c r="Z172" s="3">
        <v>0</v>
      </c>
      <c r="AA172" s="3">
        <v>0</v>
      </c>
    </row>
    <row r="173" spans="1:27">
      <c r="A173" t="s">
        <v>226</v>
      </c>
      <c r="B173" s="3">
        <v>3</v>
      </c>
      <c r="C173" s="3">
        <v>1</v>
      </c>
      <c r="D173" s="1">
        <v>38183</v>
      </c>
      <c r="E173" s="1">
        <v>39082</v>
      </c>
      <c r="F173" s="2">
        <f t="shared" si="2"/>
        <v>2.4613278576317592</v>
      </c>
      <c r="G173" s="3">
        <v>1</v>
      </c>
      <c r="H173" s="3">
        <v>1</v>
      </c>
      <c r="I173" s="3">
        <v>0</v>
      </c>
      <c r="J173" s="3">
        <v>1</v>
      </c>
      <c r="K173" s="3">
        <v>0</v>
      </c>
      <c r="L173" s="3">
        <v>0</v>
      </c>
      <c r="M173" s="3">
        <v>0</v>
      </c>
      <c r="N173" s="3">
        <v>1</v>
      </c>
      <c r="O173" s="3">
        <v>0</v>
      </c>
      <c r="P173" s="3">
        <v>0</v>
      </c>
      <c r="Q173" s="3">
        <v>0</v>
      </c>
      <c r="R173" s="3">
        <v>65.8</v>
      </c>
      <c r="S173" s="2">
        <v>7</v>
      </c>
      <c r="T173" t="s">
        <v>28</v>
      </c>
      <c r="U173" s="3">
        <v>0</v>
      </c>
      <c r="V173" s="3">
        <v>1</v>
      </c>
      <c r="W173" s="3">
        <v>0</v>
      </c>
      <c r="X173" s="3">
        <v>0</v>
      </c>
      <c r="Y173" s="3">
        <v>0</v>
      </c>
      <c r="Z173" s="3">
        <v>1</v>
      </c>
      <c r="AA173" s="3">
        <v>0</v>
      </c>
    </row>
    <row r="174" spans="1:27">
      <c r="A174" t="s">
        <v>227</v>
      </c>
      <c r="B174" s="3">
        <v>2</v>
      </c>
      <c r="C174" s="3">
        <v>1</v>
      </c>
      <c r="D174" s="1">
        <v>38223</v>
      </c>
      <c r="E174" s="1">
        <v>39082</v>
      </c>
      <c r="F174" s="2">
        <f t="shared" si="2"/>
        <v>2.3518138261464752</v>
      </c>
      <c r="G174" s="3">
        <v>2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1</v>
      </c>
      <c r="P174" s="3">
        <v>0</v>
      </c>
      <c r="Q174" s="3">
        <v>0</v>
      </c>
      <c r="R174" s="3">
        <v>65.900000000000006</v>
      </c>
      <c r="S174" s="2">
        <v>6</v>
      </c>
      <c r="T174" t="s">
        <v>66</v>
      </c>
      <c r="U174" s="3">
        <v>1</v>
      </c>
      <c r="V174" s="3">
        <v>1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</row>
    <row r="175" spans="1:27">
      <c r="A175" t="s">
        <v>228</v>
      </c>
      <c r="B175" s="3">
        <v>2</v>
      </c>
      <c r="C175" s="3">
        <v>1</v>
      </c>
      <c r="D175" s="1">
        <v>38066</v>
      </c>
      <c r="E175" s="1">
        <v>39082</v>
      </c>
      <c r="F175" s="2">
        <f t="shared" si="2"/>
        <v>2.7816563997262147</v>
      </c>
      <c r="G175" s="3">
        <v>1</v>
      </c>
      <c r="H175" s="3">
        <v>1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65.900000000000006</v>
      </c>
      <c r="S175" s="2">
        <v>6.3</v>
      </c>
      <c r="T175" t="s">
        <v>28</v>
      </c>
      <c r="U175" s="3">
        <v>0</v>
      </c>
      <c r="V175" s="3">
        <v>1</v>
      </c>
      <c r="W175" s="3">
        <v>1</v>
      </c>
      <c r="X175" s="3">
        <v>1</v>
      </c>
      <c r="Y175" s="3">
        <v>1</v>
      </c>
      <c r="Z175" s="3">
        <v>1</v>
      </c>
      <c r="AA175" s="3">
        <v>0</v>
      </c>
    </row>
    <row r="176" spans="1:27">
      <c r="A176" t="s">
        <v>229</v>
      </c>
      <c r="B176" s="3">
        <v>1</v>
      </c>
      <c r="C176" s="3">
        <v>1</v>
      </c>
      <c r="D176" s="1">
        <v>38244</v>
      </c>
      <c r="E176" s="1">
        <v>39082</v>
      </c>
      <c r="F176" s="2">
        <f t="shared" si="2"/>
        <v>2.2943189596167008</v>
      </c>
      <c r="G176" s="3">
        <v>1</v>
      </c>
      <c r="H176" s="3">
        <v>1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66</v>
      </c>
      <c r="S176" s="2">
        <v>9.1</v>
      </c>
      <c r="T176" t="s">
        <v>28</v>
      </c>
      <c r="U176" s="3">
        <v>0</v>
      </c>
      <c r="V176" s="3">
        <v>1</v>
      </c>
      <c r="W176" s="3">
        <v>1</v>
      </c>
      <c r="X176" s="3">
        <v>0</v>
      </c>
      <c r="Y176" s="3">
        <v>0</v>
      </c>
      <c r="Z176" s="3">
        <v>1</v>
      </c>
      <c r="AA176" s="3">
        <v>0</v>
      </c>
    </row>
    <row r="177" spans="1:27">
      <c r="A177" t="s">
        <v>230</v>
      </c>
      <c r="B177" s="3">
        <v>3</v>
      </c>
      <c r="C177" s="3">
        <v>1</v>
      </c>
      <c r="D177" s="1">
        <v>38259</v>
      </c>
      <c r="E177" s="1">
        <v>39082</v>
      </c>
      <c r="F177" s="2">
        <f t="shared" si="2"/>
        <v>2.2532511978097194</v>
      </c>
      <c r="G177" s="3">
        <v>1</v>
      </c>
      <c r="H177" s="3">
        <v>1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1</v>
      </c>
      <c r="Q177" s="3">
        <v>0</v>
      </c>
      <c r="R177" s="3">
        <v>66</v>
      </c>
      <c r="S177" s="2">
        <v>8.1999999999999993</v>
      </c>
      <c r="T177" t="s">
        <v>28</v>
      </c>
      <c r="U177" s="3">
        <v>0</v>
      </c>
      <c r="V177" s="3">
        <v>1</v>
      </c>
      <c r="W177" s="3">
        <v>0</v>
      </c>
      <c r="X177" s="3">
        <v>0</v>
      </c>
      <c r="Y177" s="3">
        <v>0</v>
      </c>
      <c r="Z177" s="3">
        <v>1</v>
      </c>
      <c r="AA177" s="3">
        <v>0</v>
      </c>
    </row>
    <row r="178" spans="1:27">
      <c r="A178" t="s">
        <v>231</v>
      </c>
      <c r="B178" s="3">
        <v>3</v>
      </c>
      <c r="C178" s="3">
        <v>1</v>
      </c>
      <c r="D178" s="1">
        <v>38200</v>
      </c>
      <c r="E178" s="1">
        <v>39082</v>
      </c>
      <c r="F178" s="2">
        <f t="shared" si="2"/>
        <v>2.4147843942505132</v>
      </c>
      <c r="G178" s="3">
        <v>1</v>
      </c>
      <c r="H178" s="3">
        <v>1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66</v>
      </c>
      <c r="S178" s="2">
        <v>8.5</v>
      </c>
      <c r="T178" t="s">
        <v>28</v>
      </c>
      <c r="U178" s="3">
        <v>0</v>
      </c>
      <c r="V178" s="3">
        <v>0</v>
      </c>
      <c r="W178" s="3">
        <v>1</v>
      </c>
      <c r="X178" s="3">
        <v>1</v>
      </c>
      <c r="Y178" s="3">
        <v>1</v>
      </c>
      <c r="Z178" s="3">
        <v>1</v>
      </c>
      <c r="AA178" s="3">
        <v>0</v>
      </c>
    </row>
    <row r="179" spans="1:27">
      <c r="A179" t="s">
        <v>104</v>
      </c>
      <c r="B179" s="3">
        <v>2</v>
      </c>
      <c r="C179" s="3">
        <v>1</v>
      </c>
      <c r="D179" s="1">
        <v>38201</v>
      </c>
      <c r="E179" s="1">
        <v>39082</v>
      </c>
      <c r="F179" s="2">
        <f t="shared" si="2"/>
        <v>2.4120465434633811</v>
      </c>
      <c r="G179" s="3">
        <v>2</v>
      </c>
      <c r="H179" s="3">
        <v>1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66</v>
      </c>
      <c r="S179" s="2">
        <v>6.7</v>
      </c>
      <c r="T179" t="s">
        <v>232</v>
      </c>
      <c r="U179" s="3">
        <v>1</v>
      </c>
      <c r="V179" s="3">
        <v>1</v>
      </c>
      <c r="W179" s="3">
        <v>1</v>
      </c>
      <c r="X179" s="3">
        <v>1</v>
      </c>
      <c r="Y179" s="3">
        <v>1</v>
      </c>
      <c r="Z179" s="3">
        <v>0</v>
      </c>
      <c r="AA179" s="3">
        <v>0</v>
      </c>
    </row>
    <row r="180" spans="1:27">
      <c r="A180" t="s">
        <v>233</v>
      </c>
      <c r="B180" s="3">
        <v>3</v>
      </c>
      <c r="C180" s="3">
        <v>1</v>
      </c>
      <c r="D180" s="1">
        <v>37926</v>
      </c>
      <c r="E180" s="1">
        <v>39082</v>
      </c>
      <c r="F180" s="2">
        <f t="shared" si="2"/>
        <v>3.1649555099247091</v>
      </c>
      <c r="G180" s="3">
        <v>1</v>
      </c>
      <c r="H180" s="3">
        <v>1</v>
      </c>
      <c r="I180" s="3">
        <v>0</v>
      </c>
      <c r="J180" s="3">
        <v>1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66</v>
      </c>
      <c r="S180" s="2">
        <v>6.6</v>
      </c>
      <c r="T180" t="s">
        <v>40</v>
      </c>
      <c r="U180" s="3">
        <v>0</v>
      </c>
      <c r="V180" s="3">
        <v>0</v>
      </c>
      <c r="W180" s="3">
        <v>0</v>
      </c>
      <c r="X180" s="3">
        <v>1</v>
      </c>
      <c r="Y180" s="3">
        <v>0</v>
      </c>
      <c r="Z180" s="3">
        <v>1</v>
      </c>
      <c r="AA180" s="3">
        <v>0</v>
      </c>
    </row>
    <row r="181" spans="1:27">
      <c r="A181" t="s">
        <v>234</v>
      </c>
      <c r="B181" s="3">
        <v>3</v>
      </c>
      <c r="C181" s="3">
        <v>1</v>
      </c>
      <c r="D181" s="1">
        <v>38129</v>
      </c>
      <c r="E181" s="1">
        <v>39082</v>
      </c>
      <c r="F181" s="2">
        <f t="shared" si="2"/>
        <v>2.6091718001368926</v>
      </c>
      <c r="G181" s="3">
        <v>1</v>
      </c>
      <c r="H181" s="3">
        <v>1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66.099999999999994</v>
      </c>
      <c r="S181" s="2">
        <v>7.7</v>
      </c>
      <c r="T181" t="s">
        <v>28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1</v>
      </c>
      <c r="AA181" s="3">
        <v>0</v>
      </c>
    </row>
    <row r="182" spans="1:27">
      <c r="A182" t="s">
        <v>235</v>
      </c>
      <c r="B182" s="3">
        <v>1</v>
      </c>
      <c r="C182" s="3">
        <v>1</v>
      </c>
      <c r="D182" s="1">
        <v>38232</v>
      </c>
      <c r="E182" s="1">
        <v>39082</v>
      </c>
      <c r="F182" s="2">
        <f t="shared" si="2"/>
        <v>2.3271731690622861</v>
      </c>
      <c r="G182" s="3">
        <v>2</v>
      </c>
      <c r="H182" s="3">
        <v>1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66.2</v>
      </c>
      <c r="S182" s="2">
        <v>6.8</v>
      </c>
      <c r="T182" t="s">
        <v>28</v>
      </c>
      <c r="U182" s="3">
        <v>0</v>
      </c>
      <c r="V182" s="3">
        <v>1</v>
      </c>
      <c r="W182" s="3">
        <v>1</v>
      </c>
      <c r="X182" s="3">
        <v>1</v>
      </c>
      <c r="Y182" s="3">
        <v>0</v>
      </c>
      <c r="Z182" s="3">
        <v>0</v>
      </c>
      <c r="AA182" s="3">
        <v>0</v>
      </c>
    </row>
    <row r="183" spans="1:27">
      <c r="A183" t="s">
        <v>236</v>
      </c>
      <c r="B183" s="3">
        <v>3</v>
      </c>
      <c r="C183" s="3">
        <v>1</v>
      </c>
      <c r="D183" s="1">
        <v>38177</v>
      </c>
      <c r="E183" s="1">
        <v>39082</v>
      </c>
      <c r="F183" s="2">
        <f t="shared" si="2"/>
        <v>2.4777549623545516</v>
      </c>
      <c r="G183" s="3">
        <v>1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66.3</v>
      </c>
      <c r="S183" s="2">
        <v>7.2</v>
      </c>
      <c r="T183" t="s">
        <v>28</v>
      </c>
      <c r="U183" s="3">
        <v>0</v>
      </c>
      <c r="V183" s="3">
        <v>1</v>
      </c>
      <c r="W183" s="3">
        <v>1</v>
      </c>
      <c r="X183" s="3">
        <v>0</v>
      </c>
      <c r="Y183" s="3">
        <v>0</v>
      </c>
      <c r="Z183" s="3">
        <v>1</v>
      </c>
      <c r="AA183" s="3">
        <v>0</v>
      </c>
    </row>
    <row r="184" spans="1:27">
      <c r="A184" t="s">
        <v>237</v>
      </c>
      <c r="B184" s="3">
        <v>3</v>
      </c>
      <c r="C184" s="3">
        <v>1</v>
      </c>
      <c r="D184" s="1">
        <v>38181</v>
      </c>
      <c r="E184" s="1">
        <v>39082</v>
      </c>
      <c r="F184" s="2">
        <f t="shared" si="2"/>
        <v>2.4668035592060233</v>
      </c>
      <c r="G184" s="3">
        <v>1</v>
      </c>
      <c r="H184" s="3">
        <v>1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1</v>
      </c>
      <c r="O184" s="3">
        <v>0</v>
      </c>
      <c r="P184" s="3">
        <v>0</v>
      </c>
      <c r="Q184" s="3">
        <v>0</v>
      </c>
      <c r="R184" s="3">
        <v>66.400000000000006</v>
      </c>
      <c r="S184" s="2">
        <v>7.7</v>
      </c>
      <c r="T184" t="s">
        <v>28</v>
      </c>
      <c r="U184" s="3">
        <v>0</v>
      </c>
      <c r="V184" s="3">
        <v>0</v>
      </c>
      <c r="W184" s="3">
        <v>1</v>
      </c>
      <c r="X184" s="3">
        <v>1</v>
      </c>
      <c r="Y184" s="3">
        <v>1</v>
      </c>
      <c r="Z184" s="3">
        <v>1</v>
      </c>
      <c r="AA184" s="3">
        <v>0</v>
      </c>
    </row>
    <row r="185" spans="1:27">
      <c r="A185" t="s">
        <v>238</v>
      </c>
      <c r="B185" s="3">
        <v>1</v>
      </c>
      <c r="C185" s="3">
        <v>1</v>
      </c>
      <c r="D185" s="1">
        <v>38203</v>
      </c>
      <c r="E185" s="1">
        <v>39082</v>
      </c>
      <c r="F185" s="2">
        <f t="shared" si="2"/>
        <v>2.406570841889117</v>
      </c>
      <c r="G185" s="3">
        <v>1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66.5</v>
      </c>
      <c r="S185" s="2">
        <v>6.4</v>
      </c>
      <c r="T185" t="s">
        <v>28</v>
      </c>
      <c r="U185" s="3">
        <v>0</v>
      </c>
      <c r="V185" s="3">
        <v>1</v>
      </c>
      <c r="W185" s="3">
        <v>0</v>
      </c>
      <c r="X185" s="3">
        <v>0</v>
      </c>
      <c r="Y185" s="3">
        <v>1</v>
      </c>
      <c r="Z185" s="3">
        <v>1</v>
      </c>
      <c r="AA185" s="3">
        <v>0</v>
      </c>
    </row>
    <row r="186" spans="1:27">
      <c r="A186" t="s">
        <v>239</v>
      </c>
      <c r="B186" s="3">
        <v>2</v>
      </c>
      <c r="C186" s="3">
        <v>1</v>
      </c>
      <c r="D186" s="1">
        <v>38093</v>
      </c>
      <c r="E186" s="1">
        <v>39082</v>
      </c>
      <c r="F186" s="2">
        <f t="shared" si="2"/>
        <v>2.707734428473648</v>
      </c>
      <c r="G186" s="3">
        <v>1</v>
      </c>
      <c r="H186" s="3">
        <v>1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66.5</v>
      </c>
      <c r="S186" s="2">
        <v>7</v>
      </c>
      <c r="T186" t="s">
        <v>28</v>
      </c>
      <c r="U186" s="3">
        <v>1</v>
      </c>
      <c r="V186" s="3">
        <v>1</v>
      </c>
      <c r="W186" s="3">
        <v>1</v>
      </c>
      <c r="X186" s="3">
        <v>1</v>
      </c>
      <c r="Y186" s="3">
        <v>1</v>
      </c>
      <c r="Z186" s="3">
        <v>1</v>
      </c>
      <c r="AA186" s="3">
        <v>0</v>
      </c>
    </row>
    <row r="187" spans="1:27">
      <c r="A187" t="s">
        <v>240</v>
      </c>
      <c r="B187" s="3">
        <v>2</v>
      </c>
      <c r="C187" s="3">
        <v>1</v>
      </c>
      <c r="D187" s="1">
        <v>38159</v>
      </c>
      <c r="E187" s="1">
        <v>39082</v>
      </c>
      <c r="F187" s="2">
        <f t="shared" si="2"/>
        <v>2.5270362765229293</v>
      </c>
      <c r="G187" s="3">
        <v>2</v>
      </c>
      <c r="H187" s="3">
        <v>1</v>
      </c>
      <c r="I187" s="3">
        <v>0</v>
      </c>
      <c r="J187" s="3">
        <v>1</v>
      </c>
      <c r="K187" s="3">
        <v>0</v>
      </c>
      <c r="L187" s="3">
        <v>0</v>
      </c>
      <c r="M187" s="3">
        <v>0</v>
      </c>
      <c r="N187" s="3">
        <v>1</v>
      </c>
      <c r="O187" s="3">
        <v>0</v>
      </c>
      <c r="P187" s="3">
        <v>1</v>
      </c>
      <c r="Q187" s="3">
        <v>0</v>
      </c>
      <c r="R187" s="3">
        <v>66.5</v>
      </c>
      <c r="S187" s="2">
        <v>6.9</v>
      </c>
      <c r="T187" t="s">
        <v>28</v>
      </c>
      <c r="U187" s="3">
        <v>1</v>
      </c>
      <c r="V187" s="3">
        <v>1</v>
      </c>
      <c r="W187" s="3">
        <v>1</v>
      </c>
      <c r="X187" s="3">
        <v>0</v>
      </c>
      <c r="Y187" s="3">
        <v>1</v>
      </c>
      <c r="Z187" s="3">
        <v>0</v>
      </c>
      <c r="AA187" s="3">
        <v>0</v>
      </c>
    </row>
    <row r="188" spans="1:27">
      <c r="A188" t="s">
        <v>241</v>
      </c>
      <c r="B188" s="3">
        <v>1</v>
      </c>
      <c r="C188" s="3">
        <v>1</v>
      </c>
      <c r="D188" s="1">
        <v>38152</v>
      </c>
      <c r="E188" s="1">
        <v>39082</v>
      </c>
      <c r="F188" s="2">
        <f t="shared" si="2"/>
        <v>2.5462012320328542</v>
      </c>
      <c r="G188" s="3">
        <v>2</v>
      </c>
      <c r="H188" s="3">
        <v>1</v>
      </c>
      <c r="I188" s="3">
        <v>1</v>
      </c>
      <c r="J188" s="3">
        <v>0</v>
      </c>
      <c r="K188" s="3">
        <v>0</v>
      </c>
      <c r="L188" s="3">
        <v>0</v>
      </c>
      <c r="M188" s="3">
        <v>1</v>
      </c>
      <c r="N188" s="3">
        <v>0</v>
      </c>
      <c r="O188" s="3">
        <v>0</v>
      </c>
      <c r="P188" s="3">
        <v>1</v>
      </c>
      <c r="Q188" s="3">
        <v>0</v>
      </c>
      <c r="R188" s="3">
        <v>66.5</v>
      </c>
      <c r="S188" s="2">
        <v>6.5</v>
      </c>
      <c r="T188" t="s">
        <v>28</v>
      </c>
      <c r="U188" s="3">
        <v>0</v>
      </c>
      <c r="V188" s="3">
        <v>1</v>
      </c>
      <c r="W188" s="3">
        <v>0</v>
      </c>
      <c r="X188" s="3">
        <v>1</v>
      </c>
      <c r="Y188" s="3">
        <v>0</v>
      </c>
      <c r="Z188" s="3">
        <v>0</v>
      </c>
      <c r="AA188" s="3">
        <v>0</v>
      </c>
    </row>
    <row r="189" spans="1:27">
      <c r="A189" t="s">
        <v>242</v>
      </c>
      <c r="B189" s="3">
        <v>2</v>
      </c>
      <c r="C189" s="3">
        <v>1</v>
      </c>
      <c r="D189" s="1">
        <v>38228</v>
      </c>
      <c r="E189" s="1">
        <v>39082</v>
      </c>
      <c r="F189" s="2">
        <f t="shared" si="2"/>
        <v>2.3381245722108144</v>
      </c>
      <c r="G189" s="3">
        <v>1</v>
      </c>
      <c r="H189" s="3">
        <v>1</v>
      </c>
      <c r="I189" s="3">
        <v>0</v>
      </c>
      <c r="J189" s="3">
        <v>1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1</v>
      </c>
      <c r="Q189" s="3">
        <v>0</v>
      </c>
      <c r="R189" s="3">
        <v>66.7</v>
      </c>
      <c r="S189" s="2">
        <v>7.1</v>
      </c>
      <c r="T189" t="s">
        <v>28</v>
      </c>
      <c r="U189" s="3">
        <v>0</v>
      </c>
      <c r="V189" s="3">
        <v>1</v>
      </c>
      <c r="W189" s="3">
        <v>0</v>
      </c>
      <c r="X189" s="3">
        <v>0</v>
      </c>
      <c r="Y189" s="3">
        <v>0</v>
      </c>
      <c r="Z189" s="3">
        <v>1</v>
      </c>
      <c r="AA189" s="3">
        <v>0</v>
      </c>
    </row>
    <row r="190" spans="1:27">
      <c r="A190" t="s">
        <v>243</v>
      </c>
      <c r="B190" s="3">
        <v>2</v>
      </c>
      <c r="C190" s="3">
        <v>1</v>
      </c>
      <c r="D190" s="1">
        <v>38159</v>
      </c>
      <c r="E190" s="1">
        <v>39082</v>
      </c>
      <c r="F190" s="2">
        <f t="shared" si="2"/>
        <v>2.5270362765229293</v>
      </c>
      <c r="G190" s="3">
        <v>1</v>
      </c>
      <c r="H190" s="3">
        <v>1</v>
      </c>
      <c r="I190" s="3">
        <v>0</v>
      </c>
      <c r="J190" s="3">
        <v>1</v>
      </c>
      <c r="K190" s="3">
        <v>1</v>
      </c>
      <c r="L190" s="3">
        <v>0</v>
      </c>
      <c r="M190" s="3">
        <v>0</v>
      </c>
      <c r="N190" s="3">
        <v>1</v>
      </c>
      <c r="O190" s="3">
        <v>0</v>
      </c>
      <c r="P190" s="3">
        <v>1</v>
      </c>
      <c r="Q190" s="3">
        <v>0</v>
      </c>
      <c r="R190" s="3">
        <v>66.7</v>
      </c>
      <c r="S190" s="2">
        <v>7.5</v>
      </c>
      <c r="T190" t="s">
        <v>188</v>
      </c>
      <c r="U190" s="3">
        <v>0</v>
      </c>
      <c r="V190" s="3">
        <v>1</v>
      </c>
      <c r="W190" s="3">
        <v>1</v>
      </c>
      <c r="X190" s="3">
        <v>1</v>
      </c>
      <c r="Y190" s="3">
        <v>0</v>
      </c>
      <c r="Z190" s="3">
        <v>1</v>
      </c>
      <c r="AA190" s="3">
        <v>0</v>
      </c>
    </row>
    <row r="191" spans="1:27">
      <c r="A191" t="s">
        <v>244</v>
      </c>
      <c r="B191" s="3">
        <v>2</v>
      </c>
      <c r="C191" s="3">
        <v>0</v>
      </c>
      <c r="D191" s="1">
        <v>38111</v>
      </c>
      <c r="E191" s="1">
        <v>39082</v>
      </c>
      <c r="F191" s="2">
        <f t="shared" si="2"/>
        <v>2.6584531143052703</v>
      </c>
      <c r="G191" s="3">
        <v>2</v>
      </c>
      <c r="H191" s="3">
        <v>1</v>
      </c>
      <c r="I191" s="3">
        <v>1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66.7</v>
      </c>
      <c r="S191" s="2">
        <v>6.5</v>
      </c>
      <c r="T191" t="s">
        <v>28</v>
      </c>
      <c r="U191" s="3">
        <v>0</v>
      </c>
      <c r="V191" s="3">
        <v>1</v>
      </c>
      <c r="W191" s="3">
        <v>1</v>
      </c>
      <c r="X191" s="3">
        <v>1</v>
      </c>
      <c r="Y191" s="3">
        <v>1</v>
      </c>
      <c r="Z191" s="3">
        <v>0</v>
      </c>
      <c r="AA191" s="3">
        <v>0</v>
      </c>
    </row>
    <row r="192" spans="1:27">
      <c r="A192" t="s">
        <v>245</v>
      </c>
      <c r="B192" s="3">
        <v>3</v>
      </c>
      <c r="C192" s="3">
        <v>1</v>
      </c>
      <c r="D192" s="1">
        <v>38105</v>
      </c>
      <c r="E192" s="1">
        <v>39082</v>
      </c>
      <c r="F192" s="2">
        <f t="shared" si="2"/>
        <v>2.6748802190280632</v>
      </c>
      <c r="G192" s="3">
        <v>2</v>
      </c>
      <c r="H192" s="3">
        <v>1</v>
      </c>
      <c r="I192" s="3">
        <v>0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66.8</v>
      </c>
      <c r="S192" s="2">
        <v>6.9</v>
      </c>
      <c r="T192" t="s">
        <v>246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  <c r="AA192" s="3">
        <v>0</v>
      </c>
    </row>
    <row r="193" spans="1:27">
      <c r="A193" t="s">
        <v>247</v>
      </c>
      <c r="B193" s="3">
        <v>3</v>
      </c>
      <c r="C193" s="3">
        <v>0</v>
      </c>
      <c r="D193" s="1">
        <v>38200</v>
      </c>
      <c r="E193" s="1">
        <v>39082</v>
      </c>
      <c r="F193" s="2">
        <f t="shared" si="2"/>
        <v>2.4147843942505132</v>
      </c>
      <c r="G193" s="3">
        <v>2</v>
      </c>
      <c r="H193" s="3">
        <v>1</v>
      </c>
      <c r="I193" s="3">
        <v>0</v>
      </c>
      <c r="J193" s="3">
        <v>1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1</v>
      </c>
      <c r="Q193" s="3">
        <v>0</v>
      </c>
      <c r="R193" s="3">
        <v>66.8</v>
      </c>
      <c r="S193" s="2">
        <v>7</v>
      </c>
      <c r="T193" t="s">
        <v>28</v>
      </c>
      <c r="U193" s="3">
        <v>0</v>
      </c>
      <c r="V193" s="3">
        <v>0</v>
      </c>
      <c r="W193" s="3">
        <v>1</v>
      </c>
      <c r="X193" s="3">
        <v>1</v>
      </c>
      <c r="Y193" s="3">
        <v>1</v>
      </c>
      <c r="Z193" s="3">
        <v>0</v>
      </c>
      <c r="AA193" s="3">
        <v>0</v>
      </c>
    </row>
    <row r="194" spans="1:27">
      <c r="A194" t="s">
        <v>103</v>
      </c>
      <c r="B194" s="3">
        <v>2</v>
      </c>
      <c r="C194" s="3">
        <v>1</v>
      </c>
      <c r="D194" s="1">
        <v>38499</v>
      </c>
      <c r="E194" s="1">
        <v>39082</v>
      </c>
      <c r="F194" s="2">
        <f t="shared" si="2"/>
        <v>1.5961670088980151</v>
      </c>
      <c r="G194" s="3">
        <v>2</v>
      </c>
      <c r="H194" s="3">
        <v>1</v>
      </c>
      <c r="I194" s="3">
        <v>0</v>
      </c>
      <c r="J194" s="3">
        <v>1</v>
      </c>
      <c r="K194" s="3">
        <v>0</v>
      </c>
      <c r="L194" s="3">
        <v>0</v>
      </c>
      <c r="M194" s="3">
        <v>0</v>
      </c>
      <c r="N194" s="3">
        <v>1</v>
      </c>
      <c r="O194" s="3">
        <v>0</v>
      </c>
      <c r="P194" s="3">
        <v>1</v>
      </c>
      <c r="Q194" s="3">
        <v>0</v>
      </c>
      <c r="R194" s="3">
        <v>66.8</v>
      </c>
      <c r="S194" s="2">
        <v>6.3</v>
      </c>
      <c r="T194" t="s">
        <v>105</v>
      </c>
      <c r="U194" s="3">
        <v>1</v>
      </c>
      <c r="V194" s="3">
        <v>1</v>
      </c>
      <c r="W194" s="3">
        <v>1</v>
      </c>
      <c r="X194" s="3">
        <v>1</v>
      </c>
      <c r="Y194" s="3">
        <v>0</v>
      </c>
      <c r="Z194" s="3">
        <v>0</v>
      </c>
      <c r="AA194" s="3">
        <v>0</v>
      </c>
    </row>
    <row r="195" spans="1:27">
      <c r="A195" t="s">
        <v>78</v>
      </c>
      <c r="B195" s="3">
        <v>2</v>
      </c>
      <c r="C195" s="3">
        <v>1</v>
      </c>
      <c r="D195" s="1">
        <v>38239</v>
      </c>
      <c r="E195" s="1">
        <v>39082</v>
      </c>
      <c r="F195" s="2">
        <f t="shared" ref="F195:F258" si="3">(E195-D195)/365.25</f>
        <v>2.3080082135523612</v>
      </c>
      <c r="G195" s="3">
        <v>1</v>
      </c>
      <c r="H195" s="3">
        <v>1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1</v>
      </c>
      <c r="O195" s="3">
        <v>0</v>
      </c>
      <c r="P195" s="3">
        <v>0</v>
      </c>
      <c r="Q195" s="3">
        <v>0</v>
      </c>
      <c r="R195" s="3">
        <v>66.8</v>
      </c>
      <c r="S195" s="2">
        <v>7.8</v>
      </c>
      <c r="T195" t="s">
        <v>28</v>
      </c>
      <c r="U195" s="3">
        <v>1</v>
      </c>
      <c r="V195" s="3">
        <v>1</v>
      </c>
      <c r="W195" s="3">
        <v>0</v>
      </c>
      <c r="X195" s="3">
        <v>1</v>
      </c>
      <c r="Y195" s="3">
        <v>1</v>
      </c>
      <c r="Z195" s="3">
        <v>1</v>
      </c>
      <c r="AA195" s="3">
        <v>0</v>
      </c>
    </row>
    <row r="196" spans="1:27">
      <c r="A196" t="s">
        <v>248</v>
      </c>
      <c r="B196" s="3">
        <v>3</v>
      </c>
      <c r="C196" s="3">
        <v>1</v>
      </c>
      <c r="D196" s="1">
        <v>37996</v>
      </c>
      <c r="E196" s="1">
        <v>39082</v>
      </c>
      <c r="F196" s="2">
        <f t="shared" si="3"/>
        <v>2.9733059548254621</v>
      </c>
      <c r="G196" s="3">
        <v>1</v>
      </c>
      <c r="H196" s="3">
        <v>1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67</v>
      </c>
      <c r="S196" s="2">
        <v>7.5</v>
      </c>
      <c r="T196" t="s">
        <v>92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1</v>
      </c>
      <c r="AA196" s="3">
        <v>0</v>
      </c>
    </row>
    <row r="197" spans="1:27">
      <c r="A197" t="s">
        <v>249</v>
      </c>
      <c r="B197" s="3">
        <v>2</v>
      </c>
      <c r="C197" s="3">
        <v>1</v>
      </c>
      <c r="D197" s="1">
        <v>38200</v>
      </c>
      <c r="E197" s="1">
        <v>39082</v>
      </c>
      <c r="F197" s="2">
        <f t="shared" si="3"/>
        <v>2.4147843942505132</v>
      </c>
      <c r="G197" s="3">
        <v>2</v>
      </c>
      <c r="H197" s="3">
        <v>1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67</v>
      </c>
      <c r="S197" s="2">
        <v>6.6</v>
      </c>
      <c r="T197" t="s">
        <v>28</v>
      </c>
      <c r="U197" s="3">
        <v>1</v>
      </c>
      <c r="V197" s="3">
        <v>1</v>
      </c>
      <c r="W197" s="3">
        <v>1</v>
      </c>
      <c r="X197" s="3">
        <v>1</v>
      </c>
      <c r="Y197" s="3">
        <v>0</v>
      </c>
      <c r="Z197" s="3">
        <v>0</v>
      </c>
      <c r="AA197" s="3">
        <v>0</v>
      </c>
    </row>
    <row r="198" spans="1:27">
      <c r="A198" t="s">
        <v>250</v>
      </c>
      <c r="B198" s="3">
        <v>1</v>
      </c>
      <c r="C198" s="3">
        <v>1</v>
      </c>
      <c r="D198" s="1">
        <v>38209</v>
      </c>
      <c r="E198" s="1">
        <v>39082</v>
      </c>
      <c r="F198" s="2">
        <f t="shared" si="3"/>
        <v>2.3901437371663246</v>
      </c>
      <c r="G198" s="3">
        <v>1</v>
      </c>
      <c r="H198" s="3">
        <v>0</v>
      </c>
      <c r="I198" s="3">
        <v>1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67</v>
      </c>
      <c r="S198" s="2">
        <v>7.4</v>
      </c>
      <c r="T198" t="s">
        <v>251</v>
      </c>
      <c r="U198" s="3">
        <v>0</v>
      </c>
      <c r="V198" s="3">
        <v>1</v>
      </c>
      <c r="W198" s="3">
        <v>1</v>
      </c>
      <c r="X198" s="3">
        <v>1</v>
      </c>
      <c r="Y198" s="3">
        <v>0</v>
      </c>
      <c r="Z198" s="3">
        <v>1</v>
      </c>
      <c r="AA198" s="3">
        <v>0</v>
      </c>
    </row>
    <row r="199" spans="1:27">
      <c r="A199" t="s">
        <v>252</v>
      </c>
      <c r="B199" s="3">
        <v>1</v>
      </c>
      <c r="C199" s="3">
        <v>1</v>
      </c>
      <c r="D199" s="1">
        <v>38242</v>
      </c>
      <c r="E199" s="1">
        <v>39082</v>
      </c>
      <c r="F199" s="2">
        <f t="shared" si="3"/>
        <v>2.299794661190965</v>
      </c>
      <c r="G199" s="3">
        <v>1</v>
      </c>
      <c r="H199" s="3">
        <v>0</v>
      </c>
      <c r="I199" s="3">
        <v>1</v>
      </c>
      <c r="J199" s="3">
        <v>0</v>
      </c>
      <c r="K199" s="3">
        <v>0</v>
      </c>
      <c r="L199" s="3">
        <v>0</v>
      </c>
      <c r="M199" s="3">
        <v>0</v>
      </c>
      <c r="N199" s="3">
        <v>1</v>
      </c>
      <c r="O199" s="3">
        <v>0</v>
      </c>
      <c r="P199" s="3">
        <v>1</v>
      </c>
      <c r="Q199" s="3">
        <v>0</v>
      </c>
      <c r="R199" s="3">
        <v>67</v>
      </c>
      <c r="S199" s="2">
        <v>8.6</v>
      </c>
      <c r="T199" t="s">
        <v>28</v>
      </c>
      <c r="U199" s="3">
        <v>0</v>
      </c>
      <c r="V199" s="3">
        <v>1</v>
      </c>
      <c r="W199" s="3">
        <v>0</v>
      </c>
      <c r="X199" s="3">
        <v>1</v>
      </c>
      <c r="Y199" s="3">
        <v>0</v>
      </c>
      <c r="Z199" s="3">
        <v>1</v>
      </c>
      <c r="AA199" s="3">
        <v>0</v>
      </c>
    </row>
    <row r="200" spans="1:27">
      <c r="A200" t="s">
        <v>253</v>
      </c>
      <c r="B200" s="3">
        <v>2</v>
      </c>
      <c r="C200" s="3">
        <v>1</v>
      </c>
      <c r="D200" s="1">
        <v>38080</v>
      </c>
      <c r="E200" s="1">
        <v>39082</v>
      </c>
      <c r="F200" s="2">
        <f t="shared" si="3"/>
        <v>2.7433264887063653</v>
      </c>
      <c r="G200" s="3">
        <v>1</v>
      </c>
      <c r="H200" s="3">
        <v>1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1</v>
      </c>
      <c r="O200" s="3">
        <v>0</v>
      </c>
      <c r="P200" s="3">
        <v>0</v>
      </c>
      <c r="Q200" s="3">
        <v>0</v>
      </c>
      <c r="R200" s="3">
        <v>67.099999999999994</v>
      </c>
      <c r="S200" s="2">
        <v>8.1</v>
      </c>
      <c r="T200" t="s">
        <v>28</v>
      </c>
      <c r="U200" s="3">
        <v>1</v>
      </c>
      <c r="V200" s="3">
        <v>1</v>
      </c>
      <c r="W200" s="3">
        <v>1</v>
      </c>
      <c r="X200" s="3">
        <v>0</v>
      </c>
      <c r="Y200" s="3">
        <v>0</v>
      </c>
      <c r="Z200" s="3">
        <v>1</v>
      </c>
      <c r="AA200" s="3">
        <v>0</v>
      </c>
    </row>
    <row r="201" spans="1:27">
      <c r="A201" t="s">
        <v>254</v>
      </c>
      <c r="B201" s="3">
        <v>1</v>
      </c>
      <c r="C201" s="3">
        <v>1</v>
      </c>
      <c r="D201" s="1">
        <v>38168</v>
      </c>
      <c r="E201" s="1">
        <v>39082</v>
      </c>
      <c r="F201" s="2">
        <f t="shared" si="3"/>
        <v>2.5023956194387407</v>
      </c>
      <c r="G201" s="3">
        <v>1</v>
      </c>
      <c r="H201" s="3">
        <v>1</v>
      </c>
      <c r="I201" s="3">
        <v>0</v>
      </c>
      <c r="J201" s="3">
        <v>0</v>
      </c>
      <c r="K201" s="3">
        <v>0</v>
      </c>
      <c r="L201" s="3">
        <v>1</v>
      </c>
      <c r="M201" s="3">
        <v>0</v>
      </c>
      <c r="N201" s="3">
        <v>1</v>
      </c>
      <c r="O201" s="3">
        <v>0</v>
      </c>
      <c r="P201" s="3">
        <v>1</v>
      </c>
      <c r="Q201" s="3">
        <v>0</v>
      </c>
      <c r="R201" s="3">
        <v>67.2</v>
      </c>
      <c r="S201" s="2">
        <v>9.1</v>
      </c>
      <c r="T201" t="s">
        <v>28</v>
      </c>
      <c r="U201" s="3">
        <v>1</v>
      </c>
      <c r="V201" s="3">
        <v>1</v>
      </c>
      <c r="W201" s="3">
        <v>1</v>
      </c>
      <c r="X201" s="3">
        <v>1</v>
      </c>
      <c r="Y201" s="3">
        <v>0</v>
      </c>
      <c r="Z201" s="3">
        <v>1</v>
      </c>
      <c r="AA201" s="3">
        <v>0</v>
      </c>
    </row>
    <row r="202" spans="1:27">
      <c r="A202" t="s">
        <v>255</v>
      </c>
      <c r="B202" s="3">
        <v>2</v>
      </c>
      <c r="C202" s="3">
        <v>1</v>
      </c>
      <c r="D202" s="1">
        <v>38099</v>
      </c>
      <c r="E202" s="1">
        <v>39082</v>
      </c>
      <c r="F202" s="2">
        <f t="shared" si="3"/>
        <v>2.6913073237508556</v>
      </c>
      <c r="G202" s="3">
        <v>2</v>
      </c>
      <c r="H202" s="3">
        <v>1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1</v>
      </c>
      <c r="O202" s="3">
        <v>0</v>
      </c>
      <c r="P202" s="3">
        <v>0</v>
      </c>
      <c r="Q202" s="3">
        <v>0</v>
      </c>
      <c r="R202" s="3">
        <v>67.2</v>
      </c>
      <c r="S202" s="2">
        <v>7.1</v>
      </c>
      <c r="T202" t="s">
        <v>44</v>
      </c>
      <c r="U202" s="3">
        <v>1</v>
      </c>
      <c r="V202" s="3">
        <v>1</v>
      </c>
      <c r="W202" s="3">
        <v>1</v>
      </c>
      <c r="X202" s="3">
        <v>1</v>
      </c>
      <c r="Y202" s="3">
        <v>0</v>
      </c>
      <c r="Z202" s="3">
        <v>0</v>
      </c>
      <c r="AA202" s="3">
        <v>0</v>
      </c>
    </row>
    <row r="203" spans="1:27">
      <c r="A203" t="s">
        <v>256</v>
      </c>
      <c r="B203" s="3">
        <v>1</v>
      </c>
      <c r="C203" s="3">
        <v>1</v>
      </c>
      <c r="D203" s="1">
        <v>38166</v>
      </c>
      <c r="E203" s="1">
        <v>39082</v>
      </c>
      <c r="F203" s="2">
        <f t="shared" si="3"/>
        <v>2.5078713210130048</v>
      </c>
      <c r="G203" s="3">
        <v>2</v>
      </c>
      <c r="H203" s="3">
        <v>1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1</v>
      </c>
      <c r="O203" s="3">
        <v>0</v>
      </c>
      <c r="P203" s="3">
        <v>0</v>
      </c>
      <c r="Q203" s="3">
        <v>0</v>
      </c>
      <c r="R203" s="3">
        <v>67.3</v>
      </c>
      <c r="S203" s="2">
        <v>7.1</v>
      </c>
      <c r="T203" t="s">
        <v>69</v>
      </c>
      <c r="U203" s="3">
        <v>0</v>
      </c>
      <c r="V203" s="3">
        <v>1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</row>
    <row r="204" spans="1:27">
      <c r="A204" t="s">
        <v>257</v>
      </c>
      <c r="B204" s="3">
        <v>3</v>
      </c>
      <c r="C204" s="3">
        <v>1</v>
      </c>
      <c r="D204" s="1">
        <v>38063</v>
      </c>
      <c r="E204" s="1">
        <v>39082</v>
      </c>
      <c r="F204" s="2">
        <f t="shared" si="3"/>
        <v>2.7898699520876113</v>
      </c>
      <c r="G204" s="3">
        <v>2</v>
      </c>
      <c r="H204" s="3">
        <v>1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1</v>
      </c>
      <c r="O204" s="3">
        <v>0</v>
      </c>
      <c r="P204" s="3">
        <v>1</v>
      </c>
      <c r="Q204" s="3">
        <v>0</v>
      </c>
      <c r="R204" s="3">
        <v>67.3</v>
      </c>
      <c r="S204" s="2">
        <v>6.6</v>
      </c>
      <c r="T204" t="s">
        <v>28</v>
      </c>
      <c r="U204" s="3">
        <v>0</v>
      </c>
      <c r="V204" s="3">
        <v>1</v>
      </c>
      <c r="W204" s="3">
        <v>1</v>
      </c>
      <c r="X204" s="3">
        <v>1</v>
      </c>
      <c r="Y204" s="3">
        <v>0</v>
      </c>
      <c r="Z204" s="3">
        <v>0</v>
      </c>
      <c r="AA204" s="3">
        <v>0</v>
      </c>
    </row>
    <row r="205" spans="1:27">
      <c r="A205" t="s">
        <v>258</v>
      </c>
      <c r="B205" s="3">
        <v>3</v>
      </c>
      <c r="C205" s="3">
        <v>1</v>
      </c>
      <c r="D205" s="1">
        <v>38038</v>
      </c>
      <c r="E205" s="1">
        <v>39082</v>
      </c>
      <c r="F205" s="2">
        <f t="shared" si="3"/>
        <v>2.8583162217659139</v>
      </c>
      <c r="G205" s="3">
        <v>2</v>
      </c>
      <c r="H205" s="3">
        <v>1</v>
      </c>
      <c r="I205" s="3">
        <v>0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67.3</v>
      </c>
      <c r="S205" s="2">
        <v>7</v>
      </c>
      <c r="T205" t="s">
        <v>28</v>
      </c>
      <c r="U205" s="3">
        <v>0</v>
      </c>
      <c r="V205" s="3">
        <v>0</v>
      </c>
      <c r="W205" s="3">
        <v>1</v>
      </c>
      <c r="X205" s="3">
        <v>1</v>
      </c>
      <c r="Y205" s="3">
        <v>0</v>
      </c>
      <c r="Z205" s="3">
        <v>0</v>
      </c>
      <c r="AA205" s="3">
        <v>0</v>
      </c>
    </row>
    <row r="206" spans="1:27">
      <c r="A206" t="s">
        <v>259</v>
      </c>
      <c r="B206" s="3">
        <v>2</v>
      </c>
      <c r="C206" s="3">
        <v>1</v>
      </c>
      <c r="D206" s="1">
        <v>38080</v>
      </c>
      <c r="E206" s="1">
        <v>39082</v>
      </c>
      <c r="F206" s="2">
        <f t="shared" si="3"/>
        <v>2.7433264887063653</v>
      </c>
      <c r="G206" s="3">
        <v>2</v>
      </c>
      <c r="H206" s="3">
        <v>1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67.400000000000006</v>
      </c>
      <c r="S206" s="2">
        <v>7.3</v>
      </c>
      <c r="T206" t="s">
        <v>28</v>
      </c>
      <c r="U206" s="3">
        <v>1</v>
      </c>
      <c r="V206" s="3">
        <v>1</v>
      </c>
      <c r="W206" s="3">
        <v>1</v>
      </c>
      <c r="X206" s="3">
        <v>1</v>
      </c>
      <c r="Y206" s="3">
        <v>1</v>
      </c>
      <c r="Z206" s="3">
        <v>0</v>
      </c>
      <c r="AA206" s="3">
        <v>0</v>
      </c>
    </row>
    <row r="207" spans="1:27">
      <c r="A207" t="s">
        <v>260</v>
      </c>
      <c r="B207" s="3">
        <v>3</v>
      </c>
      <c r="C207" s="3">
        <v>1</v>
      </c>
      <c r="D207" s="1">
        <v>38124</v>
      </c>
      <c r="E207" s="1">
        <v>39082</v>
      </c>
      <c r="F207" s="2">
        <f t="shared" si="3"/>
        <v>2.622861054072553</v>
      </c>
      <c r="G207" s="3">
        <v>2</v>
      </c>
      <c r="H207" s="3">
        <v>0</v>
      </c>
      <c r="I207" s="3">
        <v>1</v>
      </c>
      <c r="J207" s="3">
        <v>0</v>
      </c>
      <c r="K207" s="3">
        <v>0</v>
      </c>
      <c r="L207" s="3">
        <v>0</v>
      </c>
      <c r="M207" s="3">
        <v>0</v>
      </c>
      <c r="N207" s="3">
        <v>1</v>
      </c>
      <c r="O207" s="3">
        <v>0</v>
      </c>
      <c r="P207" s="3">
        <v>0</v>
      </c>
      <c r="Q207" s="3">
        <v>0</v>
      </c>
      <c r="R207" s="3">
        <v>67.5</v>
      </c>
      <c r="S207" s="2">
        <v>8</v>
      </c>
      <c r="T207" t="s">
        <v>172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</row>
    <row r="208" spans="1:27">
      <c r="A208" t="s">
        <v>261</v>
      </c>
      <c r="B208" s="3">
        <v>1</v>
      </c>
      <c r="C208" s="3">
        <v>1</v>
      </c>
      <c r="D208" s="1">
        <v>38125</v>
      </c>
      <c r="E208" s="1">
        <v>39082</v>
      </c>
      <c r="F208" s="2">
        <f t="shared" si="3"/>
        <v>2.6201232032854209</v>
      </c>
      <c r="G208" s="3">
        <v>1</v>
      </c>
      <c r="H208" s="3">
        <v>0</v>
      </c>
      <c r="I208" s="3">
        <v>1</v>
      </c>
      <c r="J208" s="3">
        <v>1</v>
      </c>
      <c r="K208" s="3">
        <v>0</v>
      </c>
      <c r="L208" s="3">
        <v>0</v>
      </c>
      <c r="M208" s="3">
        <v>0</v>
      </c>
      <c r="N208" s="3">
        <v>1</v>
      </c>
      <c r="O208" s="3">
        <v>0</v>
      </c>
      <c r="P208" s="3">
        <v>1</v>
      </c>
      <c r="Q208" s="3">
        <v>0</v>
      </c>
      <c r="R208" s="3">
        <v>67.5</v>
      </c>
      <c r="S208" s="2">
        <v>6.2</v>
      </c>
      <c r="T208" t="s">
        <v>262</v>
      </c>
      <c r="U208" s="3">
        <v>1</v>
      </c>
      <c r="V208" s="3">
        <v>1</v>
      </c>
      <c r="W208" s="3">
        <v>0</v>
      </c>
      <c r="X208" s="3">
        <v>0</v>
      </c>
      <c r="Y208" s="3">
        <v>0</v>
      </c>
      <c r="Z208" s="3">
        <v>1</v>
      </c>
      <c r="AA208" s="3">
        <v>0</v>
      </c>
    </row>
    <row r="209" spans="1:27">
      <c r="A209" t="s">
        <v>263</v>
      </c>
      <c r="B209" s="3">
        <v>3</v>
      </c>
      <c r="C209" s="3">
        <v>1</v>
      </c>
      <c r="D209" s="1">
        <v>38139</v>
      </c>
      <c r="E209" s="1">
        <v>39082</v>
      </c>
      <c r="F209" s="2">
        <f t="shared" si="3"/>
        <v>2.5817932922655715</v>
      </c>
      <c r="G209" s="3">
        <v>1</v>
      </c>
      <c r="H209" s="3">
        <v>1</v>
      </c>
      <c r="I209" s="3">
        <v>0</v>
      </c>
      <c r="J209" s="3">
        <v>1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1</v>
      </c>
      <c r="Q209" s="3">
        <v>0</v>
      </c>
      <c r="R209" s="3">
        <v>67.599999999999994</v>
      </c>
      <c r="S209" s="2">
        <v>6.9</v>
      </c>
      <c r="T209" t="s">
        <v>28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1</v>
      </c>
      <c r="AA209" s="3">
        <v>0</v>
      </c>
    </row>
    <row r="210" spans="1:27">
      <c r="A210" t="s">
        <v>264</v>
      </c>
      <c r="B210" s="3">
        <v>3</v>
      </c>
      <c r="C210" s="3">
        <v>1</v>
      </c>
      <c r="D210" s="1">
        <v>38200</v>
      </c>
      <c r="E210" s="1">
        <v>39082</v>
      </c>
      <c r="F210" s="2">
        <f t="shared" si="3"/>
        <v>2.4147843942505132</v>
      </c>
      <c r="G210" s="3">
        <v>1</v>
      </c>
      <c r="H210" s="3">
        <v>1</v>
      </c>
      <c r="I210" s="3">
        <v>0</v>
      </c>
      <c r="J210" s="3">
        <v>1</v>
      </c>
      <c r="K210" s="3">
        <v>0</v>
      </c>
      <c r="L210" s="3">
        <v>0</v>
      </c>
      <c r="M210" s="3">
        <v>0</v>
      </c>
      <c r="N210" s="3">
        <v>1</v>
      </c>
      <c r="O210" s="3">
        <v>1</v>
      </c>
      <c r="P210" s="3">
        <v>1</v>
      </c>
      <c r="Q210" s="3">
        <v>0</v>
      </c>
      <c r="R210" s="3">
        <v>67.599999999999994</v>
      </c>
      <c r="S210" s="2">
        <v>7.1</v>
      </c>
      <c r="T210" t="s">
        <v>28</v>
      </c>
      <c r="U210" s="3">
        <v>1</v>
      </c>
      <c r="V210" s="3">
        <v>1</v>
      </c>
      <c r="W210" s="3">
        <v>1</v>
      </c>
      <c r="X210" s="3">
        <v>1</v>
      </c>
      <c r="Y210" s="3">
        <v>1</v>
      </c>
      <c r="Z210" s="3">
        <v>1</v>
      </c>
      <c r="AA210" s="3">
        <v>0</v>
      </c>
    </row>
    <row r="211" spans="1:27">
      <c r="A211" t="s">
        <v>265</v>
      </c>
      <c r="B211" s="3">
        <v>1</v>
      </c>
      <c r="C211" s="3">
        <v>1</v>
      </c>
      <c r="D211" s="1">
        <v>38061</v>
      </c>
      <c r="E211" s="1">
        <v>39082</v>
      </c>
      <c r="F211" s="2">
        <f t="shared" si="3"/>
        <v>2.7953456536618755</v>
      </c>
      <c r="G211" s="3">
        <v>1</v>
      </c>
      <c r="H211" s="3">
        <v>0</v>
      </c>
      <c r="I211" s="3">
        <v>0</v>
      </c>
      <c r="J211" s="3">
        <v>0</v>
      </c>
      <c r="K211" s="3">
        <v>0</v>
      </c>
      <c r="L211" s="3">
        <v>1</v>
      </c>
      <c r="M211" s="3">
        <v>0</v>
      </c>
      <c r="N211" s="3">
        <v>1</v>
      </c>
      <c r="O211" s="3">
        <v>0</v>
      </c>
      <c r="P211" s="3">
        <v>1</v>
      </c>
      <c r="Q211" s="3">
        <v>0</v>
      </c>
      <c r="R211" s="3">
        <v>67.8</v>
      </c>
      <c r="S211" s="2">
        <v>8</v>
      </c>
      <c r="T211" t="s">
        <v>28</v>
      </c>
      <c r="U211" s="3">
        <v>1</v>
      </c>
      <c r="V211" s="3">
        <v>1</v>
      </c>
      <c r="W211" s="3">
        <v>1</v>
      </c>
      <c r="X211" s="3">
        <v>1</v>
      </c>
      <c r="Y211" s="3">
        <v>0</v>
      </c>
      <c r="Z211" s="3">
        <v>1</v>
      </c>
      <c r="AA211" s="3">
        <v>0</v>
      </c>
    </row>
    <row r="212" spans="1:27">
      <c r="A212" t="s">
        <v>266</v>
      </c>
      <c r="B212" s="3">
        <v>3</v>
      </c>
      <c r="C212" s="3">
        <v>1</v>
      </c>
      <c r="D212" s="1">
        <v>38078</v>
      </c>
      <c r="E212" s="1">
        <v>39082</v>
      </c>
      <c r="F212" s="2">
        <f t="shared" si="3"/>
        <v>2.7488021902806299</v>
      </c>
      <c r="G212" s="3">
        <v>2</v>
      </c>
      <c r="H212" s="3">
        <v>1</v>
      </c>
      <c r="I212" s="3">
        <v>0</v>
      </c>
      <c r="J212" s="3">
        <v>1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67.900000000000006</v>
      </c>
      <c r="S212" s="2">
        <v>7.6</v>
      </c>
      <c r="T212" t="s">
        <v>28</v>
      </c>
      <c r="U212" s="3">
        <v>0</v>
      </c>
      <c r="V212" s="3">
        <v>0</v>
      </c>
      <c r="W212" s="3">
        <v>1</v>
      </c>
      <c r="X212" s="3">
        <v>1</v>
      </c>
      <c r="Y212" s="3">
        <v>1</v>
      </c>
      <c r="Z212" s="3">
        <v>0</v>
      </c>
      <c r="AA212" s="3">
        <v>0</v>
      </c>
    </row>
    <row r="213" spans="1:27">
      <c r="A213" t="s">
        <v>267</v>
      </c>
      <c r="B213" s="3">
        <v>3</v>
      </c>
      <c r="C213" s="3">
        <v>1</v>
      </c>
      <c r="D213" s="1">
        <v>38187</v>
      </c>
      <c r="E213" s="1">
        <v>39082</v>
      </c>
      <c r="F213" s="2">
        <f t="shared" si="3"/>
        <v>2.4503764544832305</v>
      </c>
      <c r="G213" s="3">
        <v>1</v>
      </c>
      <c r="H213" s="3">
        <v>0</v>
      </c>
      <c r="I213" s="3">
        <v>0</v>
      </c>
      <c r="J213" s="3">
        <v>0</v>
      </c>
      <c r="K213" s="3">
        <v>1</v>
      </c>
      <c r="L213" s="3">
        <v>1</v>
      </c>
      <c r="M213" s="3">
        <v>1</v>
      </c>
      <c r="N213" s="3">
        <v>1</v>
      </c>
      <c r="O213" s="3">
        <v>0</v>
      </c>
      <c r="P213" s="3">
        <v>1</v>
      </c>
      <c r="Q213" s="3">
        <v>0</v>
      </c>
      <c r="R213" s="3">
        <v>68.099999999999994</v>
      </c>
      <c r="S213" s="2">
        <v>7.6</v>
      </c>
      <c r="T213" t="s">
        <v>28</v>
      </c>
      <c r="U213" s="3">
        <v>1</v>
      </c>
      <c r="V213" s="3">
        <v>1</v>
      </c>
      <c r="W213" s="3">
        <v>0</v>
      </c>
      <c r="X213" s="3">
        <v>0</v>
      </c>
      <c r="Y213" s="3">
        <v>0</v>
      </c>
      <c r="Z213" s="3">
        <v>1</v>
      </c>
      <c r="AA213" s="3">
        <v>0</v>
      </c>
    </row>
    <row r="214" spans="1:27">
      <c r="A214" t="s">
        <v>268</v>
      </c>
      <c r="B214" s="3">
        <v>2</v>
      </c>
      <c r="C214" s="3">
        <v>1</v>
      </c>
      <c r="D214" s="1">
        <v>38023</v>
      </c>
      <c r="E214" s="1">
        <v>39082</v>
      </c>
      <c r="F214" s="2">
        <f t="shared" si="3"/>
        <v>2.8993839835728954</v>
      </c>
      <c r="G214" s="3">
        <v>2</v>
      </c>
      <c r="H214" s="3">
        <v>1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1</v>
      </c>
      <c r="O214" s="3">
        <v>0</v>
      </c>
      <c r="P214" s="3">
        <v>1</v>
      </c>
      <c r="Q214" s="3">
        <v>0</v>
      </c>
      <c r="R214" s="3">
        <v>68.099999999999994</v>
      </c>
      <c r="S214" s="2">
        <v>6.7</v>
      </c>
      <c r="T214" t="s">
        <v>44</v>
      </c>
      <c r="U214" s="3">
        <v>1</v>
      </c>
      <c r="V214" s="3">
        <v>1</v>
      </c>
      <c r="W214" s="3">
        <v>1</v>
      </c>
      <c r="X214" s="3">
        <v>1</v>
      </c>
      <c r="Y214" s="3">
        <v>0</v>
      </c>
      <c r="Z214" s="3">
        <v>0</v>
      </c>
      <c r="AA214" s="3">
        <v>0</v>
      </c>
    </row>
    <row r="215" spans="1:27">
      <c r="A215" t="s">
        <v>269</v>
      </c>
      <c r="B215" s="3">
        <v>2</v>
      </c>
      <c r="C215" s="3">
        <v>1</v>
      </c>
      <c r="D215" s="1">
        <v>38027</v>
      </c>
      <c r="E215" s="1">
        <v>39082</v>
      </c>
      <c r="F215" s="2">
        <f t="shared" si="3"/>
        <v>2.8884325804243667</v>
      </c>
      <c r="G215" s="3">
        <v>2</v>
      </c>
      <c r="H215" s="3">
        <v>1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68.2</v>
      </c>
      <c r="S215" s="2">
        <v>6.9</v>
      </c>
      <c r="T215" t="s">
        <v>66</v>
      </c>
      <c r="U215" s="3">
        <v>1</v>
      </c>
      <c r="V215" s="3">
        <v>1</v>
      </c>
      <c r="W215" s="3">
        <v>1</v>
      </c>
      <c r="X215" s="3">
        <v>1</v>
      </c>
      <c r="Y215" s="3">
        <v>0</v>
      </c>
      <c r="Z215" s="3">
        <v>0</v>
      </c>
      <c r="AA215" s="3">
        <v>0</v>
      </c>
    </row>
    <row r="216" spans="1:27">
      <c r="A216" t="s">
        <v>270</v>
      </c>
      <c r="B216" s="3">
        <v>1</v>
      </c>
      <c r="C216" s="3">
        <v>1</v>
      </c>
      <c r="D216" s="1">
        <v>37962</v>
      </c>
      <c r="E216" s="1">
        <v>39082</v>
      </c>
      <c r="F216" s="2">
        <f t="shared" si="3"/>
        <v>3.0663928815879533</v>
      </c>
      <c r="G216" s="3">
        <v>2</v>
      </c>
      <c r="H216" s="3">
        <v>0</v>
      </c>
      <c r="I216" s="3">
        <v>1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68.2</v>
      </c>
      <c r="S216" s="2">
        <v>8.5</v>
      </c>
      <c r="T216" t="s">
        <v>105</v>
      </c>
      <c r="U216" s="3">
        <v>1</v>
      </c>
      <c r="V216" s="3">
        <v>1</v>
      </c>
      <c r="W216" s="3">
        <v>1</v>
      </c>
      <c r="X216" s="3">
        <v>1</v>
      </c>
      <c r="Y216" s="3">
        <v>0</v>
      </c>
      <c r="Z216" s="3">
        <v>0</v>
      </c>
      <c r="AA216" s="3">
        <v>0</v>
      </c>
    </row>
    <row r="217" spans="1:27">
      <c r="A217" t="s">
        <v>271</v>
      </c>
      <c r="B217" s="3">
        <v>2</v>
      </c>
      <c r="C217" s="3">
        <v>1</v>
      </c>
      <c r="D217" s="1">
        <v>38158</v>
      </c>
      <c r="E217" s="1">
        <v>39082</v>
      </c>
      <c r="F217" s="2">
        <f t="shared" si="3"/>
        <v>2.5297741273100618</v>
      </c>
      <c r="G217" s="3">
        <v>1</v>
      </c>
      <c r="H217" s="3">
        <v>1</v>
      </c>
      <c r="I217" s="3">
        <v>0</v>
      </c>
      <c r="J217" s="3">
        <v>0</v>
      </c>
      <c r="K217" s="3">
        <v>1</v>
      </c>
      <c r="L217" s="3">
        <v>0</v>
      </c>
      <c r="M217" s="3">
        <v>0</v>
      </c>
      <c r="N217" s="3">
        <v>1</v>
      </c>
      <c r="O217" s="3">
        <v>0</v>
      </c>
      <c r="P217" s="3">
        <v>0</v>
      </c>
      <c r="Q217" s="3">
        <v>0</v>
      </c>
      <c r="R217" s="3">
        <v>68.400000000000006</v>
      </c>
      <c r="S217" s="2">
        <v>6.7</v>
      </c>
      <c r="T217" t="s">
        <v>44</v>
      </c>
      <c r="U217" s="3">
        <v>1</v>
      </c>
      <c r="V217" s="3">
        <v>1</v>
      </c>
      <c r="W217" s="3">
        <v>1</v>
      </c>
      <c r="X217" s="3">
        <v>1</v>
      </c>
      <c r="Y217" s="3">
        <v>0</v>
      </c>
      <c r="Z217" s="3">
        <v>1</v>
      </c>
      <c r="AA217" s="3">
        <v>0</v>
      </c>
    </row>
    <row r="218" spans="1:27">
      <c r="A218" t="s">
        <v>272</v>
      </c>
      <c r="B218" s="3">
        <v>3</v>
      </c>
      <c r="C218" s="3">
        <v>1</v>
      </c>
      <c r="D218" s="1">
        <v>38257</v>
      </c>
      <c r="E218" s="1">
        <v>39082</v>
      </c>
      <c r="F218" s="2">
        <f t="shared" si="3"/>
        <v>2.2587268993839835</v>
      </c>
      <c r="G218" s="3">
        <v>1</v>
      </c>
      <c r="H218" s="3">
        <v>1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1</v>
      </c>
      <c r="Q218" s="3">
        <v>0</v>
      </c>
      <c r="R218" s="3">
        <v>68.400000000000006</v>
      </c>
      <c r="S218" s="2">
        <v>9.3000000000000007</v>
      </c>
      <c r="T218" t="s">
        <v>28</v>
      </c>
      <c r="U218" s="3">
        <v>0</v>
      </c>
      <c r="V218" s="3">
        <v>1</v>
      </c>
      <c r="W218" s="3">
        <v>1</v>
      </c>
      <c r="X218" s="3">
        <v>1</v>
      </c>
      <c r="Y218" s="3">
        <v>1</v>
      </c>
      <c r="Z218" s="3">
        <v>1</v>
      </c>
      <c r="AA218" s="3">
        <v>0</v>
      </c>
    </row>
    <row r="219" spans="1:27">
      <c r="A219" t="s">
        <v>273</v>
      </c>
      <c r="B219" s="3">
        <v>3</v>
      </c>
      <c r="C219" s="3">
        <v>1</v>
      </c>
      <c r="D219" s="1">
        <v>38018</v>
      </c>
      <c r="E219" s="1">
        <v>39082</v>
      </c>
      <c r="F219" s="2">
        <f t="shared" si="3"/>
        <v>2.9130732375085557</v>
      </c>
      <c r="G219" s="3">
        <v>2</v>
      </c>
      <c r="H219" s="3">
        <v>1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68.400000000000006</v>
      </c>
      <c r="S219" s="2">
        <v>7.4</v>
      </c>
      <c r="T219" t="s">
        <v>44</v>
      </c>
      <c r="U219" s="3">
        <v>0</v>
      </c>
      <c r="V219" s="3">
        <v>0</v>
      </c>
      <c r="W219" s="3">
        <v>1</v>
      </c>
      <c r="X219" s="3">
        <v>1</v>
      </c>
      <c r="Y219" s="3">
        <v>0</v>
      </c>
      <c r="Z219" s="3">
        <v>0</v>
      </c>
      <c r="AA219" s="3">
        <v>0</v>
      </c>
    </row>
    <row r="220" spans="1:27">
      <c r="A220" t="s">
        <v>274</v>
      </c>
      <c r="B220" s="3">
        <v>1</v>
      </c>
      <c r="C220" s="3">
        <v>1</v>
      </c>
      <c r="D220" s="1">
        <v>38054</v>
      </c>
      <c r="E220" s="1">
        <v>39082</v>
      </c>
      <c r="F220" s="2">
        <f t="shared" si="3"/>
        <v>2.8145106091718</v>
      </c>
      <c r="G220" s="3">
        <v>2</v>
      </c>
      <c r="H220" s="3">
        <v>1</v>
      </c>
      <c r="I220" s="3">
        <v>1</v>
      </c>
      <c r="J220" s="3">
        <v>1</v>
      </c>
      <c r="K220" s="3">
        <v>0</v>
      </c>
      <c r="L220" s="3">
        <v>1</v>
      </c>
      <c r="M220" s="3">
        <v>0</v>
      </c>
      <c r="N220" s="3">
        <v>1</v>
      </c>
      <c r="O220" s="3">
        <v>0</v>
      </c>
      <c r="P220" s="3">
        <v>1</v>
      </c>
      <c r="Q220" s="3">
        <v>0</v>
      </c>
      <c r="R220" s="3">
        <v>68.400000000000006</v>
      </c>
      <c r="S220" s="2">
        <v>7.6</v>
      </c>
      <c r="T220" t="s">
        <v>275</v>
      </c>
      <c r="U220" s="3">
        <v>1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</row>
    <row r="221" spans="1:27">
      <c r="A221" t="s">
        <v>276</v>
      </c>
      <c r="B221" s="3">
        <v>1</v>
      </c>
      <c r="C221" s="3">
        <v>1</v>
      </c>
      <c r="D221" s="1">
        <v>38290</v>
      </c>
      <c r="E221" s="1">
        <v>39082</v>
      </c>
      <c r="F221" s="2">
        <f t="shared" si="3"/>
        <v>2.1683778234086244</v>
      </c>
      <c r="G221" s="3">
        <v>2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1</v>
      </c>
      <c r="O221" s="3">
        <v>0</v>
      </c>
      <c r="P221" s="3">
        <v>1</v>
      </c>
      <c r="Q221" s="3">
        <v>0</v>
      </c>
      <c r="R221" s="3">
        <v>68.5</v>
      </c>
      <c r="S221" s="2">
        <v>8.5</v>
      </c>
      <c r="T221" t="s">
        <v>44</v>
      </c>
      <c r="U221" s="3">
        <v>0</v>
      </c>
      <c r="V221" s="3">
        <v>1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</row>
    <row r="222" spans="1:27">
      <c r="A222" t="s">
        <v>277</v>
      </c>
      <c r="B222" s="3">
        <v>1</v>
      </c>
      <c r="C222" s="3">
        <v>1</v>
      </c>
      <c r="D222" s="1">
        <v>38109</v>
      </c>
      <c r="E222" s="1">
        <v>39082</v>
      </c>
      <c r="F222" s="2">
        <f t="shared" si="3"/>
        <v>2.6639288158795345</v>
      </c>
      <c r="G222" s="3">
        <v>1</v>
      </c>
      <c r="H222" s="3">
        <v>1</v>
      </c>
      <c r="I222" s="3">
        <v>1</v>
      </c>
      <c r="J222" s="3">
        <v>0</v>
      </c>
      <c r="K222" s="3">
        <v>1</v>
      </c>
      <c r="L222" s="3">
        <v>0</v>
      </c>
      <c r="M222" s="3">
        <v>0</v>
      </c>
      <c r="N222" s="3">
        <v>1</v>
      </c>
      <c r="O222" s="3">
        <v>0</v>
      </c>
      <c r="P222" s="3">
        <v>0</v>
      </c>
      <c r="Q222" s="3">
        <v>0</v>
      </c>
      <c r="R222" s="3">
        <v>68.5</v>
      </c>
      <c r="S222" s="2">
        <v>7.6</v>
      </c>
      <c r="T222" t="s">
        <v>105</v>
      </c>
      <c r="U222" s="3">
        <v>1</v>
      </c>
      <c r="V222" s="3">
        <v>1</v>
      </c>
      <c r="W222" s="3">
        <v>0</v>
      </c>
      <c r="X222" s="3">
        <v>0</v>
      </c>
      <c r="Y222" s="3">
        <v>0</v>
      </c>
      <c r="Z222" s="3">
        <v>1</v>
      </c>
      <c r="AA222" s="3">
        <v>0</v>
      </c>
    </row>
    <row r="223" spans="1:27">
      <c r="A223" t="s">
        <v>278</v>
      </c>
      <c r="B223" s="3">
        <v>2</v>
      </c>
      <c r="C223" s="3">
        <v>1</v>
      </c>
      <c r="D223" s="1">
        <v>37996</v>
      </c>
      <c r="E223" s="1">
        <v>39082</v>
      </c>
      <c r="F223" s="2">
        <f t="shared" si="3"/>
        <v>2.9733059548254621</v>
      </c>
      <c r="G223" s="3">
        <v>2</v>
      </c>
      <c r="H223" s="3">
        <v>0</v>
      </c>
      <c r="I223" s="3">
        <v>1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68.599999999999994</v>
      </c>
      <c r="S223" s="2">
        <v>7.8</v>
      </c>
      <c r="T223" t="s">
        <v>28</v>
      </c>
      <c r="U223" s="3">
        <v>1</v>
      </c>
      <c r="V223" s="3">
        <v>1</v>
      </c>
      <c r="W223" s="3">
        <v>1</v>
      </c>
      <c r="X223" s="3">
        <v>1</v>
      </c>
      <c r="Y223" s="3">
        <v>0</v>
      </c>
      <c r="Z223" s="3">
        <v>0</v>
      </c>
      <c r="AA223" s="3">
        <v>0</v>
      </c>
    </row>
    <row r="224" spans="1:27">
      <c r="A224" t="s">
        <v>279</v>
      </c>
      <c r="B224" s="3">
        <v>2</v>
      </c>
      <c r="C224" s="3">
        <v>1</v>
      </c>
      <c r="D224" s="1">
        <v>38106</v>
      </c>
      <c r="E224" s="1">
        <v>39082</v>
      </c>
      <c r="F224" s="2">
        <f t="shared" si="3"/>
        <v>2.6721423682409307</v>
      </c>
      <c r="G224" s="3">
        <v>2</v>
      </c>
      <c r="H224" s="3">
        <v>1</v>
      </c>
      <c r="I224" s="3">
        <v>1</v>
      </c>
      <c r="J224" s="3">
        <v>0</v>
      </c>
      <c r="K224" s="3">
        <v>0</v>
      </c>
      <c r="L224" s="3">
        <v>0</v>
      </c>
      <c r="M224" s="3">
        <v>0</v>
      </c>
      <c r="N224" s="3">
        <v>1</v>
      </c>
      <c r="O224" s="3">
        <v>0</v>
      </c>
      <c r="P224" s="3">
        <v>0</v>
      </c>
      <c r="Q224" s="3">
        <v>0</v>
      </c>
      <c r="R224" s="3">
        <v>68.599999999999994</v>
      </c>
      <c r="S224" s="2">
        <v>6.6</v>
      </c>
      <c r="T224" t="s">
        <v>28</v>
      </c>
      <c r="U224" s="3">
        <v>1</v>
      </c>
      <c r="V224" s="3">
        <v>1</v>
      </c>
      <c r="W224" s="3">
        <v>1</v>
      </c>
      <c r="X224" s="3">
        <v>0</v>
      </c>
      <c r="Y224" s="3">
        <v>1</v>
      </c>
      <c r="Z224" s="3">
        <v>0</v>
      </c>
      <c r="AA224" s="3">
        <v>0</v>
      </c>
    </row>
    <row r="225" spans="1:27">
      <c r="A225" t="s">
        <v>280</v>
      </c>
      <c r="B225" s="3">
        <v>3</v>
      </c>
      <c r="C225" s="3">
        <v>1</v>
      </c>
      <c r="D225" s="1">
        <v>38093</v>
      </c>
      <c r="E225" s="1">
        <v>39082</v>
      </c>
      <c r="F225" s="2">
        <f t="shared" si="3"/>
        <v>2.707734428473648</v>
      </c>
      <c r="G225" s="3">
        <v>1</v>
      </c>
      <c r="H225" s="3">
        <v>1</v>
      </c>
      <c r="I225" s="3">
        <v>0</v>
      </c>
      <c r="J225" s="3">
        <v>0</v>
      </c>
      <c r="K225" s="3">
        <v>0</v>
      </c>
      <c r="L225" s="3">
        <v>0</v>
      </c>
      <c r="M225" s="3">
        <v>1</v>
      </c>
      <c r="N225" s="3">
        <v>1</v>
      </c>
      <c r="O225" s="3">
        <v>0</v>
      </c>
      <c r="P225" s="3">
        <v>1</v>
      </c>
      <c r="Q225" s="3">
        <v>0</v>
      </c>
      <c r="R225" s="3">
        <v>68.7</v>
      </c>
      <c r="S225" s="2">
        <v>8</v>
      </c>
      <c r="T225" t="s">
        <v>28</v>
      </c>
      <c r="U225" s="3">
        <v>1</v>
      </c>
      <c r="V225" s="3">
        <v>1</v>
      </c>
      <c r="W225" s="3">
        <v>0</v>
      </c>
      <c r="X225" s="3">
        <v>0</v>
      </c>
      <c r="Y225" s="3">
        <v>0</v>
      </c>
      <c r="Z225" s="3">
        <v>1</v>
      </c>
      <c r="AA225" s="3">
        <v>0</v>
      </c>
    </row>
    <row r="226" spans="1:27">
      <c r="A226" t="s">
        <v>281</v>
      </c>
      <c r="B226" s="3">
        <v>1</v>
      </c>
      <c r="C226" s="3">
        <v>1</v>
      </c>
      <c r="D226" s="1">
        <v>38177</v>
      </c>
      <c r="E226" s="1">
        <v>39082</v>
      </c>
      <c r="F226" s="2">
        <f t="shared" si="3"/>
        <v>2.4777549623545516</v>
      </c>
      <c r="G226" s="3">
        <v>2</v>
      </c>
      <c r="H226" s="3">
        <v>1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1</v>
      </c>
      <c r="O226" s="3">
        <v>0</v>
      </c>
      <c r="P226" s="3">
        <v>1</v>
      </c>
      <c r="Q226" s="3">
        <v>0</v>
      </c>
      <c r="R226" s="3">
        <v>68.7</v>
      </c>
      <c r="S226" s="2">
        <v>6.1</v>
      </c>
      <c r="T226" t="s">
        <v>28</v>
      </c>
      <c r="U226" s="3">
        <v>1</v>
      </c>
      <c r="V226" s="3">
        <v>1</v>
      </c>
      <c r="W226" s="3">
        <v>1</v>
      </c>
      <c r="X226" s="3">
        <v>0</v>
      </c>
      <c r="Y226" s="3">
        <v>1</v>
      </c>
      <c r="Z226" s="3">
        <v>0</v>
      </c>
      <c r="AA226" s="3">
        <v>0</v>
      </c>
    </row>
    <row r="227" spans="1:27">
      <c r="A227" t="s">
        <v>282</v>
      </c>
      <c r="B227" s="3">
        <v>3</v>
      </c>
      <c r="C227" s="3">
        <v>1</v>
      </c>
      <c r="D227" s="1">
        <v>37990</v>
      </c>
      <c r="E227" s="1">
        <v>39082</v>
      </c>
      <c r="F227" s="2">
        <f t="shared" si="3"/>
        <v>2.9897330595482545</v>
      </c>
      <c r="G227" s="3">
        <v>2</v>
      </c>
      <c r="H227" s="3">
        <v>1</v>
      </c>
      <c r="I227" s="3">
        <v>0</v>
      </c>
      <c r="J227" s="3">
        <v>1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68.7</v>
      </c>
      <c r="S227" s="2">
        <v>7.3</v>
      </c>
      <c r="T227" t="s">
        <v>283</v>
      </c>
      <c r="U227" s="3">
        <v>0</v>
      </c>
      <c r="V227" s="3">
        <v>0</v>
      </c>
      <c r="W227" s="3">
        <v>1</v>
      </c>
      <c r="X227" s="3">
        <v>0</v>
      </c>
      <c r="Y227" s="3">
        <v>0</v>
      </c>
      <c r="Z227" s="3">
        <v>0</v>
      </c>
      <c r="AA227" s="3">
        <v>0</v>
      </c>
    </row>
    <row r="228" spans="1:27">
      <c r="A228" t="s">
        <v>284</v>
      </c>
      <c r="B228" s="3">
        <v>2</v>
      </c>
      <c r="C228" s="3">
        <v>1</v>
      </c>
      <c r="D228" s="1">
        <v>38084</v>
      </c>
      <c r="E228" s="1">
        <v>39082</v>
      </c>
      <c r="F228" s="2">
        <f t="shared" si="3"/>
        <v>2.732375085557837</v>
      </c>
      <c r="G228" s="3">
        <v>2</v>
      </c>
      <c r="H228" s="3">
        <v>1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68.8</v>
      </c>
      <c r="S228" s="2">
        <v>7.6</v>
      </c>
      <c r="T228" t="s">
        <v>66</v>
      </c>
      <c r="U228" s="3">
        <v>1</v>
      </c>
      <c r="V228" s="3">
        <v>1</v>
      </c>
      <c r="W228" s="3">
        <v>1</v>
      </c>
      <c r="X228" s="3">
        <v>1</v>
      </c>
      <c r="Y228" s="3">
        <v>0</v>
      </c>
      <c r="Z228" s="3">
        <v>0</v>
      </c>
      <c r="AA228" s="3">
        <v>0</v>
      </c>
    </row>
    <row r="229" spans="1:27">
      <c r="A229" t="s">
        <v>285</v>
      </c>
      <c r="B229" s="3">
        <v>2</v>
      </c>
      <c r="C229" s="3">
        <v>1</v>
      </c>
      <c r="D229" s="1">
        <v>38081</v>
      </c>
      <c r="E229" s="1">
        <v>39082</v>
      </c>
      <c r="F229" s="2">
        <f t="shared" si="3"/>
        <v>2.7405886379192332</v>
      </c>
      <c r="G229" s="3">
        <v>1</v>
      </c>
      <c r="H229" s="3">
        <v>1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68.900000000000006</v>
      </c>
      <c r="S229" s="2">
        <v>7.1</v>
      </c>
      <c r="T229" t="s">
        <v>28</v>
      </c>
      <c r="U229" s="3">
        <v>0</v>
      </c>
      <c r="V229" s="3">
        <v>1</v>
      </c>
      <c r="W229" s="3">
        <v>0</v>
      </c>
      <c r="X229" s="3">
        <v>0</v>
      </c>
      <c r="Y229" s="3">
        <v>1</v>
      </c>
      <c r="Z229" s="3">
        <v>1</v>
      </c>
      <c r="AA229" s="3">
        <v>0</v>
      </c>
    </row>
    <row r="230" spans="1:27">
      <c r="A230" t="s">
        <v>286</v>
      </c>
      <c r="B230" s="3">
        <v>1</v>
      </c>
      <c r="C230" s="3">
        <v>1</v>
      </c>
      <c r="D230" s="1">
        <v>38105</v>
      </c>
      <c r="E230" s="1">
        <v>39082</v>
      </c>
      <c r="F230" s="2">
        <f t="shared" si="3"/>
        <v>2.6748802190280632</v>
      </c>
      <c r="G230" s="3">
        <v>1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v>0</v>
      </c>
      <c r="N230" s="3">
        <v>1</v>
      </c>
      <c r="O230" s="3">
        <v>0</v>
      </c>
      <c r="P230" s="3">
        <v>1</v>
      </c>
      <c r="Q230" s="3">
        <v>0</v>
      </c>
      <c r="R230" s="3">
        <v>69</v>
      </c>
      <c r="S230" s="2">
        <v>8.1</v>
      </c>
      <c r="T230" t="s">
        <v>44</v>
      </c>
      <c r="U230" s="3">
        <v>1</v>
      </c>
      <c r="V230" s="3">
        <v>1</v>
      </c>
      <c r="W230" s="3">
        <v>0</v>
      </c>
      <c r="X230" s="3">
        <v>0</v>
      </c>
      <c r="Y230" s="3">
        <v>0</v>
      </c>
      <c r="Z230" s="3">
        <v>1</v>
      </c>
      <c r="AA230" s="3">
        <v>0</v>
      </c>
    </row>
    <row r="231" spans="1:27">
      <c r="A231" t="s">
        <v>287</v>
      </c>
      <c r="B231" s="3">
        <v>3</v>
      </c>
      <c r="C231" s="3">
        <v>1</v>
      </c>
      <c r="D231" s="1">
        <v>38228</v>
      </c>
      <c r="E231" s="1">
        <v>39082</v>
      </c>
      <c r="F231" s="2">
        <f t="shared" si="3"/>
        <v>2.3381245722108144</v>
      </c>
      <c r="G231" s="3">
        <v>1</v>
      </c>
      <c r="H231" s="3">
        <v>1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1</v>
      </c>
      <c r="Q231" s="3">
        <v>0</v>
      </c>
      <c r="R231" s="3">
        <v>69</v>
      </c>
      <c r="S231" s="2">
        <v>7.4</v>
      </c>
      <c r="T231" t="s">
        <v>44</v>
      </c>
      <c r="U231" s="3">
        <v>0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0</v>
      </c>
    </row>
    <row r="232" spans="1:27">
      <c r="A232" t="s">
        <v>288</v>
      </c>
      <c r="B232" s="3">
        <v>1</v>
      </c>
      <c r="C232" s="3">
        <v>0</v>
      </c>
      <c r="D232" s="1">
        <v>38048</v>
      </c>
      <c r="E232" s="1">
        <v>39082</v>
      </c>
      <c r="F232" s="2">
        <f t="shared" si="3"/>
        <v>2.8309377138945928</v>
      </c>
      <c r="G232" s="3">
        <v>2</v>
      </c>
      <c r="H232" s="3">
        <v>1</v>
      </c>
      <c r="I232" s="3">
        <v>1</v>
      </c>
      <c r="J232" s="3">
        <v>0</v>
      </c>
      <c r="K232" s="3">
        <v>1</v>
      </c>
      <c r="L232" s="3">
        <v>1</v>
      </c>
      <c r="M232" s="3">
        <v>0</v>
      </c>
      <c r="N232" s="3">
        <v>1</v>
      </c>
      <c r="O232" s="3">
        <v>1</v>
      </c>
      <c r="P232" s="3">
        <v>0</v>
      </c>
      <c r="Q232" s="3">
        <v>0</v>
      </c>
      <c r="R232" s="3">
        <v>69</v>
      </c>
      <c r="S232" s="2">
        <v>8.1999999999999993</v>
      </c>
      <c r="T232" t="s">
        <v>69</v>
      </c>
      <c r="U232" s="3">
        <v>0</v>
      </c>
      <c r="V232" s="3">
        <v>1</v>
      </c>
      <c r="W232" s="3">
        <v>1</v>
      </c>
      <c r="X232" s="3">
        <v>1</v>
      </c>
      <c r="Y232" s="3">
        <v>0</v>
      </c>
      <c r="Z232" s="3">
        <v>0</v>
      </c>
      <c r="AA232" s="3">
        <v>0</v>
      </c>
    </row>
    <row r="233" spans="1:27">
      <c r="A233" t="s">
        <v>289</v>
      </c>
      <c r="B233" s="3">
        <v>1</v>
      </c>
      <c r="C233" s="3">
        <v>1</v>
      </c>
      <c r="D233" s="1">
        <v>38050</v>
      </c>
      <c r="E233" s="1">
        <v>39082</v>
      </c>
      <c r="F233" s="2">
        <f t="shared" si="3"/>
        <v>2.8254620123203287</v>
      </c>
      <c r="G233" s="3">
        <v>1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69.099999999999994</v>
      </c>
      <c r="S233" s="2">
        <v>7.8</v>
      </c>
      <c r="T233" t="s">
        <v>28</v>
      </c>
      <c r="U233" s="3">
        <v>1</v>
      </c>
      <c r="V233" s="3">
        <v>1</v>
      </c>
      <c r="W233" s="3">
        <v>1</v>
      </c>
      <c r="X233" s="3">
        <v>1</v>
      </c>
      <c r="Y233" s="3">
        <v>0</v>
      </c>
      <c r="Z233" s="3">
        <v>1</v>
      </c>
      <c r="AA233" s="3">
        <v>0</v>
      </c>
    </row>
    <row r="234" spans="1:27">
      <c r="A234" t="s">
        <v>290</v>
      </c>
      <c r="B234" s="3">
        <v>1</v>
      </c>
      <c r="C234" s="3">
        <v>1</v>
      </c>
      <c r="D234" s="1">
        <v>38120</v>
      </c>
      <c r="E234" s="1">
        <v>39082</v>
      </c>
      <c r="F234" s="2">
        <f t="shared" si="3"/>
        <v>2.6338124572210813</v>
      </c>
      <c r="G234" s="3">
        <v>2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1</v>
      </c>
      <c r="O234" s="3">
        <v>0</v>
      </c>
      <c r="P234" s="3">
        <v>0</v>
      </c>
      <c r="Q234" s="3">
        <v>0</v>
      </c>
      <c r="R234" s="3">
        <v>69.099999999999994</v>
      </c>
      <c r="S234" s="2">
        <v>9.4</v>
      </c>
      <c r="T234" t="s">
        <v>28</v>
      </c>
      <c r="U234" s="3">
        <v>1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</row>
    <row r="235" spans="1:27">
      <c r="A235" t="s">
        <v>291</v>
      </c>
      <c r="B235" s="3">
        <v>2</v>
      </c>
      <c r="C235" s="3">
        <v>1</v>
      </c>
      <c r="D235" s="1">
        <v>38054</v>
      </c>
      <c r="E235" s="1">
        <v>39082</v>
      </c>
      <c r="F235" s="2">
        <f t="shared" si="3"/>
        <v>2.8145106091718</v>
      </c>
      <c r="G235" s="3">
        <v>1</v>
      </c>
      <c r="H235" s="3">
        <v>0</v>
      </c>
      <c r="I235" s="3">
        <v>1</v>
      </c>
      <c r="J235" s="3">
        <v>0</v>
      </c>
      <c r="K235" s="3">
        <v>0</v>
      </c>
      <c r="L235" s="3">
        <v>0</v>
      </c>
      <c r="M235" s="3">
        <v>0</v>
      </c>
      <c r="N235" s="3">
        <v>1</v>
      </c>
      <c r="O235" s="3">
        <v>0</v>
      </c>
      <c r="P235" s="3">
        <v>1</v>
      </c>
      <c r="Q235" s="3">
        <v>0</v>
      </c>
      <c r="R235" s="3">
        <v>69.099999999999994</v>
      </c>
      <c r="S235" s="2">
        <v>6.8</v>
      </c>
      <c r="T235" t="s">
        <v>28</v>
      </c>
      <c r="U235" s="3">
        <v>1</v>
      </c>
      <c r="V235" s="3">
        <v>1</v>
      </c>
      <c r="W235" s="3">
        <v>0</v>
      </c>
      <c r="X235" s="3">
        <v>0</v>
      </c>
      <c r="Y235" s="3">
        <v>0</v>
      </c>
      <c r="Z235" s="3">
        <v>1</v>
      </c>
      <c r="AA235" s="3">
        <v>0</v>
      </c>
    </row>
    <row r="236" spans="1:27">
      <c r="A236" t="s">
        <v>292</v>
      </c>
      <c r="B236" s="3">
        <v>2</v>
      </c>
      <c r="C236" s="3">
        <v>0</v>
      </c>
      <c r="D236" s="1">
        <v>37870</v>
      </c>
      <c r="E236" s="1">
        <v>39082</v>
      </c>
      <c r="F236" s="2">
        <f t="shared" si="3"/>
        <v>3.3182751540041067</v>
      </c>
      <c r="G236" s="3">
        <v>2</v>
      </c>
      <c r="H236" s="3">
        <v>1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1</v>
      </c>
      <c r="O236" s="3">
        <v>0</v>
      </c>
      <c r="P236" s="3">
        <v>1</v>
      </c>
      <c r="Q236" s="3">
        <v>0</v>
      </c>
      <c r="R236" s="3">
        <v>69.2</v>
      </c>
      <c r="S236" s="2">
        <v>6.6</v>
      </c>
      <c r="T236" t="s">
        <v>44</v>
      </c>
      <c r="U236" s="3">
        <v>0</v>
      </c>
      <c r="V236" s="3">
        <v>1</v>
      </c>
      <c r="W236" s="3">
        <v>1</v>
      </c>
      <c r="X236" s="3">
        <v>1</v>
      </c>
      <c r="Y236" s="3">
        <v>0</v>
      </c>
      <c r="Z236" s="3">
        <v>0</v>
      </c>
      <c r="AA236" s="3">
        <v>0</v>
      </c>
    </row>
    <row r="237" spans="1:27">
      <c r="A237" t="s">
        <v>293</v>
      </c>
      <c r="B237" s="3">
        <v>1</v>
      </c>
      <c r="C237" s="3">
        <v>1</v>
      </c>
      <c r="D237" s="1">
        <v>38154</v>
      </c>
      <c r="E237" s="1">
        <v>39082</v>
      </c>
      <c r="F237" s="2">
        <f t="shared" si="3"/>
        <v>2.5407255304585901</v>
      </c>
      <c r="G237" s="3">
        <v>1</v>
      </c>
      <c r="H237" s="3">
        <v>1</v>
      </c>
      <c r="I237" s="3">
        <v>1</v>
      </c>
      <c r="J237" s="3">
        <v>0</v>
      </c>
      <c r="K237" s="3">
        <v>0</v>
      </c>
      <c r="L237" s="3">
        <v>0</v>
      </c>
      <c r="M237" s="3">
        <v>0</v>
      </c>
      <c r="N237" s="3">
        <v>1</v>
      </c>
      <c r="O237" s="3">
        <v>0</v>
      </c>
      <c r="P237" s="3">
        <v>1</v>
      </c>
      <c r="Q237" s="3">
        <v>0</v>
      </c>
      <c r="R237" s="3">
        <v>69.2</v>
      </c>
      <c r="S237" s="2">
        <v>7.9</v>
      </c>
      <c r="T237" t="s">
        <v>28</v>
      </c>
      <c r="U237" s="3">
        <v>1</v>
      </c>
      <c r="V237" s="3">
        <v>1</v>
      </c>
      <c r="W237" s="3">
        <v>0</v>
      </c>
      <c r="X237" s="3">
        <v>0</v>
      </c>
      <c r="Y237" s="3">
        <v>0</v>
      </c>
      <c r="Z237" s="3">
        <v>1</v>
      </c>
      <c r="AA237" s="3">
        <v>0</v>
      </c>
    </row>
    <row r="238" spans="1:27">
      <c r="A238" t="s">
        <v>294</v>
      </c>
      <c r="B238" s="3">
        <v>2</v>
      </c>
      <c r="C238" s="3">
        <v>1</v>
      </c>
      <c r="D238" s="1">
        <v>38091</v>
      </c>
      <c r="E238" s="1">
        <v>39082</v>
      </c>
      <c r="F238" s="2">
        <f t="shared" si="3"/>
        <v>2.7132101300479126</v>
      </c>
      <c r="G238" s="3">
        <v>1</v>
      </c>
      <c r="H238" s="3">
        <v>1</v>
      </c>
      <c r="I238" s="3">
        <v>1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69.2</v>
      </c>
      <c r="S238" s="2">
        <v>7.4</v>
      </c>
      <c r="T238" t="s">
        <v>28</v>
      </c>
      <c r="U238" s="3">
        <v>1</v>
      </c>
      <c r="V238" s="3">
        <v>1</v>
      </c>
      <c r="W238" s="3">
        <v>1</v>
      </c>
      <c r="X238" s="3">
        <v>1</v>
      </c>
      <c r="Y238" s="3">
        <v>1</v>
      </c>
      <c r="Z238" s="3">
        <v>1</v>
      </c>
      <c r="AA238" s="3">
        <v>0</v>
      </c>
    </row>
    <row r="239" spans="1:27">
      <c r="A239" t="s">
        <v>295</v>
      </c>
      <c r="B239" s="3">
        <v>2</v>
      </c>
      <c r="C239" s="3">
        <v>1</v>
      </c>
      <c r="D239" s="1">
        <v>38032</v>
      </c>
      <c r="E239" s="1">
        <v>39082</v>
      </c>
      <c r="F239" s="2">
        <f t="shared" si="3"/>
        <v>2.8747433264887063</v>
      </c>
      <c r="G239" s="3">
        <v>2</v>
      </c>
      <c r="H239" s="3">
        <v>1</v>
      </c>
      <c r="I239" s="3">
        <v>1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69.2</v>
      </c>
      <c r="S239" s="2">
        <v>7</v>
      </c>
      <c r="T239" t="s">
        <v>28</v>
      </c>
      <c r="U239" s="3">
        <v>1</v>
      </c>
      <c r="V239" s="3">
        <v>1</v>
      </c>
      <c r="W239" s="3">
        <v>1</v>
      </c>
      <c r="X239" s="3">
        <v>1</v>
      </c>
      <c r="Y239" s="3">
        <v>0</v>
      </c>
      <c r="Z239" s="3">
        <v>0</v>
      </c>
      <c r="AA239" s="3">
        <v>0</v>
      </c>
    </row>
    <row r="240" spans="1:27">
      <c r="A240" t="s">
        <v>296</v>
      </c>
      <c r="B240" s="3">
        <v>3</v>
      </c>
      <c r="C240" s="3">
        <v>1</v>
      </c>
      <c r="D240" s="1">
        <v>38154</v>
      </c>
      <c r="E240" s="1">
        <v>39082</v>
      </c>
      <c r="F240" s="2">
        <f t="shared" si="3"/>
        <v>2.5407255304585901</v>
      </c>
      <c r="G240" s="3">
        <v>1</v>
      </c>
      <c r="H240" s="3">
        <v>1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1</v>
      </c>
      <c r="O240" s="3">
        <v>0</v>
      </c>
      <c r="P240" s="3">
        <v>0</v>
      </c>
      <c r="Q240" s="3">
        <v>0</v>
      </c>
      <c r="R240" s="3">
        <v>69.3</v>
      </c>
      <c r="S240" s="2">
        <v>9.1999999999999993</v>
      </c>
      <c r="T240" t="s">
        <v>28</v>
      </c>
      <c r="U240" s="3">
        <v>1</v>
      </c>
      <c r="V240" s="3">
        <v>1</v>
      </c>
      <c r="W240" s="3">
        <v>0</v>
      </c>
      <c r="X240" s="3">
        <v>0</v>
      </c>
      <c r="Y240" s="3">
        <v>1</v>
      </c>
      <c r="Z240" s="3">
        <v>1</v>
      </c>
      <c r="AA240" s="3">
        <v>0</v>
      </c>
    </row>
    <row r="241" spans="1:27">
      <c r="A241" t="s">
        <v>297</v>
      </c>
      <c r="B241" s="3">
        <v>3</v>
      </c>
      <c r="C241" s="3">
        <v>1</v>
      </c>
      <c r="D241" s="1">
        <v>38047</v>
      </c>
      <c r="E241" s="1">
        <v>39082</v>
      </c>
      <c r="F241" s="2">
        <f t="shared" si="3"/>
        <v>2.8336755646817249</v>
      </c>
      <c r="G241" s="3">
        <v>2</v>
      </c>
      <c r="H241" s="3">
        <v>1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69.3</v>
      </c>
      <c r="S241" s="2">
        <v>7.1</v>
      </c>
      <c r="T241" t="s">
        <v>40</v>
      </c>
      <c r="U241" s="3">
        <v>0</v>
      </c>
      <c r="V241" s="3">
        <v>0</v>
      </c>
      <c r="W241" s="3">
        <v>1</v>
      </c>
      <c r="X241" s="3">
        <v>1</v>
      </c>
      <c r="Y241" s="3">
        <v>0</v>
      </c>
      <c r="Z241" s="3">
        <v>0</v>
      </c>
      <c r="AA241" s="3">
        <v>0</v>
      </c>
    </row>
    <row r="242" spans="1:27">
      <c r="A242" t="s">
        <v>298</v>
      </c>
      <c r="B242" s="3">
        <v>1</v>
      </c>
      <c r="C242" s="3">
        <v>1</v>
      </c>
      <c r="D242" s="1">
        <v>38277</v>
      </c>
      <c r="E242" s="1">
        <v>39082</v>
      </c>
      <c r="F242" s="2">
        <f t="shared" si="3"/>
        <v>2.2039698836413417</v>
      </c>
      <c r="G242" s="3">
        <v>2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69.5</v>
      </c>
      <c r="S242" s="2">
        <v>8.1</v>
      </c>
      <c r="T242" t="s">
        <v>28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</row>
    <row r="243" spans="1:27">
      <c r="A243" t="s">
        <v>299</v>
      </c>
      <c r="B243" s="3">
        <v>2</v>
      </c>
      <c r="C243" s="3">
        <v>0</v>
      </c>
      <c r="D243" s="1">
        <v>36647</v>
      </c>
      <c r="E243" s="1">
        <v>39082</v>
      </c>
      <c r="F243" s="2">
        <f t="shared" si="3"/>
        <v>6.666666666666667</v>
      </c>
      <c r="G243" s="3">
        <v>1</v>
      </c>
      <c r="H243" s="3">
        <v>0</v>
      </c>
      <c r="I243" s="3">
        <v>0</v>
      </c>
      <c r="J243" s="3">
        <v>1</v>
      </c>
      <c r="K243" s="3">
        <v>0</v>
      </c>
      <c r="L243" s="3">
        <v>0</v>
      </c>
      <c r="M243" s="3">
        <v>0</v>
      </c>
      <c r="N243" s="3">
        <v>1</v>
      </c>
      <c r="O243" s="3">
        <v>0</v>
      </c>
      <c r="P243" s="3">
        <v>0</v>
      </c>
      <c r="Q243" s="3">
        <v>0</v>
      </c>
      <c r="R243" s="3">
        <v>69.5</v>
      </c>
      <c r="S243" s="2">
        <v>13.4</v>
      </c>
      <c r="T243" t="s">
        <v>300</v>
      </c>
      <c r="U243" s="3">
        <v>1</v>
      </c>
      <c r="V243" s="5" t="e">
        <v>#NULL!</v>
      </c>
      <c r="W243" s="3">
        <v>1</v>
      </c>
      <c r="X243" s="3">
        <v>0</v>
      </c>
      <c r="Y243" s="3">
        <v>1</v>
      </c>
      <c r="Z243" s="3">
        <v>1</v>
      </c>
      <c r="AA243" s="3">
        <v>0</v>
      </c>
    </row>
    <row r="244" spans="1:27">
      <c r="A244" t="s">
        <v>301</v>
      </c>
      <c r="B244" s="3">
        <v>3</v>
      </c>
      <c r="C244" s="3">
        <v>1</v>
      </c>
      <c r="D244" s="1">
        <v>38078</v>
      </c>
      <c r="E244" s="1">
        <v>39082</v>
      </c>
      <c r="F244" s="2">
        <f t="shared" si="3"/>
        <v>2.7488021902806299</v>
      </c>
      <c r="G244" s="3">
        <v>2</v>
      </c>
      <c r="H244" s="3">
        <v>1</v>
      </c>
      <c r="I244" s="3">
        <v>0</v>
      </c>
      <c r="J244" s="3">
        <v>1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1</v>
      </c>
      <c r="Q244" s="3">
        <v>0</v>
      </c>
      <c r="R244" s="3">
        <v>69.5</v>
      </c>
      <c r="S244" s="2">
        <v>6.9</v>
      </c>
      <c r="T244" t="s">
        <v>28</v>
      </c>
      <c r="U244" s="3">
        <v>0</v>
      </c>
      <c r="V244" s="3">
        <v>0</v>
      </c>
      <c r="W244" s="3">
        <v>1</v>
      </c>
      <c r="X244" s="3">
        <v>1</v>
      </c>
      <c r="Y244" s="3">
        <v>1</v>
      </c>
      <c r="Z244" s="3">
        <v>0</v>
      </c>
      <c r="AA244" s="3">
        <v>0</v>
      </c>
    </row>
    <row r="245" spans="1:27">
      <c r="A245" t="s">
        <v>302</v>
      </c>
      <c r="B245" s="3">
        <v>2</v>
      </c>
      <c r="C245" s="3">
        <v>0</v>
      </c>
      <c r="D245" s="1">
        <v>38019</v>
      </c>
      <c r="E245" s="1">
        <v>39082</v>
      </c>
      <c r="F245" s="2">
        <f t="shared" si="3"/>
        <v>2.9103353867214237</v>
      </c>
      <c r="G245" s="3">
        <v>2</v>
      </c>
      <c r="H245" s="3">
        <v>0</v>
      </c>
      <c r="I245" s="3">
        <v>1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69.5</v>
      </c>
      <c r="S245" s="2">
        <v>6.9</v>
      </c>
      <c r="T245" t="s">
        <v>28</v>
      </c>
      <c r="U245" s="3">
        <v>1</v>
      </c>
      <c r="V245" s="3">
        <v>1</v>
      </c>
      <c r="W245" s="3">
        <v>0</v>
      </c>
      <c r="X245" s="3">
        <v>1</v>
      </c>
      <c r="Y245" s="3">
        <v>0</v>
      </c>
      <c r="Z245" s="3">
        <v>0</v>
      </c>
      <c r="AA245" s="3">
        <v>0</v>
      </c>
    </row>
    <row r="246" spans="1:27">
      <c r="A246" t="s">
        <v>303</v>
      </c>
      <c r="B246" s="3">
        <v>2</v>
      </c>
      <c r="C246" s="3">
        <v>0</v>
      </c>
      <c r="D246" s="1">
        <v>38032</v>
      </c>
      <c r="E246" s="1">
        <v>39082</v>
      </c>
      <c r="F246" s="2">
        <f t="shared" si="3"/>
        <v>2.8747433264887063</v>
      </c>
      <c r="G246" s="3">
        <v>2</v>
      </c>
      <c r="H246" s="3">
        <v>1</v>
      </c>
      <c r="I246" s="3">
        <v>1</v>
      </c>
      <c r="J246" s="3">
        <v>0</v>
      </c>
      <c r="K246" s="3">
        <v>1</v>
      </c>
      <c r="L246" s="3">
        <v>1</v>
      </c>
      <c r="M246" s="3">
        <v>0</v>
      </c>
      <c r="N246" s="3">
        <v>1</v>
      </c>
      <c r="O246" s="3">
        <v>0</v>
      </c>
      <c r="P246" s="3">
        <v>1</v>
      </c>
      <c r="Q246" s="3">
        <v>0</v>
      </c>
      <c r="R246" s="3">
        <v>69.5</v>
      </c>
      <c r="S246" s="2">
        <v>7.2</v>
      </c>
      <c r="T246" t="s">
        <v>304</v>
      </c>
      <c r="U246" s="3">
        <v>1</v>
      </c>
      <c r="V246" s="3">
        <v>1</v>
      </c>
      <c r="W246" s="3">
        <v>0</v>
      </c>
      <c r="X246" s="3">
        <v>0</v>
      </c>
      <c r="Y246" s="3">
        <v>1</v>
      </c>
      <c r="Z246" s="3">
        <v>0</v>
      </c>
      <c r="AA246" s="3">
        <v>0</v>
      </c>
    </row>
    <row r="247" spans="1:27">
      <c r="A247" t="s">
        <v>305</v>
      </c>
      <c r="B247" s="3">
        <v>2</v>
      </c>
      <c r="C247" s="3">
        <v>1</v>
      </c>
      <c r="D247" s="1">
        <v>38079</v>
      </c>
      <c r="E247" s="1">
        <v>39082</v>
      </c>
      <c r="F247" s="2">
        <f t="shared" si="3"/>
        <v>2.7460643394934978</v>
      </c>
      <c r="G247" s="3">
        <v>1</v>
      </c>
      <c r="H247" s="3">
        <v>1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69.599999999999994</v>
      </c>
      <c r="S247" s="2">
        <v>7</v>
      </c>
      <c r="T247" t="s">
        <v>66</v>
      </c>
      <c r="U247" s="3">
        <v>0</v>
      </c>
      <c r="V247" s="3">
        <v>0</v>
      </c>
      <c r="W247" s="3">
        <v>1</v>
      </c>
      <c r="X247" s="3">
        <v>1</v>
      </c>
      <c r="Y247" s="3">
        <v>0</v>
      </c>
      <c r="Z247" s="3">
        <v>1</v>
      </c>
      <c r="AA247" s="3">
        <v>0</v>
      </c>
    </row>
    <row r="248" spans="1:27">
      <c r="A248" t="s">
        <v>306</v>
      </c>
      <c r="B248" s="3">
        <v>2</v>
      </c>
      <c r="C248" s="3">
        <v>1</v>
      </c>
      <c r="D248" s="1">
        <v>38346</v>
      </c>
      <c r="E248" s="1">
        <v>39082</v>
      </c>
      <c r="F248" s="2">
        <f t="shared" si="3"/>
        <v>2.0150581793292264</v>
      </c>
      <c r="G248" s="3">
        <v>2</v>
      </c>
      <c r="H248" s="3">
        <v>1</v>
      </c>
      <c r="I248" s="3">
        <v>1</v>
      </c>
      <c r="J248" s="3">
        <v>1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1</v>
      </c>
      <c r="Q248" s="3">
        <v>0</v>
      </c>
      <c r="R248" s="3">
        <v>69.599999999999994</v>
      </c>
      <c r="S248" s="2">
        <v>7.6</v>
      </c>
      <c r="T248" t="s">
        <v>28</v>
      </c>
      <c r="U248" s="3">
        <v>1</v>
      </c>
      <c r="V248" s="3">
        <v>1</v>
      </c>
      <c r="W248" s="3">
        <v>1</v>
      </c>
      <c r="X248" s="3">
        <v>1</v>
      </c>
      <c r="Y248" s="3">
        <v>1</v>
      </c>
      <c r="Z248" s="3">
        <v>0</v>
      </c>
      <c r="AA248" s="3">
        <v>0</v>
      </c>
    </row>
    <row r="249" spans="1:27">
      <c r="A249" t="s">
        <v>307</v>
      </c>
      <c r="B249" s="3">
        <v>3</v>
      </c>
      <c r="C249" s="3">
        <v>1</v>
      </c>
      <c r="D249" s="1">
        <v>38069</v>
      </c>
      <c r="E249" s="1">
        <v>39082</v>
      </c>
      <c r="F249" s="2">
        <f t="shared" si="3"/>
        <v>2.7734428473648185</v>
      </c>
      <c r="G249" s="3">
        <v>1</v>
      </c>
      <c r="H249" s="3">
        <v>1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69.7</v>
      </c>
      <c r="S249" s="2">
        <v>9.5</v>
      </c>
      <c r="T249" t="s">
        <v>66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1</v>
      </c>
      <c r="AA249" s="3">
        <v>0</v>
      </c>
    </row>
    <row r="250" spans="1:27">
      <c r="A250" t="s">
        <v>308</v>
      </c>
      <c r="B250" s="3">
        <v>3</v>
      </c>
      <c r="C250" s="3">
        <v>1</v>
      </c>
      <c r="D250" s="1">
        <v>38182</v>
      </c>
      <c r="E250" s="1">
        <v>39082</v>
      </c>
      <c r="F250" s="2">
        <f t="shared" si="3"/>
        <v>2.4640657084188913</v>
      </c>
      <c r="G250" s="3">
        <v>1</v>
      </c>
      <c r="H250" s="3">
        <v>1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1</v>
      </c>
      <c r="O250" s="3">
        <v>0</v>
      </c>
      <c r="P250" s="3">
        <v>0</v>
      </c>
      <c r="Q250" s="3">
        <v>0</v>
      </c>
      <c r="R250" s="3">
        <v>69.7</v>
      </c>
      <c r="S250" s="2">
        <v>8.4</v>
      </c>
      <c r="T250" t="s">
        <v>28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1</v>
      </c>
      <c r="AA250" s="3">
        <v>0</v>
      </c>
    </row>
    <row r="251" spans="1:27">
      <c r="A251" t="s">
        <v>309</v>
      </c>
      <c r="B251" s="3">
        <v>3</v>
      </c>
      <c r="C251" s="3">
        <v>1</v>
      </c>
      <c r="D251" s="1">
        <v>37995</v>
      </c>
      <c r="E251" s="1">
        <v>39082</v>
      </c>
      <c r="F251" s="2">
        <f t="shared" si="3"/>
        <v>2.9760438056125942</v>
      </c>
      <c r="G251" s="3">
        <v>2</v>
      </c>
      <c r="H251" s="3">
        <v>1</v>
      </c>
      <c r="I251" s="3">
        <v>1</v>
      </c>
      <c r="J251" s="3">
        <v>0</v>
      </c>
      <c r="K251" s="3">
        <v>0</v>
      </c>
      <c r="L251" s="3">
        <v>0</v>
      </c>
      <c r="M251" s="3">
        <v>0</v>
      </c>
      <c r="N251" s="3">
        <v>1</v>
      </c>
      <c r="O251" s="3">
        <v>0</v>
      </c>
      <c r="P251" s="3">
        <v>0</v>
      </c>
      <c r="Q251" s="3">
        <v>0</v>
      </c>
      <c r="R251" s="3">
        <v>69.7</v>
      </c>
      <c r="S251" s="2">
        <v>8.1</v>
      </c>
      <c r="T251" t="s">
        <v>105</v>
      </c>
      <c r="U251" s="3">
        <v>0</v>
      </c>
      <c r="V251" s="3">
        <v>0</v>
      </c>
      <c r="W251" s="3">
        <v>1</v>
      </c>
      <c r="X251" s="3">
        <v>0</v>
      </c>
      <c r="Y251" s="3">
        <v>1</v>
      </c>
      <c r="Z251" s="3">
        <v>0</v>
      </c>
      <c r="AA251" s="3">
        <v>0</v>
      </c>
    </row>
    <row r="252" spans="1:27">
      <c r="A252" t="s">
        <v>310</v>
      </c>
      <c r="B252" s="3">
        <v>3</v>
      </c>
      <c r="C252" s="3">
        <v>1</v>
      </c>
      <c r="D252" s="1">
        <v>38052</v>
      </c>
      <c r="E252" s="1">
        <v>39082</v>
      </c>
      <c r="F252" s="2">
        <f t="shared" si="3"/>
        <v>2.8199863107460645</v>
      </c>
      <c r="G252" s="3">
        <v>1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69.8</v>
      </c>
      <c r="S252" s="2">
        <v>9.3000000000000007</v>
      </c>
      <c r="T252" t="s">
        <v>40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1</v>
      </c>
      <c r="AA252" s="3">
        <v>0</v>
      </c>
    </row>
    <row r="253" spans="1:27">
      <c r="A253" t="s">
        <v>311</v>
      </c>
      <c r="B253" s="3">
        <v>3</v>
      </c>
      <c r="C253" s="3">
        <v>1</v>
      </c>
      <c r="D253" s="1">
        <v>38073</v>
      </c>
      <c r="E253" s="1">
        <v>39082</v>
      </c>
      <c r="F253" s="2">
        <f t="shared" si="3"/>
        <v>2.7624914442162902</v>
      </c>
      <c r="G253" s="3">
        <v>1</v>
      </c>
      <c r="H253" s="3">
        <v>1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69.8</v>
      </c>
      <c r="S253" s="2">
        <v>7.8</v>
      </c>
      <c r="T253" t="s">
        <v>312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  <c r="AA253" s="3">
        <v>0</v>
      </c>
    </row>
    <row r="254" spans="1:27">
      <c r="A254" t="s">
        <v>313</v>
      </c>
      <c r="B254" s="3">
        <v>3</v>
      </c>
      <c r="C254" s="3">
        <v>1</v>
      </c>
      <c r="D254" s="1">
        <v>38047</v>
      </c>
      <c r="E254" s="1">
        <v>39082</v>
      </c>
      <c r="F254" s="2">
        <f t="shared" si="3"/>
        <v>2.8336755646817249</v>
      </c>
      <c r="G254" s="3">
        <v>1</v>
      </c>
      <c r="H254" s="3">
        <v>1</v>
      </c>
      <c r="I254" s="3">
        <v>0</v>
      </c>
      <c r="J254" s="3">
        <v>1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1</v>
      </c>
      <c r="Q254" s="3">
        <v>0</v>
      </c>
      <c r="R254" s="3">
        <v>70</v>
      </c>
      <c r="S254" s="2">
        <v>8.1</v>
      </c>
      <c r="T254" t="s">
        <v>28</v>
      </c>
      <c r="U254" s="3">
        <v>0</v>
      </c>
      <c r="V254" s="3">
        <v>1</v>
      </c>
      <c r="W254" s="3">
        <v>1</v>
      </c>
      <c r="X254" s="3">
        <v>1</v>
      </c>
      <c r="Y254" s="3">
        <v>1</v>
      </c>
      <c r="Z254" s="3">
        <v>1</v>
      </c>
      <c r="AA254" s="3">
        <v>0</v>
      </c>
    </row>
    <row r="255" spans="1:27">
      <c r="A255" t="s">
        <v>314</v>
      </c>
      <c r="B255" s="3">
        <v>3</v>
      </c>
      <c r="C255" s="3">
        <v>1</v>
      </c>
      <c r="D255" s="1">
        <v>38308</v>
      </c>
      <c r="E255" s="1">
        <v>39082</v>
      </c>
      <c r="F255" s="2">
        <f t="shared" si="3"/>
        <v>2.1190965092402463</v>
      </c>
      <c r="G255" s="3">
        <v>2</v>
      </c>
      <c r="H255" s="3">
        <v>1</v>
      </c>
      <c r="I255" s="3">
        <v>0</v>
      </c>
      <c r="J255" s="3">
        <v>1</v>
      </c>
      <c r="K255" s="3">
        <v>0</v>
      </c>
      <c r="L255" s="3">
        <v>0</v>
      </c>
      <c r="M255" s="3">
        <v>1</v>
      </c>
      <c r="N255" s="3">
        <v>1</v>
      </c>
      <c r="O255" s="3">
        <v>0</v>
      </c>
      <c r="P255" s="3">
        <v>0</v>
      </c>
      <c r="Q255" s="3">
        <v>0</v>
      </c>
      <c r="R255" s="3">
        <v>70</v>
      </c>
      <c r="S255" s="2">
        <v>8.1999999999999993</v>
      </c>
      <c r="T255" t="s">
        <v>28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</row>
    <row r="256" spans="1:27">
      <c r="A256" t="s">
        <v>315</v>
      </c>
      <c r="B256" s="3">
        <v>1</v>
      </c>
      <c r="C256" s="3">
        <v>1</v>
      </c>
      <c r="D256" s="1">
        <v>38069</v>
      </c>
      <c r="E256" s="1">
        <v>39082</v>
      </c>
      <c r="F256" s="2">
        <f t="shared" si="3"/>
        <v>2.7734428473648185</v>
      </c>
      <c r="G256" s="3">
        <v>1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70.099999999999994</v>
      </c>
      <c r="S256" s="2">
        <v>8.6999999999999993</v>
      </c>
      <c r="T256" t="s">
        <v>92</v>
      </c>
      <c r="U256" s="3">
        <v>1</v>
      </c>
      <c r="V256" s="3">
        <v>1</v>
      </c>
      <c r="W256" s="3">
        <v>1</v>
      </c>
      <c r="X256" s="3">
        <v>0</v>
      </c>
      <c r="Y256" s="3">
        <v>0</v>
      </c>
      <c r="Z256" s="3">
        <v>1</v>
      </c>
      <c r="AA256" s="3">
        <v>0</v>
      </c>
    </row>
    <row r="257" spans="1:27">
      <c r="A257" t="s">
        <v>149</v>
      </c>
      <c r="B257" s="3">
        <v>2</v>
      </c>
      <c r="C257" s="3">
        <v>1</v>
      </c>
      <c r="D257" s="1">
        <v>38228</v>
      </c>
      <c r="E257" s="1">
        <v>39082</v>
      </c>
      <c r="F257" s="2">
        <f t="shared" si="3"/>
        <v>2.3381245722108144</v>
      </c>
      <c r="G257" s="3">
        <v>2</v>
      </c>
      <c r="H257" s="3">
        <v>0</v>
      </c>
      <c r="I257" s="3">
        <v>1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1</v>
      </c>
      <c r="P257" s="3">
        <v>1</v>
      </c>
      <c r="Q257" s="3">
        <v>0</v>
      </c>
      <c r="R257" s="3">
        <v>70.099999999999994</v>
      </c>
      <c r="S257" s="2">
        <v>7.4</v>
      </c>
      <c r="T257" t="s">
        <v>316</v>
      </c>
      <c r="U257" s="3">
        <v>0</v>
      </c>
      <c r="V257" s="3">
        <v>1</v>
      </c>
      <c r="W257" s="3">
        <v>0</v>
      </c>
      <c r="X257" s="3">
        <v>1</v>
      </c>
      <c r="Y257" s="3">
        <v>1</v>
      </c>
      <c r="Z257" s="3">
        <v>0</v>
      </c>
      <c r="AA257" s="3">
        <v>0</v>
      </c>
    </row>
    <row r="258" spans="1:27">
      <c r="A258" t="s">
        <v>317</v>
      </c>
      <c r="B258" s="3">
        <v>1</v>
      </c>
      <c r="C258" s="3">
        <v>1</v>
      </c>
      <c r="D258" s="1">
        <v>38013</v>
      </c>
      <c r="E258" s="1">
        <v>39082</v>
      </c>
      <c r="F258" s="2">
        <f t="shared" si="3"/>
        <v>2.9267624914442161</v>
      </c>
      <c r="G258" s="3">
        <v>1</v>
      </c>
      <c r="H258" s="3">
        <v>1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1</v>
      </c>
      <c r="O258" s="3">
        <v>0</v>
      </c>
      <c r="P258" s="3">
        <v>0</v>
      </c>
      <c r="Q258" s="3">
        <v>0</v>
      </c>
      <c r="R258" s="3">
        <v>70.2</v>
      </c>
      <c r="S258" s="2">
        <v>7.4</v>
      </c>
      <c r="T258" t="s">
        <v>283</v>
      </c>
      <c r="U258" s="3">
        <v>1</v>
      </c>
      <c r="V258" s="3">
        <v>1</v>
      </c>
      <c r="W258" s="3">
        <v>0</v>
      </c>
      <c r="X258" s="3">
        <v>0</v>
      </c>
      <c r="Y258" s="3">
        <v>0</v>
      </c>
      <c r="Z258" s="3">
        <v>1</v>
      </c>
      <c r="AA258" s="3">
        <v>0</v>
      </c>
    </row>
    <row r="259" spans="1:27">
      <c r="A259" t="s">
        <v>318</v>
      </c>
      <c r="B259" s="3">
        <v>1</v>
      </c>
      <c r="C259" s="3">
        <v>1</v>
      </c>
      <c r="D259" s="1">
        <v>37990</v>
      </c>
      <c r="E259" s="1">
        <v>39082</v>
      </c>
      <c r="F259" s="2">
        <f t="shared" ref="F259:F322" si="4">(E259-D259)/365.25</f>
        <v>2.9897330595482545</v>
      </c>
      <c r="G259" s="3">
        <v>2</v>
      </c>
      <c r="H259" s="3">
        <v>1</v>
      </c>
      <c r="I259" s="3">
        <v>1</v>
      </c>
      <c r="J259" s="3">
        <v>0</v>
      </c>
      <c r="K259" s="3">
        <v>0</v>
      </c>
      <c r="L259" s="3">
        <v>0</v>
      </c>
      <c r="M259" s="3">
        <v>0</v>
      </c>
      <c r="N259" s="3">
        <v>1</v>
      </c>
      <c r="O259" s="3">
        <v>0</v>
      </c>
      <c r="P259" s="3">
        <v>0</v>
      </c>
      <c r="Q259" s="3">
        <v>0</v>
      </c>
      <c r="R259" s="3">
        <v>70.2</v>
      </c>
      <c r="S259" s="2">
        <v>7.8</v>
      </c>
      <c r="T259" t="s">
        <v>28</v>
      </c>
      <c r="U259" s="3">
        <v>1</v>
      </c>
      <c r="V259" s="3">
        <v>1</v>
      </c>
      <c r="W259" s="3">
        <v>1</v>
      </c>
      <c r="X259" s="3">
        <v>1</v>
      </c>
      <c r="Y259" s="3">
        <v>0</v>
      </c>
      <c r="Z259" s="3">
        <v>0</v>
      </c>
      <c r="AA259" s="3">
        <v>0</v>
      </c>
    </row>
    <row r="260" spans="1:27">
      <c r="A260" t="s">
        <v>319</v>
      </c>
      <c r="B260" s="3">
        <v>1</v>
      </c>
      <c r="C260" s="3">
        <v>1</v>
      </c>
      <c r="D260" s="1">
        <v>37879</v>
      </c>
      <c r="E260" s="1">
        <v>39082</v>
      </c>
      <c r="F260" s="2">
        <f t="shared" si="4"/>
        <v>3.2936344969199181</v>
      </c>
      <c r="G260" s="3">
        <v>2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1</v>
      </c>
      <c r="Q260" s="3">
        <v>0</v>
      </c>
      <c r="R260" s="3">
        <v>70.3</v>
      </c>
      <c r="S260" s="2">
        <v>8.3000000000000007</v>
      </c>
      <c r="T260" t="s">
        <v>28</v>
      </c>
      <c r="U260" s="3">
        <v>1</v>
      </c>
      <c r="V260" s="3">
        <v>1</v>
      </c>
      <c r="W260" s="3">
        <v>1</v>
      </c>
      <c r="X260" s="3">
        <v>0</v>
      </c>
      <c r="Y260" s="3">
        <v>0</v>
      </c>
      <c r="Z260" s="3">
        <v>0</v>
      </c>
      <c r="AA260" s="3">
        <v>0</v>
      </c>
    </row>
    <row r="261" spans="1:27">
      <c r="A261" t="s">
        <v>320</v>
      </c>
      <c r="B261" s="3">
        <v>2</v>
      </c>
      <c r="C261" s="3">
        <v>0</v>
      </c>
      <c r="D261" s="1">
        <v>38326</v>
      </c>
      <c r="E261" s="1">
        <v>39082</v>
      </c>
      <c r="F261" s="2">
        <f t="shared" si="4"/>
        <v>2.0698151950718686</v>
      </c>
      <c r="G261" s="3">
        <v>1</v>
      </c>
      <c r="H261" s="3">
        <v>1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1</v>
      </c>
      <c r="O261" s="3">
        <v>0</v>
      </c>
      <c r="P261" s="3">
        <v>0</v>
      </c>
      <c r="Q261" s="3">
        <v>0</v>
      </c>
      <c r="R261" s="3">
        <v>70.3</v>
      </c>
      <c r="S261" s="2">
        <v>8.6</v>
      </c>
      <c r="T261" t="s">
        <v>28</v>
      </c>
      <c r="U261" s="3">
        <v>1</v>
      </c>
      <c r="V261" s="3">
        <v>1</v>
      </c>
      <c r="W261" s="3">
        <v>1</v>
      </c>
      <c r="X261" s="3">
        <v>0</v>
      </c>
      <c r="Y261" s="3">
        <v>0</v>
      </c>
      <c r="Z261" s="3">
        <v>1</v>
      </c>
      <c r="AA261" s="3">
        <v>0</v>
      </c>
    </row>
    <row r="262" spans="1:27">
      <c r="A262" t="s">
        <v>321</v>
      </c>
      <c r="B262" s="3">
        <v>3</v>
      </c>
      <c r="C262" s="3">
        <v>1</v>
      </c>
      <c r="D262" s="1">
        <v>37749</v>
      </c>
      <c r="E262" s="1">
        <v>39082</v>
      </c>
      <c r="F262" s="2">
        <f t="shared" si="4"/>
        <v>3.6495550992470909</v>
      </c>
      <c r="G262" s="3">
        <v>1</v>
      </c>
      <c r="H262" s="3">
        <v>1</v>
      </c>
      <c r="I262" s="3">
        <v>0</v>
      </c>
      <c r="J262" s="3">
        <v>0</v>
      </c>
      <c r="K262" s="3">
        <v>1</v>
      </c>
      <c r="L262" s="3">
        <v>0</v>
      </c>
      <c r="M262" s="3">
        <v>0</v>
      </c>
      <c r="N262" s="3">
        <v>1</v>
      </c>
      <c r="O262" s="3">
        <v>0</v>
      </c>
      <c r="P262" s="3">
        <v>0</v>
      </c>
      <c r="Q262" s="3">
        <v>0</v>
      </c>
      <c r="R262" s="3">
        <v>70.3</v>
      </c>
      <c r="S262" s="2">
        <v>7.2</v>
      </c>
      <c r="T262" t="s">
        <v>105</v>
      </c>
      <c r="U262" s="3">
        <v>0</v>
      </c>
      <c r="V262" s="3">
        <v>0</v>
      </c>
      <c r="W262" s="3">
        <v>1</v>
      </c>
      <c r="X262" s="3">
        <v>1</v>
      </c>
      <c r="Y262" s="3">
        <v>1</v>
      </c>
      <c r="Z262" s="3">
        <v>1</v>
      </c>
      <c r="AA262" s="3">
        <v>0</v>
      </c>
    </row>
    <row r="263" spans="1:27">
      <c r="A263" t="s">
        <v>322</v>
      </c>
      <c r="B263" s="3">
        <v>3</v>
      </c>
      <c r="C263" s="3">
        <v>1</v>
      </c>
      <c r="D263" s="1">
        <v>38169</v>
      </c>
      <c r="E263" s="1">
        <v>39082</v>
      </c>
      <c r="F263" s="2">
        <f t="shared" si="4"/>
        <v>2.4996577686516086</v>
      </c>
      <c r="G263" s="3">
        <v>1</v>
      </c>
      <c r="H263" s="3">
        <v>0</v>
      </c>
      <c r="I263" s="3">
        <v>0</v>
      </c>
      <c r="J263" s="3">
        <v>1</v>
      </c>
      <c r="K263" s="3">
        <v>1</v>
      </c>
      <c r="L263" s="3">
        <v>0</v>
      </c>
      <c r="M263" s="3">
        <v>0</v>
      </c>
      <c r="N263" s="3">
        <v>1</v>
      </c>
      <c r="O263" s="3">
        <v>0</v>
      </c>
      <c r="P263" s="3">
        <v>1</v>
      </c>
      <c r="Q263" s="3">
        <v>0</v>
      </c>
      <c r="R263" s="3">
        <v>70.3</v>
      </c>
      <c r="S263" s="2">
        <v>9.1</v>
      </c>
      <c r="T263" t="s">
        <v>28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  <c r="AA263" s="3">
        <v>0</v>
      </c>
    </row>
    <row r="264" spans="1:27">
      <c r="A264" t="s">
        <v>323</v>
      </c>
      <c r="B264" s="3">
        <v>1</v>
      </c>
      <c r="C264" s="3">
        <v>1</v>
      </c>
      <c r="D264" s="1">
        <v>38165</v>
      </c>
      <c r="E264" s="1">
        <v>39082</v>
      </c>
      <c r="F264" s="2">
        <f t="shared" si="4"/>
        <v>2.5106091718001369</v>
      </c>
      <c r="G264" s="3">
        <v>1</v>
      </c>
      <c r="H264" s="3">
        <v>1</v>
      </c>
      <c r="I264" s="3">
        <v>1</v>
      </c>
      <c r="J264" s="3">
        <v>0</v>
      </c>
      <c r="K264" s="3">
        <v>0</v>
      </c>
      <c r="L264" s="3">
        <v>1</v>
      </c>
      <c r="M264" s="3">
        <v>0</v>
      </c>
      <c r="N264" s="3">
        <v>1</v>
      </c>
      <c r="O264" s="3">
        <v>0</v>
      </c>
      <c r="P264" s="3">
        <v>1</v>
      </c>
      <c r="Q264" s="3">
        <v>0</v>
      </c>
      <c r="R264" s="3">
        <v>70.3</v>
      </c>
      <c r="S264" s="2">
        <v>7.2</v>
      </c>
      <c r="T264" t="s">
        <v>28</v>
      </c>
      <c r="U264" s="3">
        <v>1</v>
      </c>
      <c r="V264" s="3">
        <v>1</v>
      </c>
      <c r="W264" s="3">
        <v>1</v>
      </c>
      <c r="X264" s="3">
        <v>0</v>
      </c>
      <c r="Y264" s="3">
        <v>1</v>
      </c>
      <c r="Z264" s="3">
        <v>1</v>
      </c>
      <c r="AA264" s="3">
        <v>0</v>
      </c>
    </row>
    <row r="265" spans="1:27">
      <c r="A265" t="s">
        <v>324</v>
      </c>
      <c r="B265" s="3">
        <v>1</v>
      </c>
      <c r="C265" s="3">
        <v>1</v>
      </c>
      <c r="D265" s="1">
        <v>38043</v>
      </c>
      <c r="E265" s="1">
        <v>39082</v>
      </c>
      <c r="F265" s="2">
        <f t="shared" si="4"/>
        <v>2.8446269678302532</v>
      </c>
      <c r="G265" s="3">
        <v>1</v>
      </c>
      <c r="H265" s="3">
        <v>1</v>
      </c>
      <c r="I265" s="3">
        <v>0</v>
      </c>
      <c r="J265" s="3">
        <v>0</v>
      </c>
      <c r="K265" s="3">
        <v>0</v>
      </c>
      <c r="L265" s="3">
        <v>1</v>
      </c>
      <c r="M265" s="3">
        <v>0</v>
      </c>
      <c r="N265" s="3">
        <v>1</v>
      </c>
      <c r="O265" s="3">
        <v>1</v>
      </c>
      <c r="P265" s="3">
        <v>1</v>
      </c>
      <c r="Q265" s="3">
        <v>0</v>
      </c>
      <c r="R265" s="3">
        <v>70.400000000000006</v>
      </c>
      <c r="S265" s="2">
        <v>8.6999999999999993</v>
      </c>
      <c r="T265" t="s">
        <v>199</v>
      </c>
      <c r="U265" s="3">
        <v>1</v>
      </c>
      <c r="V265" s="5" t="e">
        <v>#NULL!</v>
      </c>
      <c r="W265" s="3">
        <v>1</v>
      </c>
      <c r="X265" s="3">
        <v>1</v>
      </c>
      <c r="Y265" s="3">
        <v>1</v>
      </c>
      <c r="Z265" s="3">
        <v>1</v>
      </c>
      <c r="AA265" s="3">
        <v>0</v>
      </c>
    </row>
    <row r="266" spans="1:27">
      <c r="A266" t="s">
        <v>325</v>
      </c>
      <c r="B266" s="3">
        <v>1</v>
      </c>
      <c r="C266" s="3">
        <v>1</v>
      </c>
      <c r="D266" s="1">
        <v>37980</v>
      </c>
      <c r="E266" s="1">
        <v>39082</v>
      </c>
      <c r="F266" s="2">
        <f t="shared" si="4"/>
        <v>3.0171115674195756</v>
      </c>
      <c r="G266" s="3">
        <v>2</v>
      </c>
      <c r="H266" s="3">
        <v>1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1</v>
      </c>
      <c r="O266" s="3">
        <v>0</v>
      </c>
      <c r="P266" s="3">
        <v>0</v>
      </c>
      <c r="Q266" s="3">
        <v>0</v>
      </c>
      <c r="R266" s="3">
        <v>70.400000000000006</v>
      </c>
      <c r="S266" s="2">
        <v>8</v>
      </c>
      <c r="T266" t="s">
        <v>28</v>
      </c>
      <c r="U266" s="3">
        <v>1</v>
      </c>
      <c r="V266" s="3">
        <v>1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</row>
    <row r="267" spans="1:27">
      <c r="A267" t="s">
        <v>326</v>
      </c>
      <c r="B267" s="3">
        <v>2</v>
      </c>
      <c r="C267" s="3">
        <v>1</v>
      </c>
      <c r="D267" s="1">
        <v>38065</v>
      </c>
      <c r="E267" s="1">
        <v>39082</v>
      </c>
      <c r="F267" s="2">
        <f t="shared" si="4"/>
        <v>2.7843942505133472</v>
      </c>
      <c r="G267" s="3">
        <v>1</v>
      </c>
      <c r="H267" s="3">
        <v>1</v>
      </c>
      <c r="I267" s="3">
        <v>0</v>
      </c>
      <c r="J267" s="3">
        <v>1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1</v>
      </c>
      <c r="Q267" s="3">
        <v>0</v>
      </c>
      <c r="R267" s="3">
        <v>70.400000000000006</v>
      </c>
      <c r="S267" s="2">
        <v>7.9</v>
      </c>
      <c r="T267" t="s">
        <v>28</v>
      </c>
      <c r="U267" s="3">
        <v>0</v>
      </c>
      <c r="V267" s="3">
        <v>1</v>
      </c>
      <c r="W267" s="3">
        <v>1</v>
      </c>
      <c r="X267" s="3">
        <v>1</v>
      </c>
      <c r="Y267" s="3">
        <v>1</v>
      </c>
      <c r="Z267" s="3">
        <v>1</v>
      </c>
      <c r="AA267" s="3">
        <v>0</v>
      </c>
    </row>
    <row r="268" spans="1:27">
      <c r="A268" t="s">
        <v>327</v>
      </c>
      <c r="B268" s="3">
        <v>2</v>
      </c>
      <c r="C268" s="3">
        <v>1</v>
      </c>
      <c r="D268" s="1">
        <v>38019</v>
      </c>
      <c r="E268" s="1">
        <v>39082</v>
      </c>
      <c r="F268" s="2">
        <f t="shared" si="4"/>
        <v>2.9103353867214237</v>
      </c>
      <c r="G268" s="3">
        <v>2</v>
      </c>
      <c r="H268" s="3">
        <v>1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1</v>
      </c>
      <c r="O268" s="3">
        <v>0</v>
      </c>
      <c r="P268" s="3">
        <v>1</v>
      </c>
      <c r="Q268" s="3">
        <v>0</v>
      </c>
      <c r="R268" s="3">
        <v>70.5</v>
      </c>
      <c r="S268" s="2">
        <v>7.1</v>
      </c>
      <c r="T268" t="s">
        <v>328</v>
      </c>
      <c r="U268" s="3">
        <v>0</v>
      </c>
      <c r="V268" s="3">
        <v>1</v>
      </c>
      <c r="W268" s="3">
        <v>1</v>
      </c>
      <c r="X268" s="3">
        <v>1</v>
      </c>
      <c r="Y268" s="3">
        <v>1</v>
      </c>
      <c r="Z268" s="3">
        <v>0</v>
      </c>
      <c r="AA268" s="3">
        <v>0</v>
      </c>
    </row>
    <row r="269" spans="1:27">
      <c r="A269" t="s">
        <v>329</v>
      </c>
      <c r="B269" s="3">
        <v>3</v>
      </c>
      <c r="C269" s="3">
        <v>1</v>
      </c>
      <c r="D269" s="1">
        <v>38030</v>
      </c>
      <c r="E269" s="1">
        <v>39082</v>
      </c>
      <c r="F269" s="2">
        <f t="shared" si="4"/>
        <v>2.8802190280629705</v>
      </c>
      <c r="G269" s="3">
        <v>2</v>
      </c>
      <c r="H269" s="3">
        <v>1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1</v>
      </c>
      <c r="O269" s="3">
        <v>0</v>
      </c>
      <c r="P269" s="3">
        <v>1</v>
      </c>
      <c r="Q269" s="3">
        <v>0</v>
      </c>
      <c r="R269" s="3">
        <v>70.5</v>
      </c>
      <c r="S269" s="2">
        <v>8.1999999999999993</v>
      </c>
      <c r="T269" t="s">
        <v>28</v>
      </c>
      <c r="U269" s="3">
        <v>0</v>
      </c>
      <c r="V269" s="3">
        <v>1</v>
      </c>
      <c r="W269" s="3">
        <v>1</v>
      </c>
      <c r="X269" s="3">
        <v>1</v>
      </c>
      <c r="Y269" s="3">
        <v>0</v>
      </c>
      <c r="Z269" s="3">
        <v>0</v>
      </c>
      <c r="AA269" s="3">
        <v>0</v>
      </c>
    </row>
    <row r="270" spans="1:27">
      <c r="A270" t="s">
        <v>330</v>
      </c>
      <c r="B270" s="3">
        <v>3</v>
      </c>
      <c r="C270" s="3">
        <v>1</v>
      </c>
      <c r="D270" s="1">
        <v>38078</v>
      </c>
      <c r="E270" s="1">
        <v>39082</v>
      </c>
      <c r="F270" s="2">
        <f t="shared" si="4"/>
        <v>2.7488021902806299</v>
      </c>
      <c r="G270" s="3">
        <v>1</v>
      </c>
      <c r="H270" s="3">
        <v>1</v>
      </c>
      <c r="I270" s="3">
        <v>0</v>
      </c>
      <c r="J270" s="3">
        <v>1</v>
      </c>
      <c r="K270" s="3">
        <v>0</v>
      </c>
      <c r="L270" s="3">
        <v>0</v>
      </c>
      <c r="M270" s="3">
        <v>0</v>
      </c>
      <c r="N270" s="3">
        <v>1</v>
      </c>
      <c r="O270" s="3">
        <v>0</v>
      </c>
      <c r="P270" s="3">
        <v>0</v>
      </c>
      <c r="Q270" s="3">
        <v>0</v>
      </c>
      <c r="R270" s="3">
        <v>70.5</v>
      </c>
      <c r="S270" s="2">
        <v>8.1999999999999993</v>
      </c>
      <c r="T270" t="s">
        <v>28</v>
      </c>
      <c r="U270" s="3">
        <v>0</v>
      </c>
      <c r="V270" s="3">
        <v>0</v>
      </c>
      <c r="W270" s="3">
        <v>1</v>
      </c>
      <c r="X270" s="3">
        <v>1</v>
      </c>
      <c r="Y270" s="3">
        <v>0</v>
      </c>
      <c r="Z270" s="3">
        <v>1</v>
      </c>
      <c r="AA270" s="3">
        <v>0</v>
      </c>
    </row>
    <row r="271" spans="1:27">
      <c r="A271" t="s">
        <v>331</v>
      </c>
      <c r="B271" s="3">
        <v>1</v>
      </c>
      <c r="C271" s="3">
        <v>1</v>
      </c>
      <c r="D271" s="1">
        <v>38098</v>
      </c>
      <c r="E271" s="1">
        <v>39082</v>
      </c>
      <c r="F271" s="2">
        <f t="shared" si="4"/>
        <v>2.6940451745379876</v>
      </c>
      <c r="G271" s="3">
        <v>2</v>
      </c>
      <c r="H271" s="3">
        <v>1</v>
      </c>
      <c r="I271" s="3">
        <v>1</v>
      </c>
      <c r="J271" s="3">
        <v>0</v>
      </c>
      <c r="K271" s="3">
        <v>0</v>
      </c>
      <c r="L271" s="3">
        <v>0</v>
      </c>
      <c r="M271" s="3">
        <v>0</v>
      </c>
      <c r="N271" s="3">
        <v>1</v>
      </c>
      <c r="O271" s="3">
        <v>0</v>
      </c>
      <c r="P271" s="3">
        <v>0</v>
      </c>
      <c r="Q271" s="3">
        <v>0</v>
      </c>
      <c r="R271" s="3">
        <v>70.5</v>
      </c>
      <c r="S271" s="2">
        <v>8.1999999999999993</v>
      </c>
      <c r="T271" t="s">
        <v>28</v>
      </c>
      <c r="U271" s="3">
        <v>1</v>
      </c>
      <c r="V271" s="3">
        <v>1</v>
      </c>
      <c r="W271" s="3">
        <v>1</v>
      </c>
      <c r="X271" s="3">
        <v>0</v>
      </c>
      <c r="Y271" s="3">
        <v>0</v>
      </c>
      <c r="Z271" s="3">
        <v>0</v>
      </c>
      <c r="AA271" s="3">
        <v>0</v>
      </c>
    </row>
    <row r="272" spans="1:27">
      <c r="A272" t="s">
        <v>332</v>
      </c>
      <c r="B272" s="3">
        <v>3</v>
      </c>
      <c r="C272" s="3">
        <v>1</v>
      </c>
      <c r="D272" s="1">
        <v>37996</v>
      </c>
      <c r="E272" s="1">
        <v>39082</v>
      </c>
      <c r="F272" s="2">
        <f t="shared" si="4"/>
        <v>2.9733059548254621</v>
      </c>
      <c r="G272" s="3">
        <v>2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70.599999999999994</v>
      </c>
      <c r="S272" s="2">
        <v>6.7</v>
      </c>
      <c r="T272" t="s">
        <v>28</v>
      </c>
      <c r="U272" s="3">
        <v>0</v>
      </c>
      <c r="V272" s="3">
        <v>0</v>
      </c>
      <c r="W272" s="5" t="e">
        <v>#NULL!</v>
      </c>
      <c r="X272" s="3">
        <v>1</v>
      </c>
      <c r="Y272" s="3">
        <v>1</v>
      </c>
      <c r="Z272" s="3">
        <v>0</v>
      </c>
      <c r="AA272" s="3">
        <v>0</v>
      </c>
    </row>
    <row r="273" spans="1:27">
      <c r="A273" t="s">
        <v>333</v>
      </c>
      <c r="B273" s="3">
        <v>1</v>
      </c>
      <c r="C273" s="3">
        <v>1</v>
      </c>
      <c r="D273" s="1">
        <v>38099</v>
      </c>
      <c r="E273" s="1">
        <v>39082</v>
      </c>
      <c r="F273" s="2">
        <f t="shared" si="4"/>
        <v>2.6913073237508556</v>
      </c>
      <c r="G273" s="3">
        <v>1</v>
      </c>
      <c r="H273" s="3">
        <v>1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1</v>
      </c>
      <c r="O273" s="3">
        <v>0</v>
      </c>
      <c r="P273" s="3">
        <v>1</v>
      </c>
      <c r="Q273" s="3">
        <v>0</v>
      </c>
      <c r="R273" s="3">
        <v>70.599999999999994</v>
      </c>
      <c r="S273" s="2">
        <v>8.9</v>
      </c>
      <c r="T273" t="s">
        <v>28</v>
      </c>
      <c r="U273" s="3">
        <v>0</v>
      </c>
      <c r="V273" s="3">
        <v>1</v>
      </c>
      <c r="W273" s="3">
        <v>1</v>
      </c>
      <c r="X273" s="3">
        <v>1</v>
      </c>
      <c r="Y273" s="3">
        <v>0</v>
      </c>
      <c r="Z273" s="3">
        <v>1</v>
      </c>
      <c r="AA273" s="3">
        <v>0</v>
      </c>
    </row>
    <row r="274" spans="1:27">
      <c r="A274" t="s">
        <v>334</v>
      </c>
      <c r="B274" s="3">
        <v>3</v>
      </c>
      <c r="C274" s="3">
        <v>1</v>
      </c>
      <c r="D274" s="1">
        <v>37987</v>
      </c>
      <c r="E274" s="1">
        <v>39082</v>
      </c>
      <c r="F274" s="2">
        <f t="shared" si="4"/>
        <v>2.9979466119096507</v>
      </c>
      <c r="G274" s="3">
        <v>1</v>
      </c>
      <c r="H274" s="3">
        <v>1</v>
      </c>
      <c r="I274" s="3">
        <v>0</v>
      </c>
      <c r="J274" s="3">
        <v>1</v>
      </c>
      <c r="K274" s="3">
        <v>0</v>
      </c>
      <c r="L274" s="3">
        <v>0</v>
      </c>
      <c r="M274" s="3">
        <v>1</v>
      </c>
      <c r="N274" s="3">
        <v>0</v>
      </c>
      <c r="O274" s="3">
        <v>0</v>
      </c>
      <c r="P274" s="3">
        <v>1</v>
      </c>
      <c r="Q274" s="3">
        <v>0</v>
      </c>
      <c r="R274" s="3">
        <v>70.7</v>
      </c>
      <c r="S274" s="2">
        <v>8.5</v>
      </c>
      <c r="T274" t="s">
        <v>28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1</v>
      </c>
      <c r="AA274" s="3">
        <v>0</v>
      </c>
    </row>
    <row r="275" spans="1:27">
      <c r="A275" t="s">
        <v>335</v>
      </c>
      <c r="B275" s="3">
        <v>2</v>
      </c>
      <c r="C275" s="3">
        <v>1</v>
      </c>
      <c r="D275" s="1">
        <v>37880</v>
      </c>
      <c r="E275" s="1">
        <v>39082</v>
      </c>
      <c r="F275" s="2">
        <f t="shared" si="4"/>
        <v>3.2908966461327855</v>
      </c>
      <c r="G275" s="3">
        <v>2</v>
      </c>
      <c r="H275" s="3">
        <v>1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70.8</v>
      </c>
      <c r="S275" s="2">
        <v>7.8</v>
      </c>
      <c r="T275" t="s">
        <v>336</v>
      </c>
      <c r="U275" s="3">
        <v>1</v>
      </c>
      <c r="V275" s="3">
        <v>1</v>
      </c>
      <c r="W275" s="3">
        <v>1</v>
      </c>
      <c r="X275" s="3">
        <v>1</v>
      </c>
      <c r="Y275" s="3">
        <v>1</v>
      </c>
      <c r="Z275" s="3">
        <v>0</v>
      </c>
      <c r="AA275" s="3">
        <v>0</v>
      </c>
    </row>
    <row r="276" spans="1:27">
      <c r="A276" t="s">
        <v>337</v>
      </c>
      <c r="B276" s="3">
        <v>2</v>
      </c>
      <c r="C276" s="3">
        <v>0</v>
      </c>
      <c r="D276" s="1">
        <v>37952</v>
      </c>
      <c r="E276" s="1">
        <v>39082</v>
      </c>
      <c r="F276" s="2">
        <f t="shared" si="4"/>
        <v>3.0937713894592744</v>
      </c>
      <c r="G276" s="3">
        <v>1</v>
      </c>
      <c r="H276" s="3">
        <v>0</v>
      </c>
      <c r="I276" s="3">
        <v>0</v>
      </c>
      <c r="J276" s="3">
        <v>1</v>
      </c>
      <c r="K276" s="3">
        <v>1</v>
      </c>
      <c r="L276" s="3">
        <v>0</v>
      </c>
      <c r="M276" s="3">
        <v>0</v>
      </c>
      <c r="N276" s="3">
        <v>1</v>
      </c>
      <c r="O276" s="3">
        <v>0</v>
      </c>
      <c r="P276" s="3">
        <v>0</v>
      </c>
      <c r="Q276" s="3">
        <v>0</v>
      </c>
      <c r="R276" s="3">
        <v>70.8</v>
      </c>
      <c r="S276" s="2">
        <v>8</v>
      </c>
      <c r="T276" t="s">
        <v>66</v>
      </c>
      <c r="U276" s="3">
        <v>1</v>
      </c>
      <c r="V276" s="3">
        <v>1</v>
      </c>
      <c r="W276" s="3">
        <v>0</v>
      </c>
      <c r="X276" s="3">
        <v>0</v>
      </c>
      <c r="Y276" s="3">
        <v>1</v>
      </c>
      <c r="Z276" s="3">
        <v>1</v>
      </c>
      <c r="AA276" s="3">
        <v>0</v>
      </c>
    </row>
    <row r="277" spans="1:27">
      <c r="A277" t="s">
        <v>338</v>
      </c>
      <c r="B277" s="3">
        <v>3</v>
      </c>
      <c r="C277" s="3">
        <v>1</v>
      </c>
      <c r="D277" s="1">
        <v>38002</v>
      </c>
      <c r="E277" s="1">
        <v>39082</v>
      </c>
      <c r="F277" s="2">
        <f t="shared" si="4"/>
        <v>2.9568788501026693</v>
      </c>
      <c r="G277" s="3">
        <v>2</v>
      </c>
      <c r="H277" s="3">
        <v>1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70.900000000000006</v>
      </c>
      <c r="S277" s="2">
        <v>7.4</v>
      </c>
      <c r="T277" t="s">
        <v>28</v>
      </c>
      <c r="U277" s="3">
        <v>0</v>
      </c>
      <c r="V277" s="3">
        <v>0</v>
      </c>
      <c r="W277" s="3">
        <v>0</v>
      </c>
      <c r="X277" s="3">
        <v>1</v>
      </c>
      <c r="Y277" s="3">
        <v>1</v>
      </c>
      <c r="Z277" s="3">
        <v>0</v>
      </c>
      <c r="AA277" s="3">
        <v>0</v>
      </c>
    </row>
    <row r="278" spans="1:27">
      <c r="A278" t="s">
        <v>339</v>
      </c>
      <c r="B278" s="3">
        <v>3</v>
      </c>
      <c r="C278" s="3">
        <v>1</v>
      </c>
      <c r="D278" s="1">
        <v>38018</v>
      </c>
      <c r="E278" s="1">
        <v>39082</v>
      </c>
      <c r="F278" s="2">
        <f t="shared" si="4"/>
        <v>2.9130732375085557</v>
      </c>
      <c r="G278" s="3">
        <v>1</v>
      </c>
      <c r="H278" s="3">
        <v>1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71</v>
      </c>
      <c r="S278" s="2">
        <v>8.4</v>
      </c>
      <c r="T278" t="s">
        <v>40</v>
      </c>
      <c r="U278" s="3">
        <v>0</v>
      </c>
      <c r="V278" s="3">
        <v>0</v>
      </c>
      <c r="W278" s="3">
        <v>1</v>
      </c>
      <c r="X278" s="3">
        <v>1</v>
      </c>
      <c r="Y278" s="3">
        <v>1</v>
      </c>
      <c r="Z278" s="3">
        <v>1</v>
      </c>
      <c r="AA278" s="3">
        <v>0</v>
      </c>
    </row>
    <row r="279" spans="1:27">
      <c r="A279" t="s">
        <v>340</v>
      </c>
      <c r="B279" s="3">
        <v>3</v>
      </c>
      <c r="C279" s="3">
        <v>1</v>
      </c>
      <c r="D279" s="1">
        <v>38183</v>
      </c>
      <c r="E279" s="1">
        <v>39082</v>
      </c>
      <c r="F279" s="2">
        <f t="shared" si="4"/>
        <v>2.4613278576317592</v>
      </c>
      <c r="G279" s="3">
        <v>2</v>
      </c>
      <c r="H279" s="3">
        <v>1</v>
      </c>
      <c r="I279" s="3">
        <v>0</v>
      </c>
      <c r="J279" s="3">
        <v>1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71</v>
      </c>
      <c r="S279" s="2">
        <v>7.9</v>
      </c>
      <c r="T279" t="s">
        <v>28</v>
      </c>
      <c r="U279" s="3">
        <v>0</v>
      </c>
      <c r="V279" s="3">
        <v>0</v>
      </c>
      <c r="W279" s="3">
        <v>1</v>
      </c>
      <c r="X279" s="3">
        <v>1</v>
      </c>
      <c r="Y279" s="3">
        <v>1</v>
      </c>
      <c r="Z279" s="3">
        <v>0</v>
      </c>
      <c r="AA279" s="3">
        <v>0</v>
      </c>
    </row>
    <row r="280" spans="1:27">
      <c r="A280" t="s">
        <v>341</v>
      </c>
      <c r="B280" s="3">
        <v>2</v>
      </c>
      <c r="C280" s="3">
        <v>1</v>
      </c>
      <c r="D280" s="1">
        <v>37945</v>
      </c>
      <c r="E280" s="1">
        <v>39082</v>
      </c>
      <c r="F280" s="2">
        <f t="shared" si="4"/>
        <v>3.1129363449691994</v>
      </c>
      <c r="G280" s="3">
        <v>2</v>
      </c>
      <c r="H280" s="3">
        <v>1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1</v>
      </c>
      <c r="O280" s="3">
        <v>0</v>
      </c>
      <c r="P280" s="3">
        <v>0</v>
      </c>
      <c r="Q280" s="3">
        <v>0</v>
      </c>
      <c r="R280" s="3">
        <v>71.099999999999994</v>
      </c>
      <c r="S280" s="2">
        <v>8</v>
      </c>
      <c r="T280" t="s">
        <v>28</v>
      </c>
      <c r="U280" s="3">
        <v>1</v>
      </c>
      <c r="V280" s="3">
        <v>1</v>
      </c>
      <c r="W280" s="3">
        <v>1</v>
      </c>
      <c r="X280" s="3">
        <v>1</v>
      </c>
      <c r="Y280" s="3">
        <v>0</v>
      </c>
      <c r="Z280" s="3">
        <v>0</v>
      </c>
      <c r="AA280" s="3">
        <v>0</v>
      </c>
    </row>
    <row r="281" spans="1:27">
      <c r="A281" t="s">
        <v>341</v>
      </c>
      <c r="B281" s="3">
        <v>2</v>
      </c>
      <c r="C281" s="3">
        <v>1</v>
      </c>
      <c r="D281" s="1">
        <v>38092</v>
      </c>
      <c r="E281" s="1">
        <v>39082</v>
      </c>
      <c r="F281" s="2">
        <f t="shared" si="4"/>
        <v>2.7104722792607805</v>
      </c>
      <c r="G281" s="3">
        <v>2</v>
      </c>
      <c r="H281" s="3">
        <v>1</v>
      </c>
      <c r="I281" s="3">
        <v>1</v>
      </c>
      <c r="J281" s="3">
        <v>0</v>
      </c>
      <c r="K281" s="3">
        <v>0</v>
      </c>
      <c r="L281" s="3">
        <v>0</v>
      </c>
      <c r="M281" s="3">
        <v>0</v>
      </c>
      <c r="N281" s="3">
        <v>1</v>
      </c>
      <c r="O281" s="3">
        <v>0</v>
      </c>
      <c r="P281" s="3">
        <v>0</v>
      </c>
      <c r="Q281" s="3">
        <v>0</v>
      </c>
      <c r="R281" s="3">
        <v>71.099999999999994</v>
      </c>
      <c r="S281" s="2">
        <v>7.6</v>
      </c>
      <c r="T281" t="s">
        <v>105</v>
      </c>
      <c r="U281" s="3">
        <v>1</v>
      </c>
      <c r="V281" s="3">
        <v>1</v>
      </c>
      <c r="W281" s="3">
        <v>1</v>
      </c>
      <c r="X281" s="3">
        <v>1</v>
      </c>
      <c r="Y281" s="3">
        <v>0</v>
      </c>
      <c r="Z281" s="3">
        <v>0</v>
      </c>
      <c r="AA281" s="3">
        <v>0</v>
      </c>
    </row>
    <row r="282" spans="1:27">
      <c r="A282" t="s">
        <v>342</v>
      </c>
      <c r="B282" s="3">
        <v>1</v>
      </c>
      <c r="C282" s="3">
        <v>0</v>
      </c>
      <c r="D282" s="1">
        <v>37934</v>
      </c>
      <c r="E282" s="1">
        <v>39082</v>
      </c>
      <c r="F282" s="2">
        <f t="shared" si="4"/>
        <v>3.1430527036276521</v>
      </c>
      <c r="G282" s="3">
        <v>2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1</v>
      </c>
      <c r="N282" s="3">
        <v>1</v>
      </c>
      <c r="O282" s="3">
        <v>0</v>
      </c>
      <c r="P282" s="3">
        <v>1</v>
      </c>
      <c r="Q282" s="3">
        <v>0</v>
      </c>
      <c r="R282" s="3">
        <v>71.2</v>
      </c>
      <c r="S282" s="2">
        <v>7.1</v>
      </c>
      <c r="T282" t="s">
        <v>28</v>
      </c>
      <c r="U282" s="3">
        <v>1</v>
      </c>
      <c r="V282" s="3">
        <v>1</v>
      </c>
      <c r="W282" s="3">
        <v>1</v>
      </c>
      <c r="X282" s="3">
        <v>0</v>
      </c>
      <c r="Y282" s="3">
        <v>0</v>
      </c>
      <c r="Z282" s="3">
        <v>0</v>
      </c>
      <c r="AA282" s="3">
        <v>0</v>
      </c>
    </row>
    <row r="283" spans="1:27">
      <c r="A283" t="s">
        <v>343</v>
      </c>
      <c r="B283" s="3">
        <v>3</v>
      </c>
      <c r="C283" s="3">
        <v>1</v>
      </c>
      <c r="D283" s="1">
        <v>38058</v>
      </c>
      <c r="E283" s="1">
        <v>39082</v>
      </c>
      <c r="F283" s="2">
        <f t="shared" si="4"/>
        <v>2.8035592060232717</v>
      </c>
      <c r="G283" s="3">
        <v>2</v>
      </c>
      <c r="H283" s="3">
        <v>0</v>
      </c>
      <c r="I283" s="3">
        <v>0</v>
      </c>
      <c r="J283" s="3">
        <v>1</v>
      </c>
      <c r="K283" s="3">
        <v>0</v>
      </c>
      <c r="L283" s="3">
        <v>0</v>
      </c>
      <c r="M283" s="3">
        <v>1</v>
      </c>
      <c r="N283" s="3">
        <v>1</v>
      </c>
      <c r="O283" s="3">
        <v>0</v>
      </c>
      <c r="P283" s="3">
        <v>1</v>
      </c>
      <c r="Q283" s="3">
        <v>0</v>
      </c>
      <c r="R283" s="3">
        <v>71.2</v>
      </c>
      <c r="S283" s="2">
        <v>7.8</v>
      </c>
      <c r="T283" t="s">
        <v>28</v>
      </c>
      <c r="U283" s="3">
        <v>0</v>
      </c>
      <c r="V283" s="3">
        <v>0</v>
      </c>
      <c r="W283" s="3">
        <v>1</v>
      </c>
      <c r="X283" s="3">
        <v>1</v>
      </c>
      <c r="Y283" s="3">
        <v>1</v>
      </c>
      <c r="Z283" s="3">
        <v>0</v>
      </c>
      <c r="AA283" s="3">
        <v>0</v>
      </c>
    </row>
    <row r="284" spans="1:27">
      <c r="A284" t="s">
        <v>344</v>
      </c>
      <c r="B284" s="3">
        <v>3</v>
      </c>
      <c r="C284" s="3">
        <v>1</v>
      </c>
      <c r="D284" s="1">
        <v>38096</v>
      </c>
      <c r="E284" s="1">
        <v>39082</v>
      </c>
      <c r="F284" s="2">
        <f t="shared" si="4"/>
        <v>2.6995208761122518</v>
      </c>
      <c r="G284" s="3">
        <v>1</v>
      </c>
      <c r="H284" s="3">
        <v>1</v>
      </c>
      <c r="I284" s="3">
        <v>0</v>
      </c>
      <c r="J284" s="3">
        <v>1</v>
      </c>
      <c r="K284" s="3">
        <v>0</v>
      </c>
      <c r="L284" s="3">
        <v>0</v>
      </c>
      <c r="M284" s="3">
        <v>0</v>
      </c>
      <c r="N284" s="3">
        <v>1</v>
      </c>
      <c r="O284" s="3">
        <v>0</v>
      </c>
      <c r="P284" s="3">
        <v>0</v>
      </c>
      <c r="Q284" s="3">
        <v>0</v>
      </c>
      <c r="R284" s="3">
        <v>71.2</v>
      </c>
      <c r="S284" s="2">
        <v>8.6999999999999993</v>
      </c>
      <c r="T284" t="s">
        <v>44</v>
      </c>
      <c r="U284" s="3">
        <v>0</v>
      </c>
      <c r="V284" s="3">
        <v>0</v>
      </c>
      <c r="W284" s="3">
        <v>1</v>
      </c>
      <c r="X284" s="3">
        <v>0</v>
      </c>
      <c r="Y284" s="3">
        <v>0</v>
      </c>
      <c r="Z284" s="3">
        <v>1</v>
      </c>
      <c r="AA284" s="3">
        <v>0</v>
      </c>
    </row>
    <row r="285" spans="1:27">
      <c r="A285" t="s">
        <v>345</v>
      </c>
      <c r="B285" s="3">
        <v>3</v>
      </c>
      <c r="C285" s="3">
        <v>1</v>
      </c>
      <c r="D285" s="1">
        <v>38218</v>
      </c>
      <c r="E285" s="1">
        <v>39082</v>
      </c>
      <c r="F285" s="2">
        <f t="shared" si="4"/>
        <v>2.3655030800821355</v>
      </c>
      <c r="G285" s="3">
        <v>2</v>
      </c>
      <c r="H285" s="3">
        <v>0</v>
      </c>
      <c r="I285" s="3">
        <v>1</v>
      </c>
      <c r="J285" s="3">
        <v>0</v>
      </c>
      <c r="K285" s="3">
        <v>0</v>
      </c>
      <c r="L285" s="3">
        <v>0</v>
      </c>
      <c r="M285" s="3">
        <v>0</v>
      </c>
      <c r="N285" s="3">
        <v>1</v>
      </c>
      <c r="O285" s="3">
        <v>0</v>
      </c>
      <c r="P285" s="3">
        <v>1</v>
      </c>
      <c r="Q285" s="3">
        <v>0</v>
      </c>
      <c r="R285" s="3">
        <v>71.2</v>
      </c>
      <c r="S285" s="2">
        <v>7.6</v>
      </c>
      <c r="T285" t="s">
        <v>44</v>
      </c>
      <c r="U285" s="3">
        <v>0</v>
      </c>
      <c r="V285" s="3">
        <v>1</v>
      </c>
      <c r="W285" s="3">
        <v>1</v>
      </c>
      <c r="X285" s="3">
        <v>1</v>
      </c>
      <c r="Y285" s="3">
        <v>1</v>
      </c>
      <c r="Z285" s="3">
        <v>0</v>
      </c>
      <c r="AA285" s="3">
        <v>0</v>
      </c>
    </row>
    <row r="286" spans="1:27">
      <c r="A286" t="s">
        <v>346</v>
      </c>
      <c r="B286" s="3">
        <v>1</v>
      </c>
      <c r="C286" s="3">
        <v>1</v>
      </c>
      <c r="D286" s="1">
        <v>38072</v>
      </c>
      <c r="E286" s="1">
        <v>39082</v>
      </c>
      <c r="F286" s="2">
        <f t="shared" si="4"/>
        <v>2.7652292950034223</v>
      </c>
      <c r="G286" s="3">
        <v>2</v>
      </c>
      <c r="H286" s="3">
        <v>1</v>
      </c>
      <c r="I286" s="3">
        <v>1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71.2</v>
      </c>
      <c r="S286" s="2">
        <v>8.1</v>
      </c>
      <c r="T286" t="s">
        <v>28</v>
      </c>
      <c r="U286" s="3">
        <v>0</v>
      </c>
      <c r="V286" s="3">
        <v>1</v>
      </c>
      <c r="W286" s="3">
        <v>0</v>
      </c>
      <c r="X286" s="3">
        <v>1</v>
      </c>
      <c r="Y286" s="3">
        <v>0</v>
      </c>
      <c r="Z286" s="3">
        <v>0</v>
      </c>
      <c r="AA286" s="3">
        <v>0</v>
      </c>
    </row>
    <row r="287" spans="1:27">
      <c r="A287" t="s">
        <v>347</v>
      </c>
      <c r="B287" s="3">
        <v>3</v>
      </c>
      <c r="C287" s="3">
        <v>0</v>
      </c>
      <c r="D287" s="1">
        <v>38047</v>
      </c>
      <c r="E287" s="1">
        <v>39082</v>
      </c>
      <c r="F287" s="2">
        <f t="shared" si="4"/>
        <v>2.8336755646817249</v>
      </c>
      <c r="G287" s="3">
        <v>1</v>
      </c>
      <c r="H287" s="3">
        <v>1</v>
      </c>
      <c r="I287" s="3">
        <v>1</v>
      </c>
      <c r="J287" s="3">
        <v>1</v>
      </c>
      <c r="K287" s="3">
        <v>0</v>
      </c>
      <c r="L287" s="3">
        <v>0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71.2</v>
      </c>
      <c r="S287" s="2">
        <v>8.3000000000000007</v>
      </c>
      <c r="T287" t="s">
        <v>28</v>
      </c>
      <c r="U287" s="3">
        <v>1</v>
      </c>
      <c r="V287" s="3">
        <v>1</v>
      </c>
      <c r="W287" s="3">
        <v>1</v>
      </c>
      <c r="X287" s="3">
        <v>0</v>
      </c>
      <c r="Y287" s="3">
        <v>0</v>
      </c>
      <c r="Z287" s="3">
        <v>1</v>
      </c>
      <c r="AA287" s="3">
        <v>0</v>
      </c>
    </row>
    <row r="288" spans="1:27">
      <c r="A288" t="s">
        <v>348</v>
      </c>
      <c r="B288" s="3">
        <v>3</v>
      </c>
      <c r="C288" s="3">
        <v>1</v>
      </c>
      <c r="D288" s="1">
        <v>38172</v>
      </c>
      <c r="E288" s="1">
        <v>39082</v>
      </c>
      <c r="F288" s="2">
        <f t="shared" si="4"/>
        <v>2.4914442162902124</v>
      </c>
      <c r="G288" s="3">
        <v>1</v>
      </c>
      <c r="H288" s="3">
        <v>1</v>
      </c>
      <c r="I288" s="3">
        <v>1</v>
      </c>
      <c r="J288" s="3">
        <v>1</v>
      </c>
      <c r="K288" s="3">
        <v>0</v>
      </c>
      <c r="L288" s="3">
        <v>0</v>
      </c>
      <c r="M288" s="3">
        <v>0</v>
      </c>
      <c r="N288" s="3">
        <v>1</v>
      </c>
      <c r="O288" s="3">
        <v>0</v>
      </c>
      <c r="P288" s="3">
        <v>1</v>
      </c>
      <c r="Q288" s="3">
        <v>0</v>
      </c>
      <c r="R288" s="3">
        <v>71.2</v>
      </c>
      <c r="S288" s="2">
        <v>9.9</v>
      </c>
      <c r="T288" t="s">
        <v>28</v>
      </c>
      <c r="U288" s="3">
        <v>0</v>
      </c>
      <c r="V288" s="3">
        <v>0</v>
      </c>
      <c r="W288" s="3">
        <v>1</v>
      </c>
      <c r="X288" s="3">
        <v>1</v>
      </c>
      <c r="Y288" s="3">
        <v>1</v>
      </c>
      <c r="Z288" s="3">
        <v>1</v>
      </c>
      <c r="AA288" s="3">
        <v>0</v>
      </c>
    </row>
    <row r="289" spans="1:27">
      <c r="A289" t="s">
        <v>349</v>
      </c>
      <c r="B289" s="3">
        <v>2</v>
      </c>
      <c r="C289" s="3">
        <v>1</v>
      </c>
      <c r="D289" s="1">
        <v>38170</v>
      </c>
      <c r="E289" s="1">
        <v>39082</v>
      </c>
      <c r="F289" s="2">
        <f t="shared" si="4"/>
        <v>2.4969199178644765</v>
      </c>
      <c r="G289" s="3">
        <v>2</v>
      </c>
      <c r="H289" s="3">
        <v>1</v>
      </c>
      <c r="I289" s="3">
        <v>1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71.3</v>
      </c>
      <c r="S289" s="2">
        <v>7.5</v>
      </c>
      <c r="T289" t="s">
        <v>350</v>
      </c>
      <c r="U289" s="3">
        <v>1</v>
      </c>
      <c r="V289" s="3">
        <v>1</v>
      </c>
      <c r="W289" s="3">
        <v>1</v>
      </c>
      <c r="X289" s="3">
        <v>1</v>
      </c>
      <c r="Y289" s="3">
        <v>1</v>
      </c>
      <c r="Z289" s="3">
        <v>0</v>
      </c>
      <c r="AA289" s="3">
        <v>0</v>
      </c>
    </row>
    <row r="290" spans="1:27">
      <c r="A290" t="s">
        <v>351</v>
      </c>
      <c r="B290" s="3">
        <v>3</v>
      </c>
      <c r="C290" s="3">
        <v>1</v>
      </c>
      <c r="D290" s="1">
        <v>38140</v>
      </c>
      <c r="E290" s="1">
        <v>39082</v>
      </c>
      <c r="F290" s="2">
        <f t="shared" si="4"/>
        <v>2.5790554414784395</v>
      </c>
      <c r="G290" s="3">
        <v>2</v>
      </c>
      <c r="H290" s="3">
        <v>1</v>
      </c>
      <c r="I290" s="3">
        <v>1</v>
      </c>
      <c r="J290" s="3">
        <v>0</v>
      </c>
      <c r="K290" s="3">
        <v>0</v>
      </c>
      <c r="L290" s="3">
        <v>0</v>
      </c>
      <c r="M290" s="3">
        <v>0</v>
      </c>
      <c r="N290" s="3">
        <v>1</v>
      </c>
      <c r="O290" s="3">
        <v>0</v>
      </c>
      <c r="P290" s="3">
        <v>1</v>
      </c>
      <c r="Q290" s="3">
        <v>0</v>
      </c>
      <c r="R290" s="3">
        <v>71.3</v>
      </c>
      <c r="S290" s="2">
        <v>8.6</v>
      </c>
      <c r="T290" t="s">
        <v>28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</row>
    <row r="291" spans="1:27">
      <c r="A291" t="s">
        <v>352</v>
      </c>
      <c r="B291" s="3">
        <v>3</v>
      </c>
      <c r="C291" s="3">
        <v>1</v>
      </c>
      <c r="D291" s="1">
        <v>38320</v>
      </c>
      <c r="E291" s="1">
        <v>39082</v>
      </c>
      <c r="F291" s="2">
        <f t="shared" si="4"/>
        <v>2.086242299794661</v>
      </c>
      <c r="G291" s="3">
        <v>2</v>
      </c>
      <c r="H291" s="3">
        <v>1</v>
      </c>
      <c r="I291" s="3">
        <v>1</v>
      </c>
      <c r="J291" s="3">
        <v>0</v>
      </c>
      <c r="K291" s="3">
        <v>0</v>
      </c>
      <c r="L291" s="3">
        <v>0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71.3</v>
      </c>
      <c r="S291" s="2">
        <v>8.3000000000000007</v>
      </c>
      <c r="T291" t="s">
        <v>172</v>
      </c>
      <c r="U291" s="3">
        <v>1</v>
      </c>
      <c r="V291" s="3">
        <v>1</v>
      </c>
      <c r="W291" s="3">
        <v>1</v>
      </c>
      <c r="X291" s="3">
        <v>0</v>
      </c>
      <c r="Y291" s="3">
        <v>0</v>
      </c>
      <c r="Z291" s="3">
        <v>0</v>
      </c>
      <c r="AA291" s="3">
        <v>0</v>
      </c>
    </row>
    <row r="292" spans="1:27">
      <c r="A292" t="s">
        <v>353</v>
      </c>
      <c r="B292" s="3">
        <v>2</v>
      </c>
      <c r="C292" s="3">
        <v>1</v>
      </c>
      <c r="D292" s="1">
        <v>38106</v>
      </c>
      <c r="E292" s="1">
        <v>39082</v>
      </c>
      <c r="F292" s="2">
        <f t="shared" si="4"/>
        <v>2.6721423682409307</v>
      </c>
      <c r="G292" s="3">
        <v>1</v>
      </c>
      <c r="H292" s="3">
        <v>1</v>
      </c>
      <c r="I292" s="3">
        <v>0</v>
      </c>
      <c r="J292" s="3">
        <v>1</v>
      </c>
      <c r="K292" s="3">
        <v>1</v>
      </c>
      <c r="L292" s="3">
        <v>0</v>
      </c>
      <c r="M292" s="3">
        <v>0</v>
      </c>
      <c r="N292" s="3">
        <v>0</v>
      </c>
      <c r="O292" s="3">
        <v>0</v>
      </c>
      <c r="P292" s="3">
        <v>1</v>
      </c>
      <c r="Q292" s="3">
        <v>0</v>
      </c>
      <c r="R292" s="3">
        <v>71.400000000000006</v>
      </c>
      <c r="S292" s="2">
        <v>8.1</v>
      </c>
      <c r="T292" t="s">
        <v>188</v>
      </c>
      <c r="U292" s="3">
        <v>1</v>
      </c>
      <c r="V292" s="3">
        <v>1</v>
      </c>
      <c r="W292" s="3">
        <v>0</v>
      </c>
      <c r="X292" s="3">
        <v>0</v>
      </c>
      <c r="Y292" s="3">
        <v>0</v>
      </c>
      <c r="Z292" s="3">
        <v>1</v>
      </c>
      <c r="AA292" s="3">
        <v>0</v>
      </c>
    </row>
    <row r="293" spans="1:27">
      <c r="A293" t="s">
        <v>354</v>
      </c>
      <c r="B293" s="3">
        <v>3</v>
      </c>
      <c r="C293" s="3">
        <v>1</v>
      </c>
      <c r="D293" s="1">
        <v>38163</v>
      </c>
      <c r="E293" s="1">
        <v>39082</v>
      </c>
      <c r="F293" s="2">
        <f t="shared" si="4"/>
        <v>2.516084873374401</v>
      </c>
      <c r="G293" s="3">
        <v>2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71.5</v>
      </c>
      <c r="S293" s="2">
        <v>8.9</v>
      </c>
      <c r="T293" t="s">
        <v>312</v>
      </c>
      <c r="U293" s="3">
        <v>0</v>
      </c>
      <c r="V293" s="3">
        <v>1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</row>
    <row r="294" spans="1:27">
      <c r="A294" t="s">
        <v>355</v>
      </c>
      <c r="B294" s="3">
        <v>2</v>
      </c>
      <c r="C294" s="3">
        <v>1</v>
      </c>
      <c r="D294" s="1">
        <v>38134</v>
      </c>
      <c r="E294" s="1">
        <v>39082</v>
      </c>
      <c r="F294" s="2">
        <f t="shared" si="4"/>
        <v>2.5954825462012319</v>
      </c>
      <c r="G294" s="3">
        <v>1</v>
      </c>
      <c r="H294" s="3">
        <v>1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71.5</v>
      </c>
      <c r="S294" s="2">
        <v>8</v>
      </c>
      <c r="T294" t="s">
        <v>44</v>
      </c>
      <c r="U294" s="3">
        <v>1</v>
      </c>
      <c r="V294" s="3">
        <v>1</v>
      </c>
      <c r="W294" s="3">
        <v>1</v>
      </c>
      <c r="X294" s="3">
        <v>1</v>
      </c>
      <c r="Y294" s="3">
        <v>0</v>
      </c>
      <c r="Z294" s="3">
        <v>1</v>
      </c>
      <c r="AA294" s="3">
        <v>0</v>
      </c>
    </row>
    <row r="295" spans="1:27">
      <c r="A295" t="s">
        <v>356</v>
      </c>
      <c r="B295" s="3">
        <v>3</v>
      </c>
      <c r="C295" s="3">
        <v>1</v>
      </c>
      <c r="D295" s="1">
        <v>38341</v>
      </c>
      <c r="E295" s="1">
        <v>39082</v>
      </c>
      <c r="F295" s="2">
        <f t="shared" si="4"/>
        <v>2.0287474332648872</v>
      </c>
      <c r="G295" s="3">
        <v>1</v>
      </c>
      <c r="H295" s="3">
        <v>1</v>
      </c>
      <c r="I295" s="3">
        <v>0</v>
      </c>
      <c r="J295" s="3">
        <v>1</v>
      </c>
      <c r="K295" s="3">
        <v>0</v>
      </c>
      <c r="L295" s="3">
        <v>0</v>
      </c>
      <c r="M295" s="3">
        <v>0</v>
      </c>
      <c r="N295" s="3">
        <v>1</v>
      </c>
      <c r="O295" s="3">
        <v>0</v>
      </c>
      <c r="P295" s="3">
        <v>1</v>
      </c>
      <c r="Q295" s="3">
        <v>0</v>
      </c>
      <c r="R295" s="3">
        <v>71.5</v>
      </c>
      <c r="S295" s="2">
        <v>9.3000000000000007</v>
      </c>
      <c r="T295" t="s">
        <v>28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1</v>
      </c>
      <c r="AA295" s="3">
        <v>0</v>
      </c>
    </row>
    <row r="296" spans="1:27">
      <c r="A296" t="s">
        <v>357</v>
      </c>
      <c r="B296" s="3">
        <v>2</v>
      </c>
      <c r="C296" s="3">
        <v>0</v>
      </c>
      <c r="D296" s="1">
        <v>37893</v>
      </c>
      <c r="E296" s="1">
        <v>39082</v>
      </c>
      <c r="F296" s="2">
        <f t="shared" si="4"/>
        <v>3.2553045859000687</v>
      </c>
      <c r="G296" s="3">
        <v>2</v>
      </c>
      <c r="H296" s="3">
        <v>1</v>
      </c>
      <c r="I296" s="3">
        <v>0</v>
      </c>
      <c r="J296" s="3">
        <v>1</v>
      </c>
      <c r="K296" s="3">
        <v>1</v>
      </c>
      <c r="L296" s="3">
        <v>0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71.5</v>
      </c>
      <c r="S296" s="2">
        <v>10</v>
      </c>
      <c r="T296" t="s">
        <v>188</v>
      </c>
      <c r="U296" s="3">
        <v>1</v>
      </c>
      <c r="V296" s="3">
        <v>1</v>
      </c>
      <c r="W296" s="3">
        <v>1</v>
      </c>
      <c r="X296" s="3">
        <v>0</v>
      </c>
      <c r="Y296" s="3">
        <v>1</v>
      </c>
      <c r="Z296" s="3">
        <v>0</v>
      </c>
      <c r="AA296" s="3">
        <v>0</v>
      </c>
    </row>
    <row r="297" spans="1:27">
      <c r="A297" t="s">
        <v>358</v>
      </c>
      <c r="B297" s="3">
        <v>1</v>
      </c>
      <c r="C297" s="3">
        <v>0</v>
      </c>
      <c r="D297" s="1">
        <v>37900</v>
      </c>
      <c r="E297" s="1">
        <v>39082</v>
      </c>
      <c r="F297" s="2">
        <f t="shared" si="4"/>
        <v>3.2361396303901437</v>
      </c>
      <c r="G297" s="3">
        <v>2</v>
      </c>
      <c r="H297" s="3">
        <v>1</v>
      </c>
      <c r="I297" s="3">
        <v>1</v>
      </c>
      <c r="J297" s="3">
        <v>0</v>
      </c>
      <c r="K297" s="3">
        <v>0</v>
      </c>
      <c r="L297" s="3">
        <v>0</v>
      </c>
      <c r="M297" s="3">
        <v>0</v>
      </c>
      <c r="N297" s="3">
        <v>1</v>
      </c>
      <c r="O297" s="3">
        <v>0</v>
      </c>
      <c r="P297" s="3">
        <v>1</v>
      </c>
      <c r="Q297" s="3">
        <v>0</v>
      </c>
      <c r="R297" s="3">
        <v>71.5</v>
      </c>
      <c r="S297" s="2">
        <v>7.5</v>
      </c>
      <c r="T297" t="s">
        <v>28</v>
      </c>
      <c r="U297" s="3">
        <v>1</v>
      </c>
      <c r="V297" s="3">
        <v>1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</row>
    <row r="298" spans="1:27">
      <c r="A298" t="s">
        <v>359</v>
      </c>
      <c r="B298" s="3">
        <v>2</v>
      </c>
      <c r="C298" s="3">
        <v>1</v>
      </c>
      <c r="D298" s="1">
        <v>37998</v>
      </c>
      <c r="E298" s="1">
        <v>39082</v>
      </c>
      <c r="F298" s="2">
        <f t="shared" si="4"/>
        <v>2.967830253251198</v>
      </c>
      <c r="G298" s="3">
        <v>2</v>
      </c>
      <c r="H298" s="3">
        <v>0</v>
      </c>
      <c r="I298" s="3">
        <v>0</v>
      </c>
      <c r="J298" s="3">
        <v>0</v>
      </c>
      <c r="K298" s="3">
        <v>0</v>
      </c>
      <c r="L298" s="3">
        <v>1</v>
      </c>
      <c r="M298" s="3">
        <v>0</v>
      </c>
      <c r="N298" s="3">
        <v>1</v>
      </c>
      <c r="O298" s="3">
        <v>0</v>
      </c>
      <c r="P298" s="3">
        <v>1</v>
      </c>
      <c r="Q298" s="3">
        <v>0</v>
      </c>
      <c r="R298" s="3">
        <v>71.599999999999994</v>
      </c>
      <c r="S298" s="2">
        <v>7.9</v>
      </c>
      <c r="T298" t="s">
        <v>69</v>
      </c>
      <c r="U298" s="3">
        <v>1</v>
      </c>
      <c r="V298" s="3">
        <v>1</v>
      </c>
      <c r="W298" s="3">
        <v>1</v>
      </c>
      <c r="X298" s="3">
        <v>1</v>
      </c>
      <c r="Y298" s="3">
        <v>1</v>
      </c>
      <c r="Z298" s="3">
        <v>0</v>
      </c>
      <c r="AA298" s="3">
        <v>0</v>
      </c>
    </row>
    <row r="299" spans="1:27">
      <c r="A299" t="s">
        <v>360</v>
      </c>
      <c r="B299" s="3">
        <v>2</v>
      </c>
      <c r="C299" s="3">
        <v>1</v>
      </c>
      <c r="D299" s="1">
        <v>38004</v>
      </c>
      <c r="E299" s="1">
        <v>39082</v>
      </c>
      <c r="F299" s="2">
        <f t="shared" si="4"/>
        <v>2.9514031485284051</v>
      </c>
      <c r="G299" s="3">
        <v>1</v>
      </c>
      <c r="H299" s="3">
        <v>1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71.599999999999994</v>
      </c>
      <c r="S299" s="2">
        <v>7.8</v>
      </c>
      <c r="T299" t="s">
        <v>44</v>
      </c>
      <c r="U299" s="3">
        <v>1</v>
      </c>
      <c r="V299" s="3">
        <v>1</v>
      </c>
      <c r="W299" s="3">
        <v>0</v>
      </c>
      <c r="X299" s="3">
        <v>0</v>
      </c>
      <c r="Y299" s="3">
        <v>0</v>
      </c>
      <c r="Z299" s="3">
        <v>1</v>
      </c>
      <c r="AA299" s="3">
        <v>0</v>
      </c>
    </row>
    <row r="300" spans="1:27">
      <c r="A300" t="s">
        <v>361</v>
      </c>
      <c r="B300" s="3">
        <v>2</v>
      </c>
      <c r="C300" s="3">
        <v>1</v>
      </c>
      <c r="D300" s="1">
        <v>38109</v>
      </c>
      <c r="E300" s="1">
        <v>39082</v>
      </c>
      <c r="F300" s="2">
        <f t="shared" si="4"/>
        <v>2.6639288158795345</v>
      </c>
      <c r="G300" s="3">
        <v>1</v>
      </c>
      <c r="H300" s="3">
        <v>1</v>
      </c>
      <c r="I300" s="3">
        <v>0</v>
      </c>
      <c r="J300" s="3">
        <v>0</v>
      </c>
      <c r="K300" s="3">
        <v>1</v>
      </c>
      <c r="L300" s="3">
        <v>0</v>
      </c>
      <c r="M300" s="3">
        <v>0</v>
      </c>
      <c r="N300" s="3">
        <v>1</v>
      </c>
      <c r="O300" s="3">
        <v>0</v>
      </c>
      <c r="P300" s="3">
        <v>1</v>
      </c>
      <c r="Q300" s="3">
        <v>0</v>
      </c>
      <c r="R300" s="3">
        <v>71.599999999999994</v>
      </c>
      <c r="S300" s="2">
        <v>8.8000000000000007</v>
      </c>
      <c r="T300" t="s">
        <v>28</v>
      </c>
      <c r="U300" s="3">
        <v>1</v>
      </c>
      <c r="V300" s="3">
        <v>1</v>
      </c>
      <c r="W300" s="3">
        <v>0</v>
      </c>
      <c r="X300" s="3">
        <v>1</v>
      </c>
      <c r="Y300" s="3">
        <v>0</v>
      </c>
      <c r="Z300" s="3">
        <v>1</v>
      </c>
      <c r="AA300" s="3">
        <v>0</v>
      </c>
    </row>
    <row r="301" spans="1:27">
      <c r="A301" t="s">
        <v>362</v>
      </c>
      <c r="B301" s="3">
        <v>3</v>
      </c>
      <c r="C301" s="3">
        <v>1</v>
      </c>
      <c r="D301" s="1">
        <v>38136</v>
      </c>
      <c r="E301" s="1">
        <v>39082</v>
      </c>
      <c r="F301" s="2">
        <f t="shared" si="4"/>
        <v>2.5900068446269677</v>
      </c>
      <c r="G301" s="3">
        <v>1</v>
      </c>
      <c r="H301" s="3">
        <v>1</v>
      </c>
      <c r="I301" s="3">
        <v>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71.599999999999994</v>
      </c>
      <c r="S301" s="2">
        <v>10.6</v>
      </c>
      <c r="T301" t="s">
        <v>28</v>
      </c>
      <c r="U301" s="3">
        <v>0</v>
      </c>
      <c r="V301" s="3">
        <v>0</v>
      </c>
      <c r="W301" s="3">
        <v>1</v>
      </c>
      <c r="X301" s="3">
        <v>0</v>
      </c>
      <c r="Y301" s="3">
        <v>0</v>
      </c>
      <c r="Z301" s="3">
        <v>1</v>
      </c>
      <c r="AA301" s="3">
        <v>0</v>
      </c>
    </row>
    <row r="302" spans="1:27">
      <c r="A302" t="s">
        <v>363</v>
      </c>
      <c r="B302" s="3">
        <v>3</v>
      </c>
      <c r="C302" s="3">
        <v>1</v>
      </c>
      <c r="D302" s="1">
        <v>38015</v>
      </c>
      <c r="E302" s="1">
        <v>39082</v>
      </c>
      <c r="F302" s="2">
        <f t="shared" si="4"/>
        <v>2.9212867898699519</v>
      </c>
      <c r="G302" s="3">
        <v>1</v>
      </c>
      <c r="H302" s="3">
        <v>1</v>
      </c>
      <c r="I302" s="3">
        <v>0</v>
      </c>
      <c r="J302" s="3">
        <v>0</v>
      </c>
      <c r="K302" s="3">
        <v>0</v>
      </c>
      <c r="L302" s="3">
        <v>0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71.599999999999994</v>
      </c>
      <c r="S302" s="2">
        <v>8.6</v>
      </c>
      <c r="T302" t="s">
        <v>28</v>
      </c>
      <c r="U302" s="3">
        <v>0</v>
      </c>
      <c r="V302" s="3">
        <v>1</v>
      </c>
      <c r="W302" s="3">
        <v>0</v>
      </c>
      <c r="X302" s="3">
        <v>1</v>
      </c>
      <c r="Y302" s="3">
        <v>0</v>
      </c>
      <c r="Z302" s="3">
        <v>1</v>
      </c>
      <c r="AA302" s="3">
        <v>0</v>
      </c>
    </row>
    <row r="303" spans="1:27">
      <c r="A303" t="s">
        <v>364</v>
      </c>
      <c r="B303" s="3">
        <v>2</v>
      </c>
      <c r="C303" s="3">
        <v>0</v>
      </c>
      <c r="D303" s="1">
        <v>37650</v>
      </c>
      <c r="E303" s="1">
        <v>39082</v>
      </c>
      <c r="F303" s="2">
        <f t="shared" si="4"/>
        <v>3.9206023271731691</v>
      </c>
      <c r="G303" s="3">
        <v>2</v>
      </c>
      <c r="H303" s="3">
        <v>1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71.599999999999994</v>
      </c>
      <c r="S303" s="2">
        <v>7.6</v>
      </c>
      <c r="T303" t="s">
        <v>28</v>
      </c>
      <c r="U303" s="3">
        <v>1</v>
      </c>
      <c r="V303" s="3">
        <v>1</v>
      </c>
      <c r="W303" s="3">
        <v>1</v>
      </c>
      <c r="X303" s="3">
        <v>1</v>
      </c>
      <c r="Y303" s="3">
        <v>1</v>
      </c>
      <c r="Z303" s="3">
        <v>0</v>
      </c>
      <c r="AA303" s="3">
        <v>0</v>
      </c>
    </row>
    <row r="304" spans="1:27">
      <c r="A304" t="s">
        <v>365</v>
      </c>
      <c r="B304" s="3">
        <v>3</v>
      </c>
      <c r="C304" s="3">
        <v>1</v>
      </c>
      <c r="D304" s="1">
        <v>38233</v>
      </c>
      <c r="E304" s="1">
        <v>39082</v>
      </c>
      <c r="F304" s="2">
        <f t="shared" si="4"/>
        <v>2.324435318275154</v>
      </c>
      <c r="G304" s="3">
        <v>2</v>
      </c>
      <c r="H304" s="3">
        <v>1</v>
      </c>
      <c r="I304" s="3">
        <v>0</v>
      </c>
      <c r="J304" s="3">
        <v>1</v>
      </c>
      <c r="K304" s="3">
        <v>0</v>
      </c>
      <c r="L304" s="3">
        <v>0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71.599999999999994</v>
      </c>
      <c r="S304" s="2">
        <v>8</v>
      </c>
      <c r="T304" t="s">
        <v>28</v>
      </c>
      <c r="U304" s="3">
        <v>0</v>
      </c>
      <c r="V304" s="3">
        <v>0</v>
      </c>
      <c r="W304" s="3">
        <v>0</v>
      </c>
      <c r="X304" s="3">
        <v>1</v>
      </c>
      <c r="Y304" s="3">
        <v>0</v>
      </c>
      <c r="Z304" s="3">
        <v>0</v>
      </c>
      <c r="AA304" s="3">
        <v>0</v>
      </c>
    </row>
    <row r="305" spans="1:27">
      <c r="A305" t="s">
        <v>366</v>
      </c>
      <c r="B305" s="3">
        <v>1</v>
      </c>
      <c r="C305" s="3">
        <v>1</v>
      </c>
      <c r="D305" s="1">
        <v>38111</v>
      </c>
      <c r="E305" s="1">
        <v>39082</v>
      </c>
      <c r="F305" s="2">
        <f t="shared" si="4"/>
        <v>2.6584531143052703</v>
      </c>
      <c r="G305" s="3">
        <v>1</v>
      </c>
      <c r="H305" s="3">
        <v>0</v>
      </c>
      <c r="I305" s="3">
        <v>1</v>
      </c>
      <c r="J305" s="3">
        <v>0</v>
      </c>
      <c r="K305" s="3">
        <v>0</v>
      </c>
      <c r="L305" s="3">
        <v>0</v>
      </c>
      <c r="M305" s="3">
        <v>0</v>
      </c>
      <c r="N305" s="3">
        <v>1</v>
      </c>
      <c r="O305" s="3">
        <v>0</v>
      </c>
      <c r="P305" s="3">
        <v>1</v>
      </c>
      <c r="Q305" s="3">
        <v>0</v>
      </c>
      <c r="R305" s="3">
        <v>71.599999999999994</v>
      </c>
      <c r="S305" s="2">
        <v>9.6</v>
      </c>
      <c r="T305" t="s">
        <v>28</v>
      </c>
      <c r="U305" s="3">
        <v>0</v>
      </c>
      <c r="V305" s="3">
        <v>1</v>
      </c>
      <c r="W305" s="3">
        <v>1</v>
      </c>
      <c r="X305" s="3">
        <v>1</v>
      </c>
      <c r="Y305" s="3">
        <v>1</v>
      </c>
      <c r="Z305" s="3">
        <v>1</v>
      </c>
      <c r="AA305" s="3">
        <v>0</v>
      </c>
    </row>
    <row r="306" spans="1:27">
      <c r="A306" t="s">
        <v>367</v>
      </c>
      <c r="B306" s="3">
        <v>3</v>
      </c>
      <c r="C306" s="3">
        <v>1</v>
      </c>
      <c r="D306" s="1">
        <v>38113</v>
      </c>
      <c r="E306" s="1">
        <v>39082</v>
      </c>
      <c r="F306" s="2">
        <f t="shared" si="4"/>
        <v>2.6529774127310062</v>
      </c>
      <c r="G306" s="3">
        <v>2</v>
      </c>
      <c r="H306" s="3">
        <v>1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71.7</v>
      </c>
      <c r="S306" s="2">
        <v>7.7</v>
      </c>
      <c r="T306" t="s">
        <v>28</v>
      </c>
      <c r="U306" s="3">
        <v>0</v>
      </c>
      <c r="V306" s="3">
        <v>1</v>
      </c>
      <c r="W306" s="3">
        <v>1</v>
      </c>
      <c r="X306" s="3">
        <v>1</v>
      </c>
      <c r="Y306" s="3">
        <v>1</v>
      </c>
      <c r="Z306" s="3">
        <v>0</v>
      </c>
      <c r="AA306" s="3">
        <v>0</v>
      </c>
    </row>
    <row r="307" spans="1:27">
      <c r="A307" t="s">
        <v>368</v>
      </c>
      <c r="B307" s="3">
        <v>3</v>
      </c>
      <c r="C307" s="3">
        <v>0</v>
      </c>
      <c r="D307" s="1">
        <v>38065</v>
      </c>
      <c r="E307" s="1">
        <v>39082</v>
      </c>
      <c r="F307" s="2">
        <f t="shared" si="4"/>
        <v>2.7843942505133472</v>
      </c>
      <c r="G307" s="3">
        <v>1</v>
      </c>
      <c r="H307" s="3">
        <v>1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72</v>
      </c>
      <c r="S307" s="2">
        <v>8.6</v>
      </c>
      <c r="T307" t="s">
        <v>105</v>
      </c>
      <c r="U307" s="3">
        <v>0</v>
      </c>
      <c r="V307" s="3">
        <v>1</v>
      </c>
      <c r="W307" s="3">
        <v>1</v>
      </c>
      <c r="X307" s="3">
        <v>0</v>
      </c>
      <c r="Y307" s="3">
        <v>0</v>
      </c>
      <c r="Z307" s="3">
        <v>1</v>
      </c>
      <c r="AA307" s="3">
        <v>0</v>
      </c>
    </row>
    <row r="308" spans="1:27">
      <c r="A308" t="s">
        <v>369</v>
      </c>
      <c r="B308" s="3">
        <v>2</v>
      </c>
      <c r="C308" s="3">
        <v>1</v>
      </c>
      <c r="D308" s="1">
        <v>38024</v>
      </c>
      <c r="E308" s="1">
        <v>39082</v>
      </c>
      <c r="F308" s="2">
        <f t="shared" si="4"/>
        <v>2.8966461327857633</v>
      </c>
      <c r="G308" s="3">
        <v>1</v>
      </c>
      <c r="H308" s="3">
        <v>1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72</v>
      </c>
      <c r="S308" s="2">
        <v>7.9</v>
      </c>
      <c r="T308" t="s">
        <v>28</v>
      </c>
      <c r="U308" s="3">
        <v>1</v>
      </c>
      <c r="V308" s="3">
        <v>1</v>
      </c>
      <c r="W308" s="3">
        <v>1</v>
      </c>
      <c r="X308" s="3">
        <v>1</v>
      </c>
      <c r="Y308" s="3">
        <v>1</v>
      </c>
      <c r="Z308" s="3">
        <v>1</v>
      </c>
      <c r="AA308" s="3">
        <v>0</v>
      </c>
    </row>
    <row r="309" spans="1:27">
      <c r="A309" t="s">
        <v>370</v>
      </c>
      <c r="B309" s="3">
        <v>2</v>
      </c>
      <c r="C309" s="3">
        <v>1</v>
      </c>
      <c r="D309" s="1">
        <v>37912</v>
      </c>
      <c r="E309" s="1">
        <v>39082</v>
      </c>
      <c r="F309" s="2">
        <f t="shared" si="4"/>
        <v>3.2032854209445585</v>
      </c>
      <c r="G309" s="3">
        <v>1</v>
      </c>
      <c r="H309" s="3">
        <v>1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72.099999999999994</v>
      </c>
      <c r="S309" s="2">
        <v>8.1</v>
      </c>
      <c r="T309" t="s">
        <v>28</v>
      </c>
      <c r="U309" s="3">
        <v>1</v>
      </c>
      <c r="V309" s="3">
        <v>1</v>
      </c>
      <c r="W309" s="3">
        <v>1</v>
      </c>
      <c r="X309" s="3">
        <v>1</v>
      </c>
      <c r="Y309" s="3">
        <v>1</v>
      </c>
      <c r="Z309" s="3">
        <v>1</v>
      </c>
      <c r="AA309" s="3">
        <v>0</v>
      </c>
    </row>
    <row r="310" spans="1:27">
      <c r="A310" t="s">
        <v>371</v>
      </c>
      <c r="B310" s="3">
        <v>1</v>
      </c>
      <c r="C310" s="3">
        <v>1</v>
      </c>
      <c r="D310" s="1">
        <v>38079</v>
      </c>
      <c r="E310" s="1">
        <v>39082</v>
      </c>
      <c r="F310" s="2">
        <f t="shared" si="4"/>
        <v>2.7460643394934978</v>
      </c>
      <c r="G310" s="3">
        <v>2</v>
      </c>
      <c r="H310" s="3">
        <v>1</v>
      </c>
      <c r="I310" s="3">
        <v>1</v>
      </c>
      <c r="J310" s="3">
        <v>0</v>
      </c>
      <c r="K310" s="3">
        <v>1</v>
      </c>
      <c r="L310" s="3">
        <v>0</v>
      </c>
      <c r="M310" s="3">
        <v>0</v>
      </c>
      <c r="N310" s="3">
        <v>1</v>
      </c>
      <c r="O310" s="3">
        <v>0</v>
      </c>
      <c r="P310" s="3">
        <v>1</v>
      </c>
      <c r="Q310" s="3">
        <v>0</v>
      </c>
      <c r="R310" s="3">
        <v>72.099999999999994</v>
      </c>
      <c r="S310" s="2">
        <v>8.6</v>
      </c>
      <c r="T310" t="s">
        <v>372</v>
      </c>
      <c r="U310" s="3">
        <v>1</v>
      </c>
      <c r="V310" s="3">
        <v>1</v>
      </c>
      <c r="W310" s="3">
        <v>0</v>
      </c>
      <c r="X310" s="3">
        <v>1</v>
      </c>
      <c r="Y310" s="3">
        <v>0</v>
      </c>
      <c r="Z310" s="3">
        <v>0</v>
      </c>
      <c r="AA310" s="3">
        <v>0</v>
      </c>
    </row>
    <row r="311" spans="1:27">
      <c r="A311" t="s">
        <v>373</v>
      </c>
      <c r="B311" s="3">
        <v>2</v>
      </c>
      <c r="C311" s="3">
        <v>1</v>
      </c>
      <c r="D311" s="1">
        <v>37912</v>
      </c>
      <c r="E311" s="1">
        <v>39082</v>
      </c>
      <c r="F311" s="2">
        <f t="shared" si="4"/>
        <v>3.2032854209445585</v>
      </c>
      <c r="G311" s="3">
        <v>1</v>
      </c>
      <c r="H311" s="3">
        <v>1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72.2</v>
      </c>
      <c r="S311" s="2">
        <v>8.3000000000000007</v>
      </c>
      <c r="T311" t="s">
        <v>105</v>
      </c>
      <c r="U311" s="3">
        <v>1</v>
      </c>
      <c r="V311" s="3">
        <v>1</v>
      </c>
      <c r="W311" s="3">
        <v>0</v>
      </c>
      <c r="X311" s="3">
        <v>0</v>
      </c>
      <c r="Y311" s="3">
        <v>0</v>
      </c>
      <c r="Z311" s="3">
        <v>1</v>
      </c>
      <c r="AA311" s="3">
        <v>0</v>
      </c>
    </row>
    <row r="312" spans="1:27">
      <c r="A312" t="s">
        <v>374</v>
      </c>
      <c r="B312" s="3">
        <v>3</v>
      </c>
      <c r="C312" s="3">
        <v>1</v>
      </c>
      <c r="D312" s="1">
        <v>38276</v>
      </c>
      <c r="E312" s="1">
        <v>39082</v>
      </c>
      <c r="F312" s="2">
        <f t="shared" si="4"/>
        <v>2.2067077344284738</v>
      </c>
      <c r="G312" s="3">
        <v>1</v>
      </c>
      <c r="H312" s="3">
        <v>1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72.2</v>
      </c>
      <c r="S312" s="2">
        <v>8.1</v>
      </c>
      <c r="T312" t="s">
        <v>28</v>
      </c>
      <c r="U312" s="3">
        <v>0</v>
      </c>
      <c r="V312" s="3">
        <v>0</v>
      </c>
      <c r="W312" s="3">
        <v>1</v>
      </c>
      <c r="X312" s="3">
        <v>1</v>
      </c>
      <c r="Y312" s="3">
        <v>0</v>
      </c>
      <c r="Z312" s="3">
        <v>1</v>
      </c>
      <c r="AA312" s="3">
        <v>0</v>
      </c>
    </row>
    <row r="313" spans="1:27">
      <c r="A313" t="s">
        <v>375</v>
      </c>
      <c r="B313" s="3">
        <v>2</v>
      </c>
      <c r="C313" s="3">
        <v>1</v>
      </c>
      <c r="D313" s="1">
        <v>36827</v>
      </c>
      <c r="E313" s="1">
        <v>39082</v>
      </c>
      <c r="F313" s="2">
        <f t="shared" si="4"/>
        <v>6.1738535249828885</v>
      </c>
      <c r="G313" s="3">
        <v>2</v>
      </c>
      <c r="H313" s="3">
        <v>1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1</v>
      </c>
      <c r="Q313" s="3">
        <v>0</v>
      </c>
      <c r="R313" s="3">
        <v>72.2</v>
      </c>
      <c r="S313" s="2">
        <v>8.1999999999999993</v>
      </c>
      <c r="T313" t="s">
        <v>28</v>
      </c>
      <c r="U313" s="3">
        <v>1</v>
      </c>
      <c r="V313" s="3">
        <v>1</v>
      </c>
      <c r="W313" s="3">
        <v>1</v>
      </c>
      <c r="X313" s="3">
        <v>1</v>
      </c>
      <c r="Y313" s="3">
        <v>1</v>
      </c>
      <c r="Z313" s="3">
        <v>0</v>
      </c>
      <c r="AA313" s="3">
        <v>0</v>
      </c>
    </row>
    <row r="314" spans="1:27">
      <c r="A314" t="s">
        <v>376</v>
      </c>
      <c r="B314" s="3">
        <v>3</v>
      </c>
      <c r="C314" s="3">
        <v>1</v>
      </c>
      <c r="D314" s="1">
        <v>38017</v>
      </c>
      <c r="E314" s="1">
        <v>39082</v>
      </c>
      <c r="F314" s="2">
        <f t="shared" si="4"/>
        <v>2.9158110882956878</v>
      </c>
      <c r="G314" s="3">
        <v>2</v>
      </c>
      <c r="H314" s="3">
        <v>1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72.2</v>
      </c>
      <c r="S314" s="2">
        <v>9</v>
      </c>
      <c r="T314" t="s">
        <v>377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</row>
    <row r="315" spans="1:27">
      <c r="A315" t="s">
        <v>378</v>
      </c>
      <c r="B315" s="3">
        <v>2</v>
      </c>
      <c r="C315" s="3">
        <v>1</v>
      </c>
      <c r="D315" s="1">
        <v>37994</v>
      </c>
      <c r="E315" s="1">
        <v>39082</v>
      </c>
      <c r="F315" s="2">
        <f t="shared" si="4"/>
        <v>2.9787816563997263</v>
      </c>
      <c r="G315" s="3">
        <v>1</v>
      </c>
      <c r="H315" s="3">
        <v>1</v>
      </c>
      <c r="I315" s="3">
        <v>1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72.2</v>
      </c>
      <c r="S315" s="2">
        <v>7.1</v>
      </c>
      <c r="T315" t="s">
        <v>300</v>
      </c>
      <c r="U315" s="3">
        <v>1</v>
      </c>
      <c r="V315" s="3">
        <v>1</v>
      </c>
      <c r="W315" s="3">
        <v>1</v>
      </c>
      <c r="X315" s="3">
        <v>1</v>
      </c>
      <c r="Y315" s="3">
        <v>0</v>
      </c>
      <c r="Z315" s="3">
        <v>1</v>
      </c>
      <c r="AA315" s="3">
        <v>0</v>
      </c>
    </row>
    <row r="316" spans="1:27">
      <c r="A316" t="s">
        <v>379</v>
      </c>
      <c r="B316" s="3">
        <v>2</v>
      </c>
      <c r="C316" s="3">
        <v>1</v>
      </c>
      <c r="D316" s="1">
        <v>38033</v>
      </c>
      <c r="E316" s="1">
        <v>39082</v>
      </c>
      <c r="F316" s="2">
        <f t="shared" si="4"/>
        <v>2.8720054757015743</v>
      </c>
      <c r="G316" s="3">
        <v>1</v>
      </c>
      <c r="H316" s="3">
        <v>1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72.3</v>
      </c>
      <c r="S316" s="2">
        <v>7.7</v>
      </c>
      <c r="T316" t="s">
        <v>28</v>
      </c>
      <c r="U316" s="3">
        <v>1</v>
      </c>
      <c r="V316" s="3">
        <v>1</v>
      </c>
      <c r="W316" s="3">
        <v>1</v>
      </c>
      <c r="X316" s="3">
        <v>0</v>
      </c>
      <c r="Y316" s="3">
        <v>1</v>
      </c>
      <c r="Z316" s="3">
        <v>1</v>
      </c>
      <c r="AA316" s="3">
        <v>0</v>
      </c>
    </row>
    <row r="317" spans="1:27">
      <c r="A317" t="s">
        <v>380</v>
      </c>
      <c r="B317" s="3">
        <v>3</v>
      </c>
      <c r="C317" s="3">
        <v>1</v>
      </c>
      <c r="D317" s="1">
        <v>38078</v>
      </c>
      <c r="E317" s="1">
        <v>39082</v>
      </c>
      <c r="F317" s="2">
        <f t="shared" si="4"/>
        <v>2.7488021902806299</v>
      </c>
      <c r="G317" s="3">
        <v>1</v>
      </c>
      <c r="H317" s="3">
        <v>1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72.3</v>
      </c>
      <c r="S317" s="2">
        <v>8.8000000000000007</v>
      </c>
      <c r="T317" t="s">
        <v>381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1</v>
      </c>
      <c r="AA317" s="3">
        <v>0</v>
      </c>
    </row>
    <row r="318" spans="1:27">
      <c r="A318" t="s">
        <v>382</v>
      </c>
      <c r="B318" s="3">
        <v>3</v>
      </c>
      <c r="C318" s="3">
        <v>1</v>
      </c>
      <c r="D318" s="1">
        <v>38034</v>
      </c>
      <c r="E318" s="1">
        <v>39082</v>
      </c>
      <c r="F318" s="2">
        <f t="shared" si="4"/>
        <v>2.8692676249144422</v>
      </c>
      <c r="G318" s="3">
        <v>1</v>
      </c>
      <c r="H318" s="3">
        <v>1</v>
      </c>
      <c r="I318" s="3">
        <v>0</v>
      </c>
      <c r="J318" s="3">
        <v>1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1</v>
      </c>
      <c r="Q318" s="3">
        <v>0</v>
      </c>
      <c r="R318" s="3">
        <v>72.3</v>
      </c>
      <c r="S318" s="2">
        <v>9.5</v>
      </c>
      <c r="T318" t="s">
        <v>28</v>
      </c>
      <c r="U318" s="3">
        <v>0</v>
      </c>
      <c r="V318" s="3">
        <v>1</v>
      </c>
      <c r="W318" s="3">
        <v>0</v>
      </c>
      <c r="X318" s="3">
        <v>0</v>
      </c>
      <c r="Y318" s="3">
        <v>0</v>
      </c>
      <c r="Z318" s="3">
        <v>1</v>
      </c>
      <c r="AA318" s="3">
        <v>0</v>
      </c>
    </row>
    <row r="319" spans="1:27">
      <c r="A319" t="s">
        <v>383</v>
      </c>
      <c r="B319" s="3">
        <v>3</v>
      </c>
      <c r="C319" s="3">
        <v>1</v>
      </c>
      <c r="D319" s="1">
        <v>38260</v>
      </c>
      <c r="E319" s="1">
        <v>39082</v>
      </c>
      <c r="F319" s="2">
        <f t="shared" si="4"/>
        <v>2.2505133470225873</v>
      </c>
      <c r="G319" s="3">
        <v>2</v>
      </c>
      <c r="H319" s="3">
        <v>1</v>
      </c>
      <c r="I319" s="3">
        <v>0</v>
      </c>
      <c r="J319" s="3">
        <v>1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72.3</v>
      </c>
      <c r="S319" s="2">
        <v>9.1999999999999993</v>
      </c>
      <c r="T319" t="s">
        <v>28</v>
      </c>
      <c r="U319" s="3">
        <v>1</v>
      </c>
      <c r="V319" s="3">
        <v>1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</row>
    <row r="320" spans="1:27">
      <c r="A320" t="s">
        <v>384</v>
      </c>
      <c r="B320" s="3">
        <v>1</v>
      </c>
      <c r="C320" s="3">
        <v>1</v>
      </c>
      <c r="D320" s="1">
        <v>38126</v>
      </c>
      <c r="E320" s="1">
        <v>39082</v>
      </c>
      <c r="F320" s="2">
        <f t="shared" si="4"/>
        <v>2.6173853524982889</v>
      </c>
      <c r="G320" s="3">
        <v>1</v>
      </c>
      <c r="H320" s="3">
        <v>1</v>
      </c>
      <c r="I320" s="3">
        <v>1</v>
      </c>
      <c r="J320" s="3">
        <v>0</v>
      </c>
      <c r="K320" s="3">
        <v>0</v>
      </c>
      <c r="L320" s="3">
        <v>0</v>
      </c>
      <c r="M320" s="3">
        <v>0</v>
      </c>
      <c r="N320" s="3">
        <v>1</v>
      </c>
      <c r="O320" s="3">
        <v>0</v>
      </c>
      <c r="P320" s="3">
        <v>0</v>
      </c>
      <c r="Q320" s="3">
        <v>0</v>
      </c>
      <c r="R320" s="3">
        <v>72.3</v>
      </c>
      <c r="S320" s="2">
        <v>8.3000000000000007</v>
      </c>
      <c r="T320" t="s">
        <v>92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  <c r="AA320" s="3">
        <v>0</v>
      </c>
    </row>
    <row r="321" spans="1:27">
      <c r="A321" t="s">
        <v>385</v>
      </c>
      <c r="B321" s="3">
        <v>3</v>
      </c>
      <c r="C321" s="3">
        <v>1</v>
      </c>
      <c r="D321" s="1">
        <v>38295</v>
      </c>
      <c r="E321" s="1">
        <v>39082</v>
      </c>
      <c r="F321" s="2">
        <f t="shared" si="4"/>
        <v>2.1546885694729636</v>
      </c>
      <c r="G321" s="3">
        <v>2</v>
      </c>
      <c r="H321" s="3">
        <v>1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72.400000000000006</v>
      </c>
      <c r="S321" s="2">
        <v>8.4</v>
      </c>
      <c r="T321" t="s">
        <v>386</v>
      </c>
      <c r="U321" s="3">
        <v>0</v>
      </c>
      <c r="V321" s="3">
        <v>0</v>
      </c>
      <c r="W321" s="3">
        <v>1</v>
      </c>
      <c r="X321" s="3">
        <v>1</v>
      </c>
      <c r="Y321" s="3">
        <v>0</v>
      </c>
      <c r="Z321" s="3">
        <v>0</v>
      </c>
      <c r="AA321" s="3">
        <v>0</v>
      </c>
    </row>
    <row r="322" spans="1:27">
      <c r="A322" t="s">
        <v>387</v>
      </c>
      <c r="B322" s="3">
        <v>1</v>
      </c>
      <c r="C322" s="3">
        <v>1</v>
      </c>
      <c r="D322" s="1">
        <v>38067</v>
      </c>
      <c r="E322" s="1">
        <v>39082</v>
      </c>
      <c r="F322" s="2">
        <f t="shared" si="4"/>
        <v>2.7789185489390826</v>
      </c>
      <c r="G322" s="3">
        <v>2</v>
      </c>
      <c r="H322" s="3">
        <v>1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1</v>
      </c>
      <c r="O322" s="3">
        <v>0</v>
      </c>
      <c r="P322" s="3">
        <v>0</v>
      </c>
      <c r="Q322" s="3">
        <v>0</v>
      </c>
      <c r="R322" s="3">
        <v>72.5</v>
      </c>
      <c r="S322" s="2">
        <v>8.6</v>
      </c>
      <c r="T322" t="s">
        <v>28</v>
      </c>
      <c r="U322" s="3">
        <v>1</v>
      </c>
      <c r="V322" s="3">
        <v>1</v>
      </c>
      <c r="W322" s="3">
        <v>1</v>
      </c>
      <c r="X322" s="3">
        <v>1</v>
      </c>
      <c r="Y322" s="3">
        <v>0</v>
      </c>
      <c r="Z322" s="3">
        <v>0</v>
      </c>
      <c r="AA322" s="3">
        <v>0</v>
      </c>
    </row>
    <row r="323" spans="1:27">
      <c r="A323" t="s">
        <v>388</v>
      </c>
      <c r="B323" s="3">
        <v>3</v>
      </c>
      <c r="C323" s="3">
        <v>1</v>
      </c>
      <c r="D323" s="1">
        <v>37988</v>
      </c>
      <c r="E323" s="1">
        <v>39082</v>
      </c>
      <c r="F323" s="2">
        <f t="shared" ref="F323:F386" si="5">(E323-D323)/365.25</f>
        <v>2.9952087611225187</v>
      </c>
      <c r="G323" s="3">
        <v>2</v>
      </c>
      <c r="H323" s="3">
        <v>1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72.5</v>
      </c>
      <c r="S323" s="2">
        <v>8.4</v>
      </c>
      <c r="T323" t="s">
        <v>28</v>
      </c>
      <c r="U323" s="3">
        <v>0</v>
      </c>
      <c r="V323" s="3">
        <v>1</v>
      </c>
      <c r="W323" s="3">
        <v>1</v>
      </c>
      <c r="X323" s="3">
        <v>0</v>
      </c>
      <c r="Y323" s="3">
        <v>0</v>
      </c>
      <c r="Z323" s="3">
        <v>0</v>
      </c>
      <c r="AA323" s="3">
        <v>0</v>
      </c>
    </row>
    <row r="324" spans="1:27">
      <c r="A324" t="s">
        <v>389</v>
      </c>
      <c r="B324" s="3">
        <v>1</v>
      </c>
      <c r="C324" s="3">
        <v>1</v>
      </c>
      <c r="D324" s="1">
        <v>37888</v>
      </c>
      <c r="E324" s="1">
        <v>39082</v>
      </c>
      <c r="F324" s="2">
        <f t="shared" si="5"/>
        <v>3.268993839835729</v>
      </c>
      <c r="G324" s="3">
        <v>2</v>
      </c>
      <c r="H324" s="3">
        <v>0</v>
      </c>
      <c r="I324" s="3">
        <v>1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72.5</v>
      </c>
      <c r="S324" s="2">
        <v>7.9</v>
      </c>
      <c r="T324" t="s">
        <v>105</v>
      </c>
      <c r="U324" s="3">
        <v>1</v>
      </c>
      <c r="V324" s="3">
        <v>1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</row>
    <row r="325" spans="1:27">
      <c r="A325" t="s">
        <v>390</v>
      </c>
      <c r="B325" s="3">
        <v>1</v>
      </c>
      <c r="C325" s="3">
        <v>1</v>
      </c>
      <c r="D325" s="1">
        <v>38222</v>
      </c>
      <c r="E325" s="1">
        <v>39082</v>
      </c>
      <c r="F325" s="2">
        <f t="shared" si="5"/>
        <v>2.3545516769336072</v>
      </c>
      <c r="G325" s="3">
        <v>1</v>
      </c>
      <c r="H325" s="3">
        <v>1</v>
      </c>
      <c r="I325" s="3">
        <v>1</v>
      </c>
      <c r="J325" s="3">
        <v>0</v>
      </c>
      <c r="K325" s="3">
        <v>0</v>
      </c>
      <c r="L325" s="3">
        <v>0</v>
      </c>
      <c r="M325" s="3">
        <v>0</v>
      </c>
      <c r="N325" s="3">
        <v>1</v>
      </c>
      <c r="O325" s="3">
        <v>1</v>
      </c>
      <c r="P325" s="3">
        <v>1</v>
      </c>
      <c r="Q325" s="3">
        <v>0</v>
      </c>
      <c r="R325" s="3">
        <v>72.5</v>
      </c>
      <c r="S325" s="2">
        <v>9.4</v>
      </c>
      <c r="T325" t="s">
        <v>28</v>
      </c>
      <c r="U325" s="3">
        <v>1</v>
      </c>
      <c r="V325" s="3">
        <v>1</v>
      </c>
      <c r="W325" s="3">
        <v>0</v>
      </c>
      <c r="X325" s="3">
        <v>1</v>
      </c>
      <c r="Y325" s="3">
        <v>0</v>
      </c>
      <c r="Z325" s="3">
        <v>1</v>
      </c>
      <c r="AA325" s="3">
        <v>0</v>
      </c>
    </row>
    <row r="326" spans="1:27">
      <c r="A326" t="s">
        <v>391</v>
      </c>
      <c r="B326" s="3">
        <v>3</v>
      </c>
      <c r="C326" s="3">
        <v>1</v>
      </c>
      <c r="D326" s="1">
        <v>38294</v>
      </c>
      <c r="E326" s="1">
        <v>39082</v>
      </c>
      <c r="F326" s="2">
        <f t="shared" si="5"/>
        <v>2.1574264202600957</v>
      </c>
      <c r="G326" s="3">
        <v>2</v>
      </c>
      <c r="H326" s="3">
        <v>1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1</v>
      </c>
      <c r="O326" s="3">
        <v>0</v>
      </c>
      <c r="P326" s="3">
        <v>1</v>
      </c>
      <c r="Q326" s="3">
        <v>0</v>
      </c>
      <c r="R326" s="3">
        <v>72.599999999999994</v>
      </c>
      <c r="S326" s="2">
        <v>8.1999999999999993</v>
      </c>
      <c r="T326" t="s">
        <v>28</v>
      </c>
      <c r="U326" s="3">
        <v>0</v>
      </c>
      <c r="V326" s="3">
        <v>0</v>
      </c>
      <c r="W326" s="3">
        <v>1</v>
      </c>
      <c r="X326" s="3">
        <v>0</v>
      </c>
      <c r="Y326" s="3">
        <v>0</v>
      </c>
      <c r="Z326" s="3">
        <v>0</v>
      </c>
      <c r="AA326" s="3">
        <v>0</v>
      </c>
    </row>
    <row r="327" spans="1:27">
      <c r="A327" t="s">
        <v>392</v>
      </c>
      <c r="B327" s="3">
        <v>2</v>
      </c>
      <c r="C327" s="3">
        <v>0</v>
      </c>
      <c r="D327" s="1">
        <v>38030</v>
      </c>
      <c r="E327" s="1">
        <v>39082</v>
      </c>
      <c r="F327" s="2">
        <f t="shared" si="5"/>
        <v>2.8802190280629705</v>
      </c>
      <c r="G327" s="3">
        <v>1</v>
      </c>
      <c r="H327" s="3">
        <v>1</v>
      </c>
      <c r="I327" s="3">
        <v>0</v>
      </c>
      <c r="J327" s="3">
        <v>1</v>
      </c>
      <c r="K327" s="3">
        <v>1</v>
      </c>
      <c r="L327" s="3">
        <v>0</v>
      </c>
      <c r="M327" s="3">
        <v>0</v>
      </c>
      <c r="N327" s="3">
        <v>1</v>
      </c>
      <c r="O327" s="3">
        <v>0</v>
      </c>
      <c r="P327" s="3">
        <v>1</v>
      </c>
      <c r="Q327" s="3">
        <v>0</v>
      </c>
      <c r="R327" s="3">
        <v>72.599999999999994</v>
      </c>
      <c r="S327" s="2">
        <v>8</v>
      </c>
      <c r="T327" t="s">
        <v>28</v>
      </c>
      <c r="U327" s="3">
        <v>1</v>
      </c>
      <c r="V327" s="3">
        <v>1</v>
      </c>
      <c r="W327" s="3">
        <v>1</v>
      </c>
      <c r="X327" s="3">
        <v>0</v>
      </c>
      <c r="Y327" s="3">
        <v>1</v>
      </c>
      <c r="Z327" s="3">
        <v>1</v>
      </c>
      <c r="AA327" s="3">
        <v>0</v>
      </c>
    </row>
    <row r="328" spans="1:27">
      <c r="A328" t="s">
        <v>393</v>
      </c>
      <c r="B328" s="3">
        <v>3</v>
      </c>
      <c r="C328" s="3">
        <v>1</v>
      </c>
      <c r="D328" s="1">
        <v>38271</v>
      </c>
      <c r="E328" s="1">
        <v>39082</v>
      </c>
      <c r="F328" s="2">
        <f t="shared" si="5"/>
        <v>2.2203969883641341</v>
      </c>
      <c r="G328" s="3">
        <v>1</v>
      </c>
      <c r="H328" s="3">
        <v>1</v>
      </c>
      <c r="I328" s="3">
        <v>1</v>
      </c>
      <c r="J328" s="3">
        <v>0</v>
      </c>
      <c r="K328" s="3">
        <v>0</v>
      </c>
      <c r="L328" s="3">
        <v>0</v>
      </c>
      <c r="M328" s="3">
        <v>0</v>
      </c>
      <c r="N328" s="3">
        <v>1</v>
      </c>
      <c r="O328" s="3">
        <v>0</v>
      </c>
      <c r="P328" s="3">
        <v>0</v>
      </c>
      <c r="Q328" s="3">
        <v>0</v>
      </c>
      <c r="R328" s="3">
        <v>72.599999999999994</v>
      </c>
      <c r="S328" s="2">
        <v>9.1999999999999993</v>
      </c>
      <c r="T328" t="s">
        <v>28</v>
      </c>
      <c r="U328" s="3">
        <v>0</v>
      </c>
      <c r="V328" s="3">
        <v>1</v>
      </c>
      <c r="W328" s="3">
        <v>1</v>
      </c>
      <c r="X328" s="3">
        <v>1</v>
      </c>
      <c r="Y328" s="3">
        <v>1</v>
      </c>
      <c r="Z328" s="3">
        <v>1</v>
      </c>
      <c r="AA328" s="3">
        <v>0</v>
      </c>
    </row>
    <row r="329" spans="1:27">
      <c r="A329" t="s">
        <v>394</v>
      </c>
      <c r="B329" s="3">
        <v>2</v>
      </c>
      <c r="C329" s="3">
        <v>1</v>
      </c>
      <c r="D329" s="1">
        <v>37582</v>
      </c>
      <c r="E329" s="1">
        <v>39082</v>
      </c>
      <c r="F329" s="2">
        <f t="shared" si="5"/>
        <v>4.1067761806981515</v>
      </c>
      <c r="G329" s="3">
        <v>2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72.7</v>
      </c>
      <c r="S329" s="2">
        <v>7.5</v>
      </c>
      <c r="T329" t="s">
        <v>28</v>
      </c>
      <c r="U329" s="3">
        <v>1</v>
      </c>
      <c r="V329" s="3">
        <v>1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</row>
    <row r="330" spans="1:27">
      <c r="A330" t="s">
        <v>395</v>
      </c>
      <c r="B330" s="3">
        <v>2</v>
      </c>
      <c r="C330" s="3">
        <v>1</v>
      </c>
      <c r="D330" s="1">
        <v>37828</v>
      </c>
      <c r="E330" s="1">
        <v>39082</v>
      </c>
      <c r="F330" s="2">
        <f t="shared" si="5"/>
        <v>3.4332648870636548</v>
      </c>
      <c r="G330" s="3">
        <v>1</v>
      </c>
      <c r="H330" s="3">
        <v>0</v>
      </c>
      <c r="I330" s="3">
        <v>1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72.7</v>
      </c>
      <c r="S330" s="2">
        <v>8.4</v>
      </c>
      <c r="T330" t="s">
        <v>69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1</v>
      </c>
      <c r="AA330" s="3">
        <v>0</v>
      </c>
    </row>
    <row r="331" spans="1:27">
      <c r="A331" t="s">
        <v>396</v>
      </c>
      <c r="B331" s="3">
        <v>1</v>
      </c>
      <c r="C331" s="3">
        <v>0</v>
      </c>
      <c r="D331" s="1">
        <v>37972</v>
      </c>
      <c r="E331" s="1">
        <v>39082</v>
      </c>
      <c r="F331" s="2">
        <f t="shared" si="5"/>
        <v>3.0390143737166326</v>
      </c>
      <c r="G331" s="3">
        <v>1</v>
      </c>
      <c r="H331" s="3">
        <v>1</v>
      </c>
      <c r="I331" s="3">
        <v>1</v>
      </c>
      <c r="J331" s="3">
        <v>0</v>
      </c>
      <c r="K331" s="3">
        <v>0</v>
      </c>
      <c r="L331" s="3">
        <v>0</v>
      </c>
      <c r="M331" s="3">
        <v>0</v>
      </c>
      <c r="N331" s="3">
        <v>1</v>
      </c>
      <c r="O331" s="3">
        <v>0</v>
      </c>
      <c r="P331" s="3">
        <v>1</v>
      </c>
      <c r="Q331" s="3">
        <v>0</v>
      </c>
      <c r="R331" s="3">
        <v>72.8</v>
      </c>
      <c r="S331" s="2">
        <v>8.6</v>
      </c>
      <c r="T331" t="s">
        <v>44</v>
      </c>
      <c r="U331" s="3">
        <v>0</v>
      </c>
      <c r="V331" s="3">
        <v>1</v>
      </c>
      <c r="W331" s="3">
        <v>1</v>
      </c>
      <c r="X331" s="3">
        <v>1</v>
      </c>
      <c r="Y331" s="3">
        <v>0</v>
      </c>
      <c r="Z331" s="3">
        <v>1</v>
      </c>
      <c r="AA331" s="3">
        <v>0</v>
      </c>
    </row>
    <row r="332" spans="1:27">
      <c r="A332" t="s">
        <v>397</v>
      </c>
      <c r="B332" s="3">
        <v>3</v>
      </c>
      <c r="C332" s="3">
        <v>1</v>
      </c>
      <c r="D332" s="1">
        <v>38056</v>
      </c>
      <c r="E332" s="1">
        <v>39082</v>
      </c>
      <c r="F332" s="2">
        <f t="shared" si="5"/>
        <v>2.8090349075975358</v>
      </c>
      <c r="G332" s="3">
        <v>1</v>
      </c>
      <c r="H332" s="3">
        <v>1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72.900000000000006</v>
      </c>
      <c r="S332" s="2">
        <v>8.1999999999999993</v>
      </c>
      <c r="T332" t="s">
        <v>398</v>
      </c>
      <c r="U332" s="3">
        <v>0</v>
      </c>
      <c r="V332" s="3">
        <v>1</v>
      </c>
      <c r="W332" s="3">
        <v>1</v>
      </c>
      <c r="X332" s="3">
        <v>1</v>
      </c>
      <c r="Y332" s="3">
        <v>1</v>
      </c>
      <c r="Z332" s="3">
        <v>1</v>
      </c>
      <c r="AA332" s="3">
        <v>0</v>
      </c>
    </row>
    <row r="333" spans="1:27">
      <c r="A333" t="s">
        <v>399</v>
      </c>
      <c r="B333" s="3">
        <v>1</v>
      </c>
      <c r="C333" s="3">
        <v>1</v>
      </c>
      <c r="D333" s="1">
        <v>38020</v>
      </c>
      <c r="E333" s="1">
        <v>39082</v>
      </c>
      <c r="F333" s="2">
        <f t="shared" si="5"/>
        <v>2.9075975359342916</v>
      </c>
      <c r="G333" s="3">
        <v>1</v>
      </c>
      <c r="H333" s="3">
        <v>0</v>
      </c>
      <c r="I333" s="3">
        <v>1</v>
      </c>
      <c r="J333" s="3">
        <v>0</v>
      </c>
      <c r="K333" s="3">
        <v>0</v>
      </c>
      <c r="L333" s="3">
        <v>0</v>
      </c>
      <c r="M333" s="3">
        <v>0</v>
      </c>
      <c r="N333" s="3">
        <v>1</v>
      </c>
      <c r="O333" s="3">
        <v>0</v>
      </c>
      <c r="P333" s="3">
        <v>0</v>
      </c>
      <c r="Q333" s="3">
        <v>0</v>
      </c>
      <c r="R333" s="3">
        <v>73</v>
      </c>
      <c r="S333" s="2">
        <v>8.6</v>
      </c>
      <c r="T333" t="s">
        <v>28</v>
      </c>
      <c r="U333" s="3">
        <v>1</v>
      </c>
      <c r="V333" s="3">
        <v>1</v>
      </c>
      <c r="W333" s="3">
        <v>0</v>
      </c>
      <c r="X333" s="3">
        <v>0</v>
      </c>
      <c r="Y333" s="3">
        <v>1</v>
      </c>
      <c r="Z333" s="3">
        <v>1</v>
      </c>
      <c r="AA333" s="3">
        <v>0</v>
      </c>
    </row>
    <row r="334" spans="1:27">
      <c r="A334" t="s">
        <v>400</v>
      </c>
      <c r="B334" s="3">
        <v>2</v>
      </c>
      <c r="C334" s="3">
        <v>0</v>
      </c>
      <c r="D334" s="1">
        <v>37790</v>
      </c>
      <c r="E334" s="1">
        <v>39082</v>
      </c>
      <c r="F334" s="2">
        <f t="shared" si="5"/>
        <v>3.5373032169746748</v>
      </c>
      <c r="G334" s="3">
        <v>1</v>
      </c>
      <c r="H334" s="3">
        <v>1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73.099999999999994</v>
      </c>
      <c r="S334" s="2">
        <v>7.7</v>
      </c>
      <c r="T334" t="s">
        <v>401</v>
      </c>
      <c r="U334" s="3">
        <v>0</v>
      </c>
      <c r="V334" s="3">
        <v>1</v>
      </c>
      <c r="W334" s="3">
        <v>1</v>
      </c>
      <c r="X334" s="3">
        <v>1</v>
      </c>
      <c r="Y334" s="3">
        <v>0</v>
      </c>
      <c r="Z334" s="3">
        <v>1</v>
      </c>
      <c r="AA334" s="3">
        <v>0</v>
      </c>
    </row>
    <row r="335" spans="1:27">
      <c r="A335" t="s">
        <v>402</v>
      </c>
      <c r="B335" s="3">
        <v>3</v>
      </c>
      <c r="C335" s="3">
        <v>1</v>
      </c>
      <c r="D335" s="1">
        <v>38020</v>
      </c>
      <c r="E335" s="1">
        <v>39082</v>
      </c>
      <c r="F335" s="2">
        <f t="shared" si="5"/>
        <v>2.9075975359342916</v>
      </c>
      <c r="G335" s="3">
        <v>1</v>
      </c>
      <c r="H335" s="3">
        <v>1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73.099999999999994</v>
      </c>
      <c r="S335" s="2">
        <v>9</v>
      </c>
      <c r="T335" t="s">
        <v>40</v>
      </c>
      <c r="U335" s="3">
        <v>0</v>
      </c>
      <c r="V335" s="3">
        <v>0</v>
      </c>
      <c r="W335" s="3">
        <v>1</v>
      </c>
      <c r="X335" s="3">
        <v>1</v>
      </c>
      <c r="Y335" s="3">
        <v>0</v>
      </c>
      <c r="Z335" s="3">
        <v>1</v>
      </c>
      <c r="AA335" s="3">
        <v>0</v>
      </c>
    </row>
    <row r="336" spans="1:27">
      <c r="A336" t="s">
        <v>403</v>
      </c>
      <c r="B336" s="3">
        <v>2</v>
      </c>
      <c r="C336" s="3">
        <v>1</v>
      </c>
      <c r="D336" s="1">
        <v>38052</v>
      </c>
      <c r="E336" s="1">
        <v>39082</v>
      </c>
      <c r="F336" s="2">
        <f t="shared" si="5"/>
        <v>2.8199863107460645</v>
      </c>
      <c r="G336" s="3">
        <v>2</v>
      </c>
      <c r="H336" s="3">
        <v>1</v>
      </c>
      <c r="I336" s="3">
        <v>0</v>
      </c>
      <c r="J336" s="3">
        <v>0</v>
      </c>
      <c r="K336" s="3">
        <v>0</v>
      </c>
      <c r="L336" s="3">
        <v>0</v>
      </c>
      <c r="M336" s="3">
        <v>0</v>
      </c>
      <c r="N336" s="3">
        <v>1</v>
      </c>
      <c r="O336" s="3">
        <v>0</v>
      </c>
      <c r="P336" s="3">
        <v>1</v>
      </c>
      <c r="Q336" s="3">
        <v>0</v>
      </c>
      <c r="R336" s="3">
        <v>73.099999999999994</v>
      </c>
      <c r="S336" s="2">
        <v>6.7</v>
      </c>
      <c r="T336" t="s">
        <v>28</v>
      </c>
      <c r="U336" s="3">
        <v>1</v>
      </c>
      <c r="V336" s="3">
        <v>1</v>
      </c>
      <c r="W336" s="3">
        <v>1</v>
      </c>
      <c r="X336" s="3">
        <v>1</v>
      </c>
      <c r="Y336" s="3">
        <v>0</v>
      </c>
      <c r="Z336" s="3">
        <v>0</v>
      </c>
      <c r="AA336" s="3">
        <v>0</v>
      </c>
    </row>
    <row r="337" spans="1:27">
      <c r="A337" t="s">
        <v>404</v>
      </c>
      <c r="B337" s="3">
        <v>1</v>
      </c>
      <c r="C337" s="3">
        <v>1</v>
      </c>
      <c r="D337" s="1">
        <v>38015</v>
      </c>
      <c r="E337" s="1">
        <v>39082</v>
      </c>
      <c r="F337" s="2">
        <f t="shared" si="5"/>
        <v>2.9212867898699519</v>
      </c>
      <c r="G337" s="3">
        <v>1</v>
      </c>
      <c r="H337" s="3">
        <v>0</v>
      </c>
      <c r="I337" s="3">
        <v>1</v>
      </c>
      <c r="J337" s="3">
        <v>0</v>
      </c>
      <c r="K337" s="3">
        <v>0</v>
      </c>
      <c r="L337" s="3">
        <v>0</v>
      </c>
      <c r="M337" s="3">
        <v>0</v>
      </c>
      <c r="N337" s="3">
        <v>1</v>
      </c>
      <c r="O337" s="3">
        <v>0</v>
      </c>
      <c r="P337" s="3">
        <v>1</v>
      </c>
      <c r="Q337" s="3">
        <v>0</v>
      </c>
      <c r="R337" s="3">
        <v>73.099999999999994</v>
      </c>
      <c r="S337" s="2">
        <v>8.1999999999999993</v>
      </c>
      <c r="T337" t="s">
        <v>28</v>
      </c>
      <c r="U337" s="3">
        <v>0</v>
      </c>
      <c r="V337" s="3">
        <v>1</v>
      </c>
      <c r="W337" s="3">
        <v>0</v>
      </c>
      <c r="X337" s="3">
        <v>0</v>
      </c>
      <c r="Y337" s="3">
        <v>0</v>
      </c>
      <c r="Z337" s="3">
        <v>1</v>
      </c>
      <c r="AA337" s="3">
        <v>0</v>
      </c>
    </row>
    <row r="338" spans="1:27">
      <c r="A338" t="s">
        <v>405</v>
      </c>
      <c r="B338" s="3">
        <v>1</v>
      </c>
      <c r="C338" s="3">
        <v>0</v>
      </c>
      <c r="D338" s="1">
        <v>37683</v>
      </c>
      <c r="E338" s="1">
        <v>39082</v>
      </c>
      <c r="F338" s="2">
        <f t="shared" si="5"/>
        <v>3.8302532511978096</v>
      </c>
      <c r="G338" s="3">
        <v>2</v>
      </c>
      <c r="H338" s="3">
        <v>1</v>
      </c>
      <c r="I338" s="3">
        <v>1</v>
      </c>
      <c r="J338" s="3">
        <v>0</v>
      </c>
      <c r="K338" s="3">
        <v>0</v>
      </c>
      <c r="L338" s="3">
        <v>0</v>
      </c>
      <c r="M338" s="3">
        <v>0</v>
      </c>
      <c r="N338" s="3">
        <v>1</v>
      </c>
      <c r="O338" s="3">
        <v>0</v>
      </c>
      <c r="P338" s="3">
        <v>1</v>
      </c>
      <c r="Q338" s="3">
        <v>0</v>
      </c>
      <c r="R338" s="3">
        <v>73.099999999999994</v>
      </c>
      <c r="S338" s="2">
        <v>7.6</v>
      </c>
      <c r="T338" t="s">
        <v>28</v>
      </c>
      <c r="U338" s="3">
        <v>1</v>
      </c>
      <c r="V338" s="3">
        <v>1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</row>
    <row r="339" spans="1:27">
      <c r="A339" t="s">
        <v>406</v>
      </c>
      <c r="B339" s="3">
        <v>1</v>
      </c>
      <c r="C339" s="3">
        <v>1</v>
      </c>
      <c r="D339" s="1">
        <v>38076</v>
      </c>
      <c r="E339" s="1">
        <v>39082</v>
      </c>
      <c r="F339" s="2">
        <f t="shared" si="5"/>
        <v>2.754277891854894</v>
      </c>
      <c r="G339" s="3">
        <v>1</v>
      </c>
      <c r="H339" s="3">
        <v>1</v>
      </c>
      <c r="I339" s="3">
        <v>0</v>
      </c>
      <c r="J339" s="3">
        <v>0</v>
      </c>
      <c r="K339" s="3">
        <v>1</v>
      </c>
      <c r="L339" s="3">
        <v>0</v>
      </c>
      <c r="M339" s="3">
        <v>0</v>
      </c>
      <c r="N339" s="3">
        <v>1</v>
      </c>
      <c r="O339" s="3">
        <v>0</v>
      </c>
      <c r="P339" s="3">
        <v>1</v>
      </c>
      <c r="Q339" s="3">
        <v>0</v>
      </c>
      <c r="R339" s="3">
        <v>73.2</v>
      </c>
      <c r="S339" s="2">
        <v>8.1999999999999993</v>
      </c>
      <c r="T339" t="s">
        <v>28</v>
      </c>
      <c r="U339" s="3">
        <v>1</v>
      </c>
      <c r="V339" s="3">
        <v>1</v>
      </c>
      <c r="W339" s="3">
        <v>0</v>
      </c>
      <c r="X339" s="3">
        <v>0</v>
      </c>
      <c r="Y339" s="3">
        <v>0</v>
      </c>
      <c r="Z339" s="3">
        <v>1</v>
      </c>
      <c r="AA339" s="3">
        <v>0</v>
      </c>
    </row>
    <row r="340" spans="1:27">
      <c r="A340" t="s">
        <v>407</v>
      </c>
      <c r="B340" s="3">
        <v>1</v>
      </c>
      <c r="C340" s="3">
        <v>1</v>
      </c>
      <c r="D340" s="1">
        <v>38058</v>
      </c>
      <c r="E340" s="1">
        <v>39082</v>
      </c>
      <c r="F340" s="2">
        <f t="shared" si="5"/>
        <v>2.8035592060232717</v>
      </c>
      <c r="G340" s="3">
        <v>1</v>
      </c>
      <c r="H340" s="3">
        <v>1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1</v>
      </c>
      <c r="O340" s="3">
        <v>1</v>
      </c>
      <c r="P340" s="3">
        <v>0</v>
      </c>
      <c r="Q340" s="3">
        <v>0</v>
      </c>
      <c r="R340" s="3">
        <v>73.2</v>
      </c>
      <c r="S340" s="2">
        <v>7.3</v>
      </c>
      <c r="T340" t="s">
        <v>92</v>
      </c>
      <c r="U340" s="3">
        <v>1</v>
      </c>
      <c r="V340" s="3">
        <v>1</v>
      </c>
      <c r="W340" s="3">
        <v>0</v>
      </c>
      <c r="X340" s="3">
        <v>0</v>
      </c>
      <c r="Y340" s="3">
        <v>0</v>
      </c>
      <c r="Z340" s="3">
        <v>1</v>
      </c>
      <c r="AA340" s="3">
        <v>0</v>
      </c>
    </row>
    <row r="341" spans="1:27">
      <c r="A341" t="s">
        <v>408</v>
      </c>
      <c r="B341" s="3">
        <v>1</v>
      </c>
      <c r="C341" s="3">
        <v>0</v>
      </c>
      <c r="D341" s="1">
        <v>37970</v>
      </c>
      <c r="E341" s="1">
        <v>39082</v>
      </c>
      <c r="F341" s="2">
        <f t="shared" si="5"/>
        <v>3.0444900752908968</v>
      </c>
      <c r="G341" s="3">
        <v>2</v>
      </c>
      <c r="H341" s="3">
        <v>0</v>
      </c>
      <c r="I341" s="3">
        <v>1</v>
      </c>
      <c r="J341" s="3">
        <v>0</v>
      </c>
      <c r="K341" s="3">
        <v>0</v>
      </c>
      <c r="L341" s="3">
        <v>0</v>
      </c>
      <c r="M341" s="3">
        <v>0</v>
      </c>
      <c r="N341" s="3">
        <v>1</v>
      </c>
      <c r="O341" s="3">
        <v>0</v>
      </c>
      <c r="P341" s="3">
        <v>0</v>
      </c>
      <c r="Q341" s="3">
        <v>0</v>
      </c>
      <c r="R341" s="3">
        <v>73.3</v>
      </c>
      <c r="S341" s="2">
        <v>8.3000000000000007</v>
      </c>
      <c r="T341" t="s">
        <v>44</v>
      </c>
      <c r="U341" s="3">
        <v>0</v>
      </c>
      <c r="V341" s="3">
        <v>1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</row>
    <row r="342" spans="1:27">
      <c r="A342" t="s">
        <v>409</v>
      </c>
      <c r="B342" s="3">
        <v>1</v>
      </c>
      <c r="C342" s="3">
        <v>0</v>
      </c>
      <c r="D342" s="1">
        <v>38157</v>
      </c>
      <c r="E342" s="1">
        <v>39082</v>
      </c>
      <c r="F342" s="2">
        <f t="shared" si="5"/>
        <v>2.5325119780971939</v>
      </c>
      <c r="G342" s="3">
        <v>1</v>
      </c>
      <c r="H342" s="3">
        <v>0</v>
      </c>
      <c r="I342" s="3">
        <v>0</v>
      </c>
      <c r="J342" s="3">
        <v>0</v>
      </c>
      <c r="K342" s="3">
        <v>0</v>
      </c>
      <c r="L342" s="3">
        <v>1</v>
      </c>
      <c r="M342" s="3">
        <v>0</v>
      </c>
      <c r="N342" s="3">
        <v>1</v>
      </c>
      <c r="O342" s="3">
        <v>0</v>
      </c>
      <c r="P342" s="3">
        <v>0</v>
      </c>
      <c r="Q342" s="3">
        <v>0</v>
      </c>
      <c r="R342" s="3">
        <v>73.5</v>
      </c>
      <c r="S342" s="2">
        <v>9</v>
      </c>
      <c r="T342" t="s">
        <v>28</v>
      </c>
      <c r="U342" s="3">
        <v>1</v>
      </c>
      <c r="V342" s="3">
        <v>1</v>
      </c>
      <c r="W342" s="3">
        <v>0</v>
      </c>
      <c r="X342" s="3">
        <v>0</v>
      </c>
      <c r="Y342" s="3">
        <v>0</v>
      </c>
      <c r="Z342" s="3">
        <v>1</v>
      </c>
      <c r="AA342" s="3">
        <v>0</v>
      </c>
    </row>
    <row r="343" spans="1:27">
      <c r="A343" t="s">
        <v>410</v>
      </c>
      <c r="B343" s="3">
        <v>1</v>
      </c>
      <c r="C343" s="3">
        <v>1</v>
      </c>
      <c r="D343" s="1">
        <v>37889</v>
      </c>
      <c r="E343" s="1">
        <v>39082</v>
      </c>
      <c r="F343" s="2">
        <f t="shared" si="5"/>
        <v>3.2662559890485969</v>
      </c>
      <c r="G343" s="3">
        <v>2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1</v>
      </c>
      <c r="O343" s="3">
        <v>1</v>
      </c>
      <c r="P343" s="3">
        <v>1</v>
      </c>
      <c r="Q343" s="3">
        <v>0</v>
      </c>
      <c r="R343" s="3">
        <v>73.5</v>
      </c>
      <c r="S343" s="2">
        <v>8.1999999999999993</v>
      </c>
      <c r="T343" t="s">
        <v>411</v>
      </c>
      <c r="U343" s="3">
        <v>1</v>
      </c>
      <c r="V343" s="3">
        <v>1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</row>
    <row r="344" spans="1:27">
      <c r="A344" t="s">
        <v>412</v>
      </c>
      <c r="B344" s="3">
        <v>3</v>
      </c>
      <c r="C344" s="3">
        <v>1</v>
      </c>
      <c r="D344" s="1">
        <v>38173</v>
      </c>
      <c r="E344" s="1">
        <v>39082</v>
      </c>
      <c r="F344" s="2">
        <f t="shared" si="5"/>
        <v>2.4887063655030799</v>
      </c>
      <c r="G344" s="3">
        <v>1</v>
      </c>
      <c r="H344" s="3">
        <v>1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73.5</v>
      </c>
      <c r="S344" s="2">
        <v>8.4</v>
      </c>
      <c r="T344" t="s">
        <v>28</v>
      </c>
      <c r="U344" s="3">
        <v>0</v>
      </c>
      <c r="V344" s="3">
        <v>1</v>
      </c>
      <c r="W344" s="3">
        <v>0</v>
      </c>
      <c r="X344" s="3">
        <v>0</v>
      </c>
      <c r="Y344" s="3">
        <v>0</v>
      </c>
      <c r="Z344" s="3">
        <v>1</v>
      </c>
      <c r="AA344" s="3">
        <v>0</v>
      </c>
    </row>
    <row r="345" spans="1:27">
      <c r="A345" t="s">
        <v>413</v>
      </c>
      <c r="B345" s="3">
        <v>3</v>
      </c>
      <c r="C345" s="3">
        <v>1</v>
      </c>
      <c r="D345" s="1">
        <v>38264</v>
      </c>
      <c r="E345" s="1">
        <v>39082</v>
      </c>
      <c r="F345" s="2">
        <f t="shared" si="5"/>
        <v>2.239561943874059</v>
      </c>
      <c r="G345" s="3">
        <v>2</v>
      </c>
      <c r="H345" s="3">
        <v>1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73.5</v>
      </c>
      <c r="S345" s="2">
        <v>8.6</v>
      </c>
      <c r="T345" t="s">
        <v>28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</row>
    <row r="346" spans="1:27">
      <c r="A346" t="s">
        <v>414</v>
      </c>
      <c r="B346" s="3">
        <v>1</v>
      </c>
      <c r="C346" s="3">
        <v>0</v>
      </c>
      <c r="D346" s="1">
        <v>37840</v>
      </c>
      <c r="E346" s="1">
        <v>39082</v>
      </c>
      <c r="F346" s="2">
        <f t="shared" si="5"/>
        <v>3.40041067761807</v>
      </c>
      <c r="G346" s="3">
        <v>2</v>
      </c>
      <c r="H346" s="3">
        <v>1</v>
      </c>
      <c r="I346" s="3">
        <v>1</v>
      </c>
      <c r="J346" s="3">
        <v>0</v>
      </c>
      <c r="K346" s="3">
        <v>0</v>
      </c>
      <c r="L346" s="3">
        <v>0</v>
      </c>
      <c r="M346" s="3">
        <v>0</v>
      </c>
      <c r="N346" s="3">
        <v>1</v>
      </c>
      <c r="O346" s="3">
        <v>0</v>
      </c>
      <c r="P346" s="3">
        <v>0</v>
      </c>
      <c r="Q346" s="3">
        <v>0</v>
      </c>
      <c r="R346" s="3">
        <v>73.5</v>
      </c>
      <c r="S346" s="2">
        <v>9</v>
      </c>
      <c r="T346" t="s">
        <v>44</v>
      </c>
      <c r="U346" s="3">
        <v>1</v>
      </c>
      <c r="V346" s="3">
        <v>1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</row>
    <row r="347" spans="1:27">
      <c r="A347" t="s">
        <v>415</v>
      </c>
      <c r="B347" s="3">
        <v>1</v>
      </c>
      <c r="C347" s="3">
        <v>1</v>
      </c>
      <c r="D347" s="1">
        <v>38044</v>
      </c>
      <c r="E347" s="1">
        <v>39082</v>
      </c>
      <c r="F347" s="2">
        <f t="shared" si="5"/>
        <v>2.8418891170431211</v>
      </c>
      <c r="G347" s="3">
        <v>1</v>
      </c>
      <c r="H347" s="3">
        <v>1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1</v>
      </c>
      <c r="P347" s="3">
        <v>1</v>
      </c>
      <c r="Q347" s="3">
        <v>0</v>
      </c>
      <c r="R347" s="3">
        <v>73.599999999999994</v>
      </c>
      <c r="S347" s="2">
        <v>8.4</v>
      </c>
      <c r="T347" t="s">
        <v>28</v>
      </c>
      <c r="U347" s="3">
        <v>0</v>
      </c>
      <c r="V347" s="3">
        <v>0</v>
      </c>
      <c r="W347" s="3">
        <v>0</v>
      </c>
      <c r="X347" s="3">
        <v>1</v>
      </c>
      <c r="Y347" s="3">
        <v>0</v>
      </c>
      <c r="Z347" s="3">
        <v>1</v>
      </c>
      <c r="AA347" s="3">
        <v>0</v>
      </c>
    </row>
    <row r="348" spans="1:27">
      <c r="A348" t="s">
        <v>416</v>
      </c>
      <c r="B348" s="3">
        <v>2</v>
      </c>
      <c r="C348" s="3">
        <v>1</v>
      </c>
      <c r="D348" s="1">
        <v>37988</v>
      </c>
      <c r="E348" s="1">
        <v>39082</v>
      </c>
      <c r="F348" s="2">
        <f t="shared" si="5"/>
        <v>2.9952087611225187</v>
      </c>
      <c r="G348" s="3">
        <v>1</v>
      </c>
      <c r="H348" s="3">
        <v>1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73.599999999999994</v>
      </c>
      <c r="S348" s="2">
        <v>7.6</v>
      </c>
      <c r="T348" t="s">
        <v>44</v>
      </c>
      <c r="U348" s="3">
        <v>1</v>
      </c>
      <c r="V348" s="3">
        <v>1</v>
      </c>
      <c r="W348" s="3">
        <v>0</v>
      </c>
      <c r="X348" s="3">
        <v>0</v>
      </c>
      <c r="Y348" s="3">
        <v>0</v>
      </c>
      <c r="Z348" s="3">
        <v>1</v>
      </c>
      <c r="AA348" s="3">
        <v>0</v>
      </c>
    </row>
    <row r="349" spans="1:27">
      <c r="A349" t="s">
        <v>417</v>
      </c>
      <c r="B349" s="3">
        <v>3</v>
      </c>
      <c r="C349" s="3">
        <v>0</v>
      </c>
      <c r="D349" s="1">
        <v>37920</v>
      </c>
      <c r="E349" s="1">
        <v>39082</v>
      </c>
      <c r="F349" s="2">
        <f t="shared" si="5"/>
        <v>3.1813826146475015</v>
      </c>
      <c r="G349" s="3">
        <v>2</v>
      </c>
      <c r="H349" s="3">
        <v>1</v>
      </c>
      <c r="I349" s="3">
        <v>0</v>
      </c>
      <c r="J349" s="3">
        <v>0</v>
      </c>
      <c r="K349" s="3">
        <v>0</v>
      </c>
      <c r="L349" s="3">
        <v>0</v>
      </c>
      <c r="M349" s="3">
        <v>1</v>
      </c>
      <c r="N349" s="3">
        <v>1</v>
      </c>
      <c r="O349" s="3">
        <v>1</v>
      </c>
      <c r="P349" s="3">
        <v>0</v>
      </c>
      <c r="Q349" s="3">
        <v>0</v>
      </c>
      <c r="R349" s="3">
        <v>73.599999999999994</v>
      </c>
      <c r="S349" s="2">
        <v>8</v>
      </c>
      <c r="T349" t="s">
        <v>28</v>
      </c>
      <c r="U349" s="3">
        <v>0</v>
      </c>
      <c r="V349" s="3">
        <v>1</v>
      </c>
      <c r="W349" s="3">
        <v>1</v>
      </c>
      <c r="X349" s="3">
        <v>1</v>
      </c>
      <c r="Y349" s="3">
        <v>1</v>
      </c>
      <c r="Z349" s="3">
        <v>0</v>
      </c>
      <c r="AA349" s="3">
        <v>0</v>
      </c>
    </row>
    <row r="350" spans="1:27">
      <c r="A350" t="s">
        <v>418</v>
      </c>
      <c r="B350" s="3">
        <v>2</v>
      </c>
      <c r="C350" s="3">
        <v>1</v>
      </c>
      <c r="D350" s="1">
        <v>37946</v>
      </c>
      <c r="E350" s="1">
        <v>39082</v>
      </c>
      <c r="F350" s="2">
        <f t="shared" si="5"/>
        <v>3.1101984941820673</v>
      </c>
      <c r="G350" s="3">
        <v>2</v>
      </c>
      <c r="H350" s="3">
        <v>1</v>
      </c>
      <c r="I350" s="3">
        <v>0</v>
      </c>
      <c r="J350" s="3">
        <v>0</v>
      </c>
      <c r="K350" s="3">
        <v>0</v>
      </c>
      <c r="L350" s="3">
        <v>0</v>
      </c>
      <c r="M350" s="3">
        <v>0</v>
      </c>
      <c r="N350" s="3">
        <v>1</v>
      </c>
      <c r="O350" s="3">
        <v>1</v>
      </c>
      <c r="P350" s="3">
        <v>1</v>
      </c>
      <c r="Q350" s="3">
        <v>0</v>
      </c>
      <c r="R350" s="3">
        <v>73.599999999999994</v>
      </c>
      <c r="S350" s="2">
        <v>7.7</v>
      </c>
      <c r="T350" t="s">
        <v>188</v>
      </c>
      <c r="U350" s="3">
        <v>1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</row>
    <row r="351" spans="1:27">
      <c r="A351" t="s">
        <v>419</v>
      </c>
      <c r="B351" s="3">
        <v>3</v>
      </c>
      <c r="C351" s="3">
        <v>1</v>
      </c>
      <c r="D351" s="1">
        <v>38306</v>
      </c>
      <c r="E351" s="1">
        <v>39082</v>
      </c>
      <c r="F351" s="2">
        <f t="shared" si="5"/>
        <v>2.1245722108145104</v>
      </c>
      <c r="G351" s="3">
        <v>1</v>
      </c>
      <c r="H351" s="3">
        <v>1</v>
      </c>
      <c r="I351" s="3">
        <v>0</v>
      </c>
      <c r="J351" s="3">
        <v>1</v>
      </c>
      <c r="K351" s="3">
        <v>0</v>
      </c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73.599999999999994</v>
      </c>
      <c r="S351" s="2">
        <v>8.5</v>
      </c>
      <c r="T351" t="s">
        <v>28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1</v>
      </c>
      <c r="AA351" s="3">
        <v>0</v>
      </c>
    </row>
    <row r="352" spans="1:27">
      <c r="A352" t="s">
        <v>420</v>
      </c>
      <c r="B352" s="3">
        <v>3</v>
      </c>
      <c r="C352" s="3">
        <v>1</v>
      </c>
      <c r="D352" s="1">
        <v>38101</v>
      </c>
      <c r="E352" s="1">
        <v>39082</v>
      </c>
      <c r="F352" s="2">
        <f t="shared" si="5"/>
        <v>2.6858316221765914</v>
      </c>
      <c r="G352" s="3">
        <v>2</v>
      </c>
      <c r="H352" s="3">
        <v>1</v>
      </c>
      <c r="I352" s="3">
        <v>0</v>
      </c>
      <c r="J352" s="3">
        <v>1</v>
      </c>
      <c r="K352" s="3">
        <v>1</v>
      </c>
      <c r="L352" s="3">
        <v>1</v>
      </c>
      <c r="M352" s="3">
        <v>0</v>
      </c>
      <c r="N352" s="3">
        <v>1</v>
      </c>
      <c r="O352" s="3">
        <v>0</v>
      </c>
      <c r="P352" s="3">
        <v>1</v>
      </c>
      <c r="Q352" s="3">
        <v>0</v>
      </c>
      <c r="R352" s="3">
        <v>73.599999999999994</v>
      </c>
      <c r="S352" s="2">
        <v>9.8000000000000007</v>
      </c>
      <c r="T352" t="s">
        <v>28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</row>
    <row r="353" spans="1:27">
      <c r="A353" t="s">
        <v>421</v>
      </c>
      <c r="B353" s="3">
        <v>3</v>
      </c>
      <c r="C353" s="3">
        <v>1</v>
      </c>
      <c r="D353" s="1">
        <v>38023</v>
      </c>
      <c r="E353" s="1">
        <v>39082</v>
      </c>
      <c r="F353" s="2">
        <f t="shared" si="5"/>
        <v>2.8993839835728954</v>
      </c>
      <c r="G353" s="3">
        <v>1</v>
      </c>
      <c r="H353" s="3">
        <v>1</v>
      </c>
      <c r="I353" s="3">
        <v>0</v>
      </c>
      <c r="J353" s="3">
        <v>0</v>
      </c>
      <c r="K353" s="3">
        <v>0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73.7</v>
      </c>
      <c r="S353" s="2">
        <v>9</v>
      </c>
      <c r="T353" t="s">
        <v>28</v>
      </c>
      <c r="U353" s="3">
        <v>0</v>
      </c>
      <c r="V353" s="3">
        <v>0</v>
      </c>
      <c r="W353" s="3">
        <v>0</v>
      </c>
      <c r="X353" s="3">
        <v>1</v>
      </c>
      <c r="Y353" s="3">
        <v>1</v>
      </c>
      <c r="Z353" s="3">
        <v>1</v>
      </c>
      <c r="AA353" s="3">
        <v>0</v>
      </c>
    </row>
    <row r="354" spans="1:27">
      <c r="A354" t="s">
        <v>422</v>
      </c>
      <c r="B354" s="3">
        <v>3</v>
      </c>
      <c r="C354" s="3">
        <v>1</v>
      </c>
      <c r="D354" s="1">
        <v>38027</v>
      </c>
      <c r="E354" s="1">
        <v>39082</v>
      </c>
      <c r="F354" s="2">
        <f t="shared" si="5"/>
        <v>2.8884325804243667</v>
      </c>
      <c r="G354" s="3">
        <v>1</v>
      </c>
      <c r="H354" s="3">
        <v>0</v>
      </c>
      <c r="I354" s="3">
        <v>0</v>
      </c>
      <c r="J354" s="3">
        <v>1</v>
      </c>
      <c r="K354" s="3">
        <v>0</v>
      </c>
      <c r="L354" s="3">
        <v>0</v>
      </c>
      <c r="M354" s="3">
        <v>0</v>
      </c>
      <c r="N354" s="3">
        <v>1</v>
      </c>
      <c r="O354" s="3">
        <v>0</v>
      </c>
      <c r="P354" s="3">
        <v>1</v>
      </c>
      <c r="Q354" s="3">
        <v>0</v>
      </c>
      <c r="R354" s="3">
        <v>73.7</v>
      </c>
      <c r="S354" s="2">
        <v>9.8000000000000007</v>
      </c>
      <c r="T354" t="s">
        <v>28</v>
      </c>
      <c r="U354" s="3">
        <v>0</v>
      </c>
      <c r="V354" s="3">
        <v>0</v>
      </c>
      <c r="W354" s="3">
        <v>1</v>
      </c>
      <c r="X354" s="3">
        <v>1</v>
      </c>
      <c r="Y354" s="3">
        <v>0</v>
      </c>
      <c r="Z354" s="3">
        <v>1</v>
      </c>
      <c r="AA354" s="3">
        <v>0</v>
      </c>
    </row>
    <row r="355" spans="1:27">
      <c r="A355" t="s">
        <v>423</v>
      </c>
      <c r="B355" s="3">
        <v>3</v>
      </c>
      <c r="C355" s="3">
        <v>0</v>
      </c>
      <c r="D355" s="1">
        <v>37742</v>
      </c>
      <c r="E355" s="1">
        <v>39082</v>
      </c>
      <c r="F355" s="2">
        <f t="shared" si="5"/>
        <v>3.6687200547570158</v>
      </c>
      <c r="G355" s="3">
        <v>1</v>
      </c>
      <c r="H355" s="3">
        <v>1</v>
      </c>
      <c r="I355" s="3">
        <v>1</v>
      </c>
      <c r="J355" s="3">
        <v>1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1</v>
      </c>
      <c r="Q355" s="3">
        <v>0</v>
      </c>
      <c r="R355" s="3">
        <v>73.8</v>
      </c>
      <c r="S355" s="2">
        <v>9.5</v>
      </c>
      <c r="T355" t="s">
        <v>28</v>
      </c>
      <c r="U355" s="3">
        <v>1</v>
      </c>
      <c r="V355" s="3">
        <v>1</v>
      </c>
      <c r="W355" s="3">
        <v>1</v>
      </c>
      <c r="X355" s="3">
        <v>1</v>
      </c>
      <c r="Y355" s="3">
        <v>1</v>
      </c>
      <c r="Z355" s="3">
        <v>1</v>
      </c>
      <c r="AA355" s="3">
        <v>0</v>
      </c>
    </row>
    <row r="356" spans="1:27">
      <c r="A356" t="s">
        <v>424</v>
      </c>
      <c r="B356" s="3">
        <v>1</v>
      </c>
      <c r="C356" s="3">
        <v>1</v>
      </c>
      <c r="D356" s="1">
        <v>38082</v>
      </c>
      <c r="E356" s="1">
        <v>39082</v>
      </c>
      <c r="F356" s="2">
        <f t="shared" si="5"/>
        <v>2.7378507871321012</v>
      </c>
      <c r="G356" s="3">
        <v>1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74</v>
      </c>
      <c r="S356" s="2">
        <v>9.3000000000000007</v>
      </c>
      <c r="T356" t="s">
        <v>44</v>
      </c>
      <c r="U356" s="3">
        <v>1</v>
      </c>
      <c r="V356" s="3">
        <v>1</v>
      </c>
      <c r="W356" s="3">
        <v>0</v>
      </c>
      <c r="X356" s="3">
        <v>0</v>
      </c>
      <c r="Y356" s="3">
        <v>0</v>
      </c>
      <c r="Z356" s="3">
        <v>1</v>
      </c>
      <c r="AA356" s="3">
        <v>0</v>
      </c>
    </row>
    <row r="357" spans="1:27">
      <c r="A357" t="s">
        <v>425</v>
      </c>
      <c r="B357" s="3">
        <v>1</v>
      </c>
      <c r="C357" s="3">
        <v>0</v>
      </c>
      <c r="D357" s="1">
        <v>37904</v>
      </c>
      <c r="E357" s="1">
        <v>39082</v>
      </c>
      <c r="F357" s="2">
        <f t="shared" si="5"/>
        <v>3.2251882272416155</v>
      </c>
      <c r="G357" s="3">
        <v>2</v>
      </c>
      <c r="H357" s="3">
        <v>1</v>
      </c>
      <c r="I357" s="3">
        <v>0</v>
      </c>
      <c r="J357" s="3">
        <v>0</v>
      </c>
      <c r="K357" s="3">
        <v>1</v>
      </c>
      <c r="L357" s="3">
        <v>0</v>
      </c>
      <c r="M357" s="3">
        <v>0</v>
      </c>
      <c r="N357" s="3">
        <v>1</v>
      </c>
      <c r="O357" s="3">
        <v>0</v>
      </c>
      <c r="P357" s="3">
        <v>1</v>
      </c>
      <c r="Q357" s="3">
        <v>0</v>
      </c>
      <c r="R357" s="3">
        <v>74</v>
      </c>
      <c r="S357" s="2">
        <v>10</v>
      </c>
      <c r="T357" t="s">
        <v>426</v>
      </c>
      <c r="U357" s="3">
        <v>1</v>
      </c>
      <c r="V357" s="3">
        <v>1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</row>
    <row r="358" spans="1:27">
      <c r="A358" t="s">
        <v>427</v>
      </c>
      <c r="B358" s="3">
        <v>1</v>
      </c>
      <c r="C358" s="3">
        <v>0</v>
      </c>
      <c r="D358" s="1">
        <v>37865</v>
      </c>
      <c r="E358" s="1">
        <v>39082</v>
      </c>
      <c r="F358" s="2">
        <f t="shared" si="5"/>
        <v>3.3319644079397674</v>
      </c>
      <c r="G358" s="3">
        <v>2</v>
      </c>
      <c r="H358" s="3">
        <v>0</v>
      </c>
      <c r="I358" s="3">
        <v>0</v>
      </c>
      <c r="J358" s="3">
        <v>1</v>
      </c>
      <c r="K358" s="3">
        <v>0</v>
      </c>
      <c r="L358" s="3">
        <v>0</v>
      </c>
      <c r="M358" s="3">
        <v>0</v>
      </c>
      <c r="N358" s="3">
        <v>1</v>
      </c>
      <c r="O358" s="3">
        <v>0</v>
      </c>
      <c r="P358" s="3">
        <v>1</v>
      </c>
      <c r="Q358" s="3">
        <v>0</v>
      </c>
      <c r="R358" s="3">
        <v>74</v>
      </c>
      <c r="S358" s="2">
        <v>8.6999999999999993</v>
      </c>
      <c r="T358" t="s">
        <v>82</v>
      </c>
      <c r="U358" s="3">
        <v>1</v>
      </c>
      <c r="V358" s="3">
        <v>1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</row>
    <row r="359" spans="1:27">
      <c r="A359" t="s">
        <v>428</v>
      </c>
      <c r="B359" s="3">
        <v>1</v>
      </c>
      <c r="C359" s="3">
        <v>1</v>
      </c>
      <c r="D359" s="1">
        <v>37862</v>
      </c>
      <c r="E359" s="1">
        <v>39082</v>
      </c>
      <c r="F359" s="2">
        <f t="shared" si="5"/>
        <v>3.3401779603011637</v>
      </c>
      <c r="G359" s="3">
        <v>2</v>
      </c>
      <c r="H359" s="3">
        <v>0</v>
      </c>
      <c r="I359" s="3">
        <v>1</v>
      </c>
      <c r="J359" s="3">
        <v>0</v>
      </c>
      <c r="K359" s="3">
        <v>0</v>
      </c>
      <c r="L359" s="3">
        <v>0</v>
      </c>
      <c r="M359" s="3">
        <v>0</v>
      </c>
      <c r="N359" s="3">
        <v>1</v>
      </c>
      <c r="O359" s="3">
        <v>0</v>
      </c>
      <c r="P359" s="3">
        <v>0</v>
      </c>
      <c r="Q359" s="3">
        <v>0</v>
      </c>
      <c r="R359" s="3">
        <v>74</v>
      </c>
      <c r="S359" s="2">
        <v>8</v>
      </c>
      <c r="T359" t="s">
        <v>28</v>
      </c>
      <c r="U359" s="3">
        <v>1</v>
      </c>
      <c r="V359" s="3">
        <v>1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</row>
    <row r="360" spans="1:27">
      <c r="A360" t="s">
        <v>429</v>
      </c>
      <c r="B360" s="3">
        <v>3</v>
      </c>
      <c r="C360" s="3">
        <v>1</v>
      </c>
      <c r="D360" s="1">
        <v>37895</v>
      </c>
      <c r="E360" s="1">
        <v>39082</v>
      </c>
      <c r="F360" s="2">
        <f t="shared" si="5"/>
        <v>3.2498288843258041</v>
      </c>
      <c r="G360" s="3">
        <v>1</v>
      </c>
      <c r="H360" s="3">
        <v>1</v>
      </c>
      <c r="I360" s="3">
        <v>0</v>
      </c>
      <c r="J360" s="3">
        <v>1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1</v>
      </c>
      <c r="Q360" s="3">
        <v>0</v>
      </c>
      <c r="R360" s="3">
        <v>74.099999999999994</v>
      </c>
      <c r="S360" s="2">
        <v>9.6</v>
      </c>
      <c r="T360" t="s">
        <v>28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1</v>
      </c>
      <c r="AA360" s="3">
        <v>0</v>
      </c>
    </row>
    <row r="361" spans="1:27">
      <c r="A361" t="s">
        <v>430</v>
      </c>
      <c r="B361" s="3">
        <v>2</v>
      </c>
      <c r="C361" s="3">
        <v>1</v>
      </c>
      <c r="D361" s="1">
        <v>37923</v>
      </c>
      <c r="E361" s="1">
        <v>39082</v>
      </c>
      <c r="F361" s="2">
        <f t="shared" si="5"/>
        <v>3.1731690622861053</v>
      </c>
      <c r="G361" s="3">
        <v>1</v>
      </c>
      <c r="H361" s="3">
        <v>1</v>
      </c>
      <c r="I361" s="3">
        <v>0</v>
      </c>
      <c r="J361" s="3">
        <v>0</v>
      </c>
      <c r="K361" s="3">
        <v>1</v>
      </c>
      <c r="L361" s="3">
        <v>0</v>
      </c>
      <c r="M361" s="3">
        <v>1</v>
      </c>
      <c r="N361" s="3">
        <v>1</v>
      </c>
      <c r="O361" s="3">
        <v>0</v>
      </c>
      <c r="P361" s="3">
        <v>0</v>
      </c>
      <c r="Q361" s="3">
        <v>0</v>
      </c>
      <c r="R361" s="3">
        <v>74.2</v>
      </c>
      <c r="S361" s="2">
        <v>8.1</v>
      </c>
      <c r="T361" t="s">
        <v>69</v>
      </c>
      <c r="U361" s="3">
        <v>1</v>
      </c>
      <c r="V361" s="3">
        <v>1</v>
      </c>
      <c r="W361" s="3">
        <v>0</v>
      </c>
      <c r="X361" s="3">
        <v>1</v>
      </c>
      <c r="Y361" s="3">
        <v>0</v>
      </c>
      <c r="Z361" s="3">
        <v>1</v>
      </c>
      <c r="AA361" s="3">
        <v>0</v>
      </c>
    </row>
    <row r="362" spans="1:27">
      <c r="A362" t="s">
        <v>431</v>
      </c>
      <c r="B362" s="3">
        <v>3</v>
      </c>
      <c r="C362" s="3">
        <v>1</v>
      </c>
      <c r="D362" s="1">
        <v>37902</v>
      </c>
      <c r="E362" s="1">
        <v>39082</v>
      </c>
      <c r="F362" s="2">
        <f t="shared" si="5"/>
        <v>3.2306639288158796</v>
      </c>
      <c r="G362" s="3">
        <v>1</v>
      </c>
      <c r="H362" s="3">
        <v>1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74.2</v>
      </c>
      <c r="S362" s="2">
        <v>8.9</v>
      </c>
      <c r="T362" t="s">
        <v>28</v>
      </c>
      <c r="U362" s="3">
        <v>0</v>
      </c>
      <c r="V362" s="3">
        <v>0</v>
      </c>
      <c r="W362" s="3">
        <v>1</v>
      </c>
      <c r="X362" s="3">
        <v>1</v>
      </c>
      <c r="Y362" s="3">
        <v>0</v>
      </c>
      <c r="Z362" s="3">
        <v>1</v>
      </c>
      <c r="AA362" s="3">
        <v>0</v>
      </c>
    </row>
    <row r="363" spans="1:27">
      <c r="A363" t="s">
        <v>432</v>
      </c>
      <c r="B363" s="3">
        <v>3</v>
      </c>
      <c r="C363" s="3">
        <v>1</v>
      </c>
      <c r="D363" s="1">
        <v>37926</v>
      </c>
      <c r="E363" s="1">
        <v>39082</v>
      </c>
      <c r="F363" s="2">
        <f t="shared" si="5"/>
        <v>3.1649555099247091</v>
      </c>
      <c r="G363" s="3">
        <v>1</v>
      </c>
      <c r="H363" s="3">
        <v>1</v>
      </c>
      <c r="I363" s="3">
        <v>0</v>
      </c>
      <c r="J363" s="3">
        <v>1</v>
      </c>
      <c r="K363" s="3">
        <v>0</v>
      </c>
      <c r="L363" s="3">
        <v>0</v>
      </c>
      <c r="M363" s="3">
        <v>0</v>
      </c>
      <c r="N363" s="3">
        <v>1</v>
      </c>
      <c r="O363" s="3">
        <v>0</v>
      </c>
      <c r="P363" s="3">
        <v>0</v>
      </c>
      <c r="Q363" s="3">
        <v>0</v>
      </c>
      <c r="R363" s="3">
        <v>74.3</v>
      </c>
      <c r="S363" s="2">
        <v>8.3000000000000007</v>
      </c>
      <c r="T363" t="s">
        <v>433</v>
      </c>
      <c r="U363" s="3">
        <v>0</v>
      </c>
      <c r="V363" s="3">
        <v>0</v>
      </c>
      <c r="W363" s="3">
        <v>1</v>
      </c>
      <c r="X363" s="3">
        <v>1</v>
      </c>
      <c r="Y363" s="3">
        <v>1</v>
      </c>
      <c r="Z363" s="3">
        <v>1</v>
      </c>
      <c r="AA363" s="3">
        <v>0</v>
      </c>
    </row>
    <row r="364" spans="1:27">
      <c r="A364" t="s">
        <v>434</v>
      </c>
      <c r="B364" s="3">
        <v>3</v>
      </c>
      <c r="C364" s="3">
        <v>1</v>
      </c>
      <c r="D364" s="1">
        <v>38249</v>
      </c>
      <c r="E364" s="1">
        <v>39082</v>
      </c>
      <c r="F364" s="2">
        <f t="shared" si="5"/>
        <v>2.2806297056810405</v>
      </c>
      <c r="G364" s="3">
        <v>1</v>
      </c>
      <c r="H364" s="3">
        <v>1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74.400000000000006</v>
      </c>
      <c r="S364" s="2">
        <v>9.6999999999999993</v>
      </c>
      <c r="T364" t="s">
        <v>435</v>
      </c>
      <c r="U364" s="3">
        <v>0</v>
      </c>
      <c r="V364" s="3">
        <v>1</v>
      </c>
      <c r="W364" s="3">
        <v>0</v>
      </c>
      <c r="X364" s="3">
        <v>0</v>
      </c>
      <c r="Y364" s="3">
        <v>0</v>
      </c>
      <c r="Z364" s="3">
        <v>1</v>
      </c>
      <c r="AA364" s="3">
        <v>0</v>
      </c>
    </row>
    <row r="365" spans="1:27">
      <c r="A365" t="s">
        <v>436</v>
      </c>
      <c r="B365" s="3">
        <v>2</v>
      </c>
      <c r="C365" s="3">
        <v>1</v>
      </c>
      <c r="D365" s="1">
        <v>37877</v>
      </c>
      <c r="E365" s="1">
        <v>39082</v>
      </c>
      <c r="F365" s="2">
        <f t="shared" si="5"/>
        <v>3.2991101984941822</v>
      </c>
      <c r="G365" s="3">
        <v>2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1</v>
      </c>
      <c r="Q365" s="3">
        <v>0</v>
      </c>
      <c r="R365" s="3">
        <v>74.599999999999994</v>
      </c>
      <c r="S365" s="2">
        <v>7.8</v>
      </c>
      <c r="T365" t="s">
        <v>59</v>
      </c>
      <c r="U365" s="3">
        <v>0</v>
      </c>
      <c r="V365" s="3">
        <v>0</v>
      </c>
      <c r="W365" s="3">
        <v>1</v>
      </c>
      <c r="X365" s="3">
        <v>1</v>
      </c>
      <c r="Y365" s="3">
        <v>1</v>
      </c>
      <c r="Z365" s="3">
        <v>0</v>
      </c>
      <c r="AA365" s="3">
        <v>0</v>
      </c>
    </row>
    <row r="366" spans="1:27">
      <c r="A366" t="s">
        <v>437</v>
      </c>
      <c r="B366" s="3">
        <v>1</v>
      </c>
      <c r="C366" s="3">
        <v>0</v>
      </c>
      <c r="D366" s="1">
        <v>37929</v>
      </c>
      <c r="E366" s="1">
        <v>39082</v>
      </c>
      <c r="F366" s="2">
        <f t="shared" si="5"/>
        <v>3.1567419575633129</v>
      </c>
      <c r="G366" s="3">
        <v>1</v>
      </c>
      <c r="H366" s="3">
        <v>1</v>
      </c>
      <c r="I366" s="3">
        <v>1</v>
      </c>
      <c r="J366" s="3">
        <v>0</v>
      </c>
      <c r="K366" s="3">
        <v>0</v>
      </c>
      <c r="L366" s="3">
        <v>0</v>
      </c>
      <c r="M366" s="3">
        <v>0</v>
      </c>
      <c r="N366" s="3">
        <v>1</v>
      </c>
      <c r="O366" s="3">
        <v>0</v>
      </c>
      <c r="P366" s="3">
        <v>1</v>
      </c>
      <c r="Q366" s="3">
        <v>0</v>
      </c>
      <c r="R366" s="3">
        <v>74.599999999999994</v>
      </c>
      <c r="S366" s="2">
        <v>9.6</v>
      </c>
      <c r="T366" t="s">
        <v>44</v>
      </c>
      <c r="U366" s="3">
        <v>0</v>
      </c>
      <c r="V366" s="3">
        <v>1</v>
      </c>
      <c r="W366" s="3">
        <v>0</v>
      </c>
      <c r="X366" s="3">
        <v>0</v>
      </c>
      <c r="Y366" s="3">
        <v>0</v>
      </c>
      <c r="Z366" s="3">
        <v>1</v>
      </c>
      <c r="AA366" s="3">
        <v>0</v>
      </c>
    </row>
    <row r="367" spans="1:27">
      <c r="A367" t="s">
        <v>438</v>
      </c>
      <c r="B367" s="3">
        <v>2</v>
      </c>
      <c r="C367" s="3">
        <v>1</v>
      </c>
      <c r="D367" s="1">
        <v>37884</v>
      </c>
      <c r="E367" s="1">
        <v>39082</v>
      </c>
      <c r="F367" s="2">
        <f t="shared" si="5"/>
        <v>3.2799452429842573</v>
      </c>
      <c r="G367" s="3">
        <v>2</v>
      </c>
      <c r="H367" s="3">
        <v>1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74.7</v>
      </c>
      <c r="S367" s="2">
        <v>8.1</v>
      </c>
      <c r="T367" t="s">
        <v>63</v>
      </c>
      <c r="U367" s="3">
        <v>0</v>
      </c>
      <c r="V367" s="3">
        <v>1</v>
      </c>
      <c r="W367" s="3">
        <v>1</v>
      </c>
      <c r="X367" s="3">
        <v>1</v>
      </c>
      <c r="Y367" s="3">
        <v>1</v>
      </c>
      <c r="Z367" s="3">
        <v>0</v>
      </c>
      <c r="AA367" s="3">
        <v>0</v>
      </c>
    </row>
    <row r="368" spans="1:27">
      <c r="A368" t="s">
        <v>439</v>
      </c>
      <c r="B368" s="3">
        <v>2</v>
      </c>
      <c r="C368" s="3">
        <v>1</v>
      </c>
      <c r="D368" s="1">
        <v>37839</v>
      </c>
      <c r="E368" s="1">
        <v>39082</v>
      </c>
      <c r="F368" s="2">
        <f t="shared" si="5"/>
        <v>3.4031485284052021</v>
      </c>
      <c r="G368" s="3">
        <v>1</v>
      </c>
      <c r="H368" s="3">
        <v>1</v>
      </c>
      <c r="I368" s="3">
        <v>1</v>
      </c>
      <c r="J368" s="3">
        <v>0</v>
      </c>
      <c r="K368" s="3">
        <v>0</v>
      </c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74.7</v>
      </c>
      <c r="S368" s="2">
        <v>8.4</v>
      </c>
      <c r="T368" t="s">
        <v>28</v>
      </c>
      <c r="U368" s="3">
        <v>1</v>
      </c>
      <c r="V368" s="3">
        <v>1</v>
      </c>
      <c r="W368" s="3">
        <v>0</v>
      </c>
      <c r="X368" s="3">
        <v>0</v>
      </c>
      <c r="Y368" s="3">
        <v>0</v>
      </c>
      <c r="Z368" s="3">
        <v>1</v>
      </c>
      <c r="AA368" s="3">
        <v>0</v>
      </c>
    </row>
    <row r="369" spans="1:27">
      <c r="A369" t="s">
        <v>440</v>
      </c>
      <c r="B369" s="3">
        <v>1</v>
      </c>
      <c r="C369" s="3">
        <v>0</v>
      </c>
      <c r="D369" s="1">
        <v>37924</v>
      </c>
      <c r="E369" s="1">
        <v>39082</v>
      </c>
      <c r="F369" s="2">
        <f t="shared" si="5"/>
        <v>3.1704312114989732</v>
      </c>
      <c r="G369" s="3">
        <v>1</v>
      </c>
      <c r="H369" s="3">
        <v>0</v>
      </c>
      <c r="I369" s="3">
        <v>0</v>
      </c>
      <c r="J369" s="3">
        <v>0</v>
      </c>
      <c r="K369" s="3">
        <v>1</v>
      </c>
      <c r="L369" s="3">
        <v>0</v>
      </c>
      <c r="M369" s="3">
        <v>0</v>
      </c>
      <c r="N369" s="3">
        <v>1</v>
      </c>
      <c r="O369" s="3">
        <v>0</v>
      </c>
      <c r="P369" s="3">
        <v>0</v>
      </c>
      <c r="Q369" s="3">
        <v>0</v>
      </c>
      <c r="R369" s="3">
        <v>74.8</v>
      </c>
      <c r="S369" s="2">
        <v>9.8000000000000007</v>
      </c>
      <c r="T369" t="s">
        <v>28</v>
      </c>
      <c r="U369" s="3">
        <v>1</v>
      </c>
      <c r="V369" s="3">
        <v>1</v>
      </c>
      <c r="W369" s="3">
        <v>1</v>
      </c>
      <c r="X369" s="3">
        <v>0</v>
      </c>
      <c r="Y369" s="3">
        <v>0</v>
      </c>
      <c r="Z369" s="3">
        <v>1</v>
      </c>
      <c r="AA369" s="3">
        <v>0</v>
      </c>
    </row>
    <row r="370" spans="1:27">
      <c r="A370" t="s">
        <v>441</v>
      </c>
      <c r="B370" s="3">
        <v>3</v>
      </c>
      <c r="C370" s="3">
        <v>1</v>
      </c>
      <c r="D370" s="1">
        <v>38037</v>
      </c>
      <c r="E370" s="1">
        <v>39082</v>
      </c>
      <c r="F370" s="2">
        <f t="shared" si="5"/>
        <v>2.861054072553046</v>
      </c>
      <c r="G370" s="3">
        <v>2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74.8</v>
      </c>
      <c r="S370" s="2">
        <v>9</v>
      </c>
      <c r="T370" t="s">
        <v>442</v>
      </c>
      <c r="U370" s="3">
        <v>0</v>
      </c>
      <c r="V370" s="3">
        <v>1</v>
      </c>
      <c r="W370" s="3">
        <v>1</v>
      </c>
      <c r="X370" s="3">
        <v>1</v>
      </c>
      <c r="Y370" s="3">
        <v>0</v>
      </c>
      <c r="Z370" s="3">
        <v>0</v>
      </c>
      <c r="AA370" s="3">
        <v>0</v>
      </c>
    </row>
    <row r="371" spans="1:27">
      <c r="A371" t="s">
        <v>443</v>
      </c>
      <c r="B371" s="3">
        <v>3</v>
      </c>
      <c r="C371" s="3">
        <v>1</v>
      </c>
      <c r="D371" s="1">
        <v>37956</v>
      </c>
      <c r="E371" s="1">
        <v>39082</v>
      </c>
      <c r="F371" s="2">
        <f t="shared" si="5"/>
        <v>3.0828199863107462</v>
      </c>
      <c r="G371" s="3">
        <v>1</v>
      </c>
      <c r="H371" s="3">
        <v>1</v>
      </c>
      <c r="I371" s="3">
        <v>0</v>
      </c>
      <c r="J371" s="3">
        <v>0</v>
      </c>
      <c r="K371" s="3">
        <v>0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74.8</v>
      </c>
      <c r="S371" s="2">
        <v>10</v>
      </c>
      <c r="T371" t="s">
        <v>28</v>
      </c>
      <c r="U371" s="3">
        <v>0</v>
      </c>
      <c r="V371" s="3">
        <v>0</v>
      </c>
      <c r="W371" s="3">
        <v>1</v>
      </c>
      <c r="X371" s="3">
        <v>0</v>
      </c>
      <c r="Y371" s="3">
        <v>0</v>
      </c>
      <c r="Z371" s="3">
        <v>1</v>
      </c>
      <c r="AA371" s="3">
        <v>0</v>
      </c>
    </row>
    <row r="372" spans="1:27">
      <c r="A372" t="s">
        <v>444</v>
      </c>
      <c r="B372" s="3">
        <v>3</v>
      </c>
      <c r="C372" s="3">
        <v>1</v>
      </c>
      <c r="D372" s="1">
        <v>38023</v>
      </c>
      <c r="E372" s="1">
        <v>39082</v>
      </c>
      <c r="F372" s="2">
        <f t="shared" si="5"/>
        <v>2.8993839835728954</v>
      </c>
      <c r="G372" s="3">
        <v>1</v>
      </c>
      <c r="H372" s="3">
        <v>1</v>
      </c>
      <c r="I372" s="3">
        <v>0</v>
      </c>
      <c r="J372" s="3">
        <v>0</v>
      </c>
      <c r="K372" s="3">
        <v>1</v>
      </c>
      <c r="L372" s="3">
        <v>0</v>
      </c>
      <c r="M372" s="3">
        <v>0</v>
      </c>
      <c r="N372" s="3">
        <v>1</v>
      </c>
      <c r="O372" s="3">
        <v>1</v>
      </c>
      <c r="P372" s="3">
        <v>1</v>
      </c>
      <c r="Q372" s="3">
        <v>0</v>
      </c>
      <c r="R372" s="3">
        <v>74.8</v>
      </c>
      <c r="S372" s="2">
        <v>9.4</v>
      </c>
      <c r="T372" t="s">
        <v>28</v>
      </c>
      <c r="U372" s="3">
        <v>0</v>
      </c>
      <c r="V372" s="3">
        <v>1</v>
      </c>
      <c r="W372" s="3">
        <v>1</v>
      </c>
      <c r="X372" s="3">
        <v>1</v>
      </c>
      <c r="Y372" s="3">
        <v>0</v>
      </c>
      <c r="Z372" s="3">
        <v>1</v>
      </c>
      <c r="AA372" s="3">
        <v>0</v>
      </c>
    </row>
    <row r="373" spans="1:27">
      <c r="A373" t="s">
        <v>445</v>
      </c>
      <c r="B373" s="3">
        <v>3</v>
      </c>
      <c r="C373" s="3">
        <v>1</v>
      </c>
      <c r="D373" s="1">
        <v>38261</v>
      </c>
      <c r="E373" s="1">
        <v>39082</v>
      </c>
      <c r="F373" s="2">
        <f t="shared" si="5"/>
        <v>2.2477754962354553</v>
      </c>
      <c r="G373" s="3">
        <v>2</v>
      </c>
      <c r="H373" s="3">
        <v>1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74.8</v>
      </c>
      <c r="S373" s="2">
        <v>9.1999999999999993</v>
      </c>
      <c r="T373" t="s">
        <v>28</v>
      </c>
      <c r="U373" s="3">
        <v>0</v>
      </c>
      <c r="V373" s="3">
        <v>0</v>
      </c>
      <c r="W373" s="3">
        <v>1</v>
      </c>
      <c r="X373" s="3">
        <v>1</v>
      </c>
      <c r="Y373" s="3">
        <v>1</v>
      </c>
      <c r="Z373" s="3">
        <v>0</v>
      </c>
      <c r="AA373" s="3">
        <v>0</v>
      </c>
    </row>
    <row r="374" spans="1:27">
      <c r="A374" t="s">
        <v>149</v>
      </c>
      <c r="B374" s="3">
        <v>2</v>
      </c>
      <c r="C374" s="3">
        <v>0</v>
      </c>
      <c r="D374" s="1">
        <v>37707</v>
      </c>
      <c r="E374" s="1">
        <v>39082</v>
      </c>
      <c r="F374" s="2">
        <f t="shared" si="5"/>
        <v>3.7645448323066395</v>
      </c>
      <c r="G374" s="3">
        <v>2</v>
      </c>
      <c r="H374" s="3">
        <v>0</v>
      </c>
      <c r="I374" s="3">
        <v>1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74.8</v>
      </c>
      <c r="S374" s="2">
        <v>8.4</v>
      </c>
      <c r="T374" t="s">
        <v>446</v>
      </c>
      <c r="U374" s="3">
        <v>1</v>
      </c>
      <c r="V374" s="3">
        <v>0</v>
      </c>
      <c r="W374" s="3">
        <v>1</v>
      </c>
      <c r="X374" s="3">
        <v>0</v>
      </c>
      <c r="Y374" s="3">
        <v>0</v>
      </c>
      <c r="Z374" s="3">
        <v>0</v>
      </c>
      <c r="AA374" s="3">
        <v>0</v>
      </c>
    </row>
    <row r="375" spans="1:27">
      <c r="A375" t="s">
        <v>447</v>
      </c>
      <c r="B375" s="3">
        <v>3</v>
      </c>
      <c r="C375" s="3">
        <v>1</v>
      </c>
      <c r="D375" s="1">
        <v>38089</v>
      </c>
      <c r="E375" s="1">
        <v>39082</v>
      </c>
      <c r="F375" s="2">
        <f t="shared" si="5"/>
        <v>2.7186858316221767</v>
      </c>
      <c r="G375" s="3">
        <v>1</v>
      </c>
      <c r="H375" s="3">
        <v>1</v>
      </c>
      <c r="I375" s="3">
        <v>1</v>
      </c>
      <c r="J375" s="3">
        <v>0</v>
      </c>
      <c r="K375" s="3">
        <v>0</v>
      </c>
      <c r="L375" s="3">
        <v>0</v>
      </c>
      <c r="M375" s="3">
        <v>0</v>
      </c>
      <c r="N375" s="3">
        <v>1</v>
      </c>
      <c r="O375" s="3">
        <v>0</v>
      </c>
      <c r="P375" s="3">
        <v>0</v>
      </c>
      <c r="Q375" s="3">
        <v>0</v>
      </c>
      <c r="R375" s="3">
        <v>74.900000000000006</v>
      </c>
      <c r="S375" s="2">
        <v>9</v>
      </c>
      <c r="T375" t="s">
        <v>28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1</v>
      </c>
      <c r="AA375" s="3">
        <v>0</v>
      </c>
    </row>
    <row r="376" spans="1:27">
      <c r="A376" t="s">
        <v>448</v>
      </c>
      <c r="B376" s="3">
        <v>1</v>
      </c>
      <c r="C376" s="3">
        <v>1</v>
      </c>
      <c r="D376" s="1">
        <v>38062</v>
      </c>
      <c r="E376" s="1">
        <v>39082</v>
      </c>
      <c r="F376" s="2">
        <f t="shared" si="5"/>
        <v>2.7926078028747434</v>
      </c>
      <c r="G376" s="3">
        <v>1</v>
      </c>
      <c r="H376" s="3">
        <v>0</v>
      </c>
      <c r="I376" s="3">
        <v>0</v>
      </c>
      <c r="J376" s="3">
        <v>0</v>
      </c>
      <c r="K376" s="3">
        <v>1</v>
      </c>
      <c r="L376" s="3">
        <v>0</v>
      </c>
      <c r="M376" s="3">
        <v>0</v>
      </c>
      <c r="N376" s="3">
        <v>1</v>
      </c>
      <c r="O376" s="3">
        <v>1</v>
      </c>
      <c r="P376" s="3">
        <v>0</v>
      </c>
      <c r="Q376" s="3">
        <v>0</v>
      </c>
      <c r="R376" s="3">
        <v>75</v>
      </c>
      <c r="S376" s="2">
        <v>9.4</v>
      </c>
      <c r="T376" t="s">
        <v>449</v>
      </c>
      <c r="U376" s="3">
        <v>1</v>
      </c>
      <c r="V376" s="3">
        <v>1</v>
      </c>
      <c r="W376" s="3">
        <v>0</v>
      </c>
      <c r="X376" s="3">
        <v>0</v>
      </c>
      <c r="Y376" s="3">
        <v>0</v>
      </c>
      <c r="Z376" s="3">
        <v>1</v>
      </c>
      <c r="AA376" s="3">
        <v>0</v>
      </c>
    </row>
    <row r="377" spans="1:27">
      <c r="A377" t="s">
        <v>450</v>
      </c>
      <c r="B377" s="3">
        <v>2</v>
      </c>
      <c r="C377" s="3">
        <v>1</v>
      </c>
      <c r="D377" s="1">
        <v>37980</v>
      </c>
      <c r="E377" s="1">
        <v>39082</v>
      </c>
      <c r="F377" s="2">
        <f t="shared" si="5"/>
        <v>3.0171115674195756</v>
      </c>
      <c r="G377" s="3">
        <v>2</v>
      </c>
      <c r="H377" s="3">
        <v>1</v>
      </c>
      <c r="I377" s="3">
        <v>0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75</v>
      </c>
      <c r="S377" s="2">
        <v>8.4</v>
      </c>
      <c r="T377" t="s">
        <v>66</v>
      </c>
      <c r="U377" s="3">
        <v>0</v>
      </c>
      <c r="V377" s="3">
        <v>0</v>
      </c>
      <c r="W377" s="3">
        <v>0</v>
      </c>
      <c r="X377" s="3">
        <v>1</v>
      </c>
      <c r="Y377" s="3">
        <v>1</v>
      </c>
      <c r="Z377" s="3">
        <v>0</v>
      </c>
      <c r="AA377" s="3">
        <v>0</v>
      </c>
    </row>
    <row r="378" spans="1:27">
      <c r="A378" t="s">
        <v>451</v>
      </c>
      <c r="B378" s="3">
        <v>1</v>
      </c>
      <c r="C378" s="3">
        <v>0</v>
      </c>
      <c r="D378" s="1">
        <v>37948</v>
      </c>
      <c r="E378" s="1">
        <v>39082</v>
      </c>
      <c r="F378" s="2">
        <f t="shared" si="5"/>
        <v>3.1047227926078027</v>
      </c>
      <c r="G378" s="3">
        <v>1</v>
      </c>
      <c r="H378" s="3">
        <v>0</v>
      </c>
      <c r="I378" s="3">
        <v>1</v>
      </c>
      <c r="J378" s="3">
        <v>0</v>
      </c>
      <c r="K378" s="3">
        <v>0</v>
      </c>
      <c r="L378" s="3">
        <v>0</v>
      </c>
      <c r="M378" s="3">
        <v>0</v>
      </c>
      <c r="N378" s="3">
        <v>1</v>
      </c>
      <c r="O378" s="3">
        <v>0</v>
      </c>
      <c r="P378" s="3">
        <v>0</v>
      </c>
      <c r="Q378" s="3">
        <v>0</v>
      </c>
      <c r="R378" s="3">
        <v>75</v>
      </c>
      <c r="S378" s="2">
        <v>9.8000000000000007</v>
      </c>
      <c r="T378" t="s">
        <v>28</v>
      </c>
      <c r="U378" s="3">
        <v>1</v>
      </c>
      <c r="V378" s="3">
        <v>1</v>
      </c>
      <c r="W378" s="3">
        <v>1</v>
      </c>
      <c r="X378" s="3">
        <v>1</v>
      </c>
      <c r="Y378" s="3">
        <v>0</v>
      </c>
      <c r="Z378" s="3">
        <v>1</v>
      </c>
      <c r="AA378" s="3">
        <v>0</v>
      </c>
    </row>
    <row r="379" spans="1:27">
      <c r="A379" t="s">
        <v>452</v>
      </c>
      <c r="B379" s="3">
        <v>3</v>
      </c>
      <c r="C379" s="3">
        <v>1</v>
      </c>
      <c r="D379" s="1">
        <v>38205</v>
      </c>
      <c r="E379" s="1">
        <v>39082</v>
      </c>
      <c r="F379" s="2">
        <f t="shared" si="5"/>
        <v>2.4010951403148528</v>
      </c>
      <c r="G379" s="3">
        <v>1</v>
      </c>
      <c r="H379" s="3">
        <v>1</v>
      </c>
      <c r="I379" s="3">
        <v>1</v>
      </c>
      <c r="J379" s="3">
        <v>0</v>
      </c>
      <c r="K379" s="3">
        <v>0</v>
      </c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75</v>
      </c>
      <c r="S379" s="2">
        <v>9.1</v>
      </c>
      <c r="T379" t="s">
        <v>28</v>
      </c>
      <c r="U379" s="3">
        <v>0</v>
      </c>
      <c r="V379" s="3">
        <v>0</v>
      </c>
      <c r="W379" s="3">
        <v>1</v>
      </c>
      <c r="X379" s="3">
        <v>1</v>
      </c>
      <c r="Y379" s="3">
        <v>1</v>
      </c>
      <c r="Z379" s="3">
        <v>1</v>
      </c>
      <c r="AA379" s="3">
        <v>0</v>
      </c>
    </row>
    <row r="380" spans="1:27">
      <c r="A380" t="s">
        <v>453</v>
      </c>
      <c r="B380" s="3">
        <v>3</v>
      </c>
      <c r="C380" s="3">
        <v>0</v>
      </c>
      <c r="D380" s="1">
        <v>37902</v>
      </c>
      <c r="E380" s="1">
        <v>39082</v>
      </c>
      <c r="F380" s="2">
        <f t="shared" si="5"/>
        <v>3.2306639288158796</v>
      </c>
      <c r="G380" s="3">
        <v>2</v>
      </c>
      <c r="H380" s="3">
        <v>0</v>
      </c>
      <c r="I380" s="3">
        <v>1</v>
      </c>
      <c r="J380" s="3">
        <v>1</v>
      </c>
      <c r="K380" s="3">
        <v>0</v>
      </c>
      <c r="L380" s="3">
        <v>0</v>
      </c>
      <c r="M380" s="3">
        <v>0</v>
      </c>
      <c r="N380" s="3">
        <v>1</v>
      </c>
      <c r="O380" s="3">
        <v>0</v>
      </c>
      <c r="P380" s="3">
        <v>0</v>
      </c>
      <c r="Q380" s="3">
        <v>0</v>
      </c>
      <c r="R380" s="3">
        <v>75</v>
      </c>
      <c r="S380" s="2">
        <v>8.3000000000000007</v>
      </c>
      <c r="T380" t="s">
        <v>28</v>
      </c>
      <c r="U380" s="3">
        <v>1</v>
      </c>
      <c r="V380" s="3">
        <v>1</v>
      </c>
      <c r="W380" s="3">
        <v>1</v>
      </c>
      <c r="X380" s="3">
        <v>1</v>
      </c>
      <c r="Y380" s="3">
        <v>0</v>
      </c>
      <c r="Z380" s="3">
        <v>0</v>
      </c>
      <c r="AA380" s="3">
        <v>0</v>
      </c>
    </row>
    <row r="381" spans="1:27">
      <c r="A381" t="s">
        <v>454</v>
      </c>
      <c r="B381" s="3">
        <v>1</v>
      </c>
      <c r="C381" s="3">
        <v>0</v>
      </c>
      <c r="D381" s="1">
        <v>37878</v>
      </c>
      <c r="E381" s="1">
        <v>39082</v>
      </c>
      <c r="F381" s="2">
        <f t="shared" si="5"/>
        <v>3.2963723477070501</v>
      </c>
      <c r="G381" s="3">
        <v>1</v>
      </c>
      <c r="H381" s="3">
        <v>1</v>
      </c>
      <c r="I381" s="3">
        <v>1</v>
      </c>
      <c r="J381" s="3">
        <v>1</v>
      </c>
      <c r="K381" s="3">
        <v>1</v>
      </c>
      <c r="L381" s="3">
        <v>0</v>
      </c>
      <c r="M381" s="3">
        <v>0</v>
      </c>
      <c r="N381" s="3">
        <v>1</v>
      </c>
      <c r="O381" s="3">
        <v>0</v>
      </c>
      <c r="P381" s="3">
        <v>0</v>
      </c>
      <c r="Q381" s="3">
        <v>0</v>
      </c>
      <c r="R381" s="3">
        <v>75</v>
      </c>
      <c r="S381" s="2">
        <v>7.4</v>
      </c>
      <c r="T381" t="s">
        <v>92</v>
      </c>
      <c r="U381" s="3">
        <v>1</v>
      </c>
      <c r="V381" s="3">
        <v>1</v>
      </c>
      <c r="W381" s="3">
        <v>0</v>
      </c>
      <c r="X381" s="3">
        <v>0</v>
      </c>
      <c r="Y381" s="3">
        <v>0</v>
      </c>
      <c r="Z381" s="3">
        <v>1</v>
      </c>
      <c r="AA381" s="3">
        <v>0</v>
      </c>
    </row>
    <row r="382" spans="1:27">
      <c r="A382" t="s">
        <v>455</v>
      </c>
      <c r="B382" s="3">
        <v>3</v>
      </c>
      <c r="C382" s="3">
        <v>1</v>
      </c>
      <c r="D382" s="1">
        <v>37977</v>
      </c>
      <c r="E382" s="1">
        <v>39082</v>
      </c>
      <c r="F382" s="2">
        <f t="shared" si="5"/>
        <v>3.0253251197809718</v>
      </c>
      <c r="G382" s="3">
        <v>1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75.099999999999994</v>
      </c>
      <c r="S382" s="2">
        <v>9.1999999999999993</v>
      </c>
      <c r="T382" t="s">
        <v>63</v>
      </c>
      <c r="U382" s="3">
        <v>0</v>
      </c>
      <c r="V382" s="3">
        <v>0</v>
      </c>
      <c r="W382" s="3">
        <v>0</v>
      </c>
      <c r="X382" s="3">
        <v>0</v>
      </c>
      <c r="Y382" s="3">
        <v>1</v>
      </c>
      <c r="Z382" s="3">
        <v>1</v>
      </c>
      <c r="AA382" s="3">
        <v>0</v>
      </c>
    </row>
    <row r="383" spans="1:27">
      <c r="A383" t="s">
        <v>456</v>
      </c>
      <c r="B383" s="3">
        <v>2</v>
      </c>
      <c r="C383" s="3">
        <v>1</v>
      </c>
      <c r="D383" s="1">
        <v>37916</v>
      </c>
      <c r="E383" s="1">
        <v>39082</v>
      </c>
      <c r="F383" s="2">
        <f t="shared" si="5"/>
        <v>3.1923340177960302</v>
      </c>
      <c r="G383" s="3">
        <v>2</v>
      </c>
      <c r="H383" s="3">
        <v>1</v>
      </c>
      <c r="I383" s="3">
        <v>0</v>
      </c>
      <c r="J383" s="3">
        <v>0</v>
      </c>
      <c r="K383" s="3">
        <v>0</v>
      </c>
      <c r="L383" s="3">
        <v>0</v>
      </c>
      <c r="M383" s="3">
        <v>0</v>
      </c>
      <c r="N383" s="3">
        <v>1</v>
      </c>
      <c r="O383" s="3">
        <v>0</v>
      </c>
      <c r="P383" s="3">
        <v>1</v>
      </c>
      <c r="Q383" s="3">
        <v>0</v>
      </c>
      <c r="R383" s="3">
        <v>75.099999999999994</v>
      </c>
      <c r="S383" s="2">
        <v>8.1</v>
      </c>
      <c r="T383" t="s">
        <v>44</v>
      </c>
      <c r="U383" s="3">
        <v>1</v>
      </c>
      <c r="V383" s="3">
        <v>1</v>
      </c>
      <c r="W383" s="3">
        <v>1</v>
      </c>
      <c r="X383" s="3">
        <v>0</v>
      </c>
      <c r="Y383" s="3">
        <v>0</v>
      </c>
      <c r="Z383" s="3">
        <v>0</v>
      </c>
      <c r="AA383" s="3">
        <v>0</v>
      </c>
    </row>
    <row r="384" spans="1:27">
      <c r="A384" t="s">
        <v>303</v>
      </c>
      <c r="B384" s="3">
        <v>2</v>
      </c>
      <c r="C384" s="3">
        <v>1</v>
      </c>
      <c r="D384" s="1">
        <v>37748</v>
      </c>
      <c r="E384" s="1">
        <v>39082</v>
      </c>
      <c r="F384" s="2">
        <f t="shared" si="5"/>
        <v>3.6522929500342229</v>
      </c>
      <c r="G384" s="3">
        <v>2</v>
      </c>
      <c r="H384" s="3">
        <v>1</v>
      </c>
      <c r="I384" s="3">
        <v>0</v>
      </c>
      <c r="J384" s="3">
        <v>1</v>
      </c>
      <c r="K384" s="3">
        <v>0</v>
      </c>
      <c r="L384" s="3">
        <v>1</v>
      </c>
      <c r="M384" s="3">
        <v>0</v>
      </c>
      <c r="N384" s="3">
        <v>1</v>
      </c>
      <c r="O384" s="3">
        <v>0</v>
      </c>
      <c r="P384" s="3">
        <v>1</v>
      </c>
      <c r="Q384" s="3">
        <v>0</v>
      </c>
      <c r="R384" s="3">
        <v>75.099999999999994</v>
      </c>
      <c r="S384" s="2">
        <v>8.4</v>
      </c>
      <c r="T384" t="s">
        <v>28</v>
      </c>
      <c r="U384" s="3">
        <v>1</v>
      </c>
      <c r="V384" s="3">
        <v>1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</row>
    <row r="385" spans="1:27">
      <c r="A385" t="s">
        <v>457</v>
      </c>
      <c r="B385" s="3">
        <v>3</v>
      </c>
      <c r="C385" s="3">
        <v>1</v>
      </c>
      <c r="D385" s="1">
        <v>38142</v>
      </c>
      <c r="E385" s="1">
        <v>39082</v>
      </c>
      <c r="F385" s="2">
        <f t="shared" si="5"/>
        <v>2.5735797399041753</v>
      </c>
      <c r="G385" s="3">
        <v>2</v>
      </c>
      <c r="H385" s="3">
        <v>1</v>
      </c>
      <c r="I385" s="3">
        <v>1</v>
      </c>
      <c r="J385" s="3">
        <v>0</v>
      </c>
      <c r="K385" s="3">
        <v>0</v>
      </c>
      <c r="L385" s="3">
        <v>0</v>
      </c>
      <c r="M385" s="3">
        <v>0</v>
      </c>
      <c r="N385" s="3">
        <v>1</v>
      </c>
      <c r="O385" s="3">
        <v>0</v>
      </c>
      <c r="P385" s="3">
        <v>0</v>
      </c>
      <c r="Q385" s="3">
        <v>0</v>
      </c>
      <c r="R385" s="3">
        <v>75.099999999999994</v>
      </c>
      <c r="S385" s="2">
        <v>9.1999999999999993</v>
      </c>
      <c r="T385" t="s">
        <v>28</v>
      </c>
      <c r="U385" s="3">
        <v>1</v>
      </c>
      <c r="V385" s="3">
        <v>0</v>
      </c>
      <c r="W385" s="3">
        <v>1</v>
      </c>
      <c r="X385" s="3">
        <v>1</v>
      </c>
      <c r="Y385" s="3">
        <v>0</v>
      </c>
      <c r="Z385" s="3">
        <v>0</v>
      </c>
      <c r="AA385" s="3">
        <v>0</v>
      </c>
    </row>
    <row r="386" spans="1:27">
      <c r="A386" t="s">
        <v>458</v>
      </c>
      <c r="B386" s="3">
        <v>2</v>
      </c>
      <c r="C386" s="3">
        <v>0</v>
      </c>
      <c r="D386" s="1">
        <v>37760</v>
      </c>
      <c r="E386" s="1">
        <v>39082</v>
      </c>
      <c r="F386" s="2">
        <f t="shared" si="5"/>
        <v>3.6194387405886381</v>
      </c>
      <c r="G386" s="3">
        <v>1</v>
      </c>
      <c r="H386" s="3">
        <v>1</v>
      </c>
      <c r="I386" s="3">
        <v>0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75.2</v>
      </c>
      <c r="S386" s="2">
        <v>8.8000000000000007</v>
      </c>
      <c r="T386" t="s">
        <v>28</v>
      </c>
      <c r="U386" s="3">
        <v>1</v>
      </c>
      <c r="V386" s="3">
        <v>1</v>
      </c>
      <c r="W386" s="3">
        <v>1</v>
      </c>
      <c r="X386" s="3">
        <v>1</v>
      </c>
      <c r="Y386" s="3">
        <v>0</v>
      </c>
      <c r="Z386" s="3">
        <v>1</v>
      </c>
      <c r="AA386" s="3">
        <v>0</v>
      </c>
    </row>
    <row r="387" spans="1:27">
      <c r="A387" t="s">
        <v>459</v>
      </c>
      <c r="B387" s="3">
        <v>2</v>
      </c>
      <c r="C387" s="3">
        <v>0</v>
      </c>
      <c r="D387" s="1">
        <v>38106</v>
      </c>
      <c r="E387" s="1">
        <v>39082</v>
      </c>
      <c r="F387" s="2">
        <f t="shared" ref="F387:F450" si="6">(E387-D387)/365.25</f>
        <v>2.6721423682409307</v>
      </c>
      <c r="G387" s="3">
        <v>1</v>
      </c>
      <c r="H387" s="3">
        <v>1</v>
      </c>
      <c r="I387" s="3">
        <v>0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75.2</v>
      </c>
      <c r="S387" s="2">
        <v>9.9</v>
      </c>
      <c r="T387" t="s">
        <v>28</v>
      </c>
      <c r="U387" s="3">
        <v>1</v>
      </c>
      <c r="V387" s="3">
        <v>1</v>
      </c>
      <c r="W387" s="3">
        <v>1</v>
      </c>
      <c r="X387" s="3">
        <v>1</v>
      </c>
      <c r="Y387" s="3">
        <v>0</v>
      </c>
      <c r="Z387" s="3">
        <v>1</v>
      </c>
      <c r="AA387" s="3">
        <v>0</v>
      </c>
    </row>
    <row r="388" spans="1:27">
      <c r="A388" t="s">
        <v>460</v>
      </c>
      <c r="B388" s="3">
        <v>1</v>
      </c>
      <c r="C388" s="3">
        <v>1</v>
      </c>
      <c r="D388" s="1">
        <v>37967</v>
      </c>
      <c r="E388" s="1">
        <v>39082</v>
      </c>
      <c r="F388" s="2">
        <f t="shared" si="6"/>
        <v>3.052703627652293</v>
      </c>
      <c r="G388" s="3">
        <v>2</v>
      </c>
      <c r="H388" s="3">
        <v>1</v>
      </c>
      <c r="I388" s="3">
        <v>0</v>
      </c>
      <c r="J388" s="3">
        <v>0</v>
      </c>
      <c r="K388" s="3">
        <v>0</v>
      </c>
      <c r="L388" s="3">
        <v>1</v>
      </c>
      <c r="M388" s="3">
        <v>0</v>
      </c>
      <c r="N388" s="3">
        <v>1</v>
      </c>
      <c r="O388" s="3">
        <v>0</v>
      </c>
      <c r="P388" s="3">
        <v>1</v>
      </c>
      <c r="Q388" s="3">
        <v>0</v>
      </c>
      <c r="R388" s="3">
        <v>75.2</v>
      </c>
      <c r="S388" s="2">
        <v>9.9</v>
      </c>
      <c r="T388" t="s">
        <v>28</v>
      </c>
      <c r="U388" s="3">
        <v>1</v>
      </c>
      <c r="V388" s="3">
        <v>1</v>
      </c>
      <c r="W388" s="3">
        <v>1</v>
      </c>
      <c r="X388" s="3">
        <v>0</v>
      </c>
      <c r="Y388" s="3">
        <v>0</v>
      </c>
      <c r="Z388" s="3">
        <v>0</v>
      </c>
      <c r="AA388" s="3">
        <v>0</v>
      </c>
    </row>
    <row r="389" spans="1:27">
      <c r="A389" t="s">
        <v>461</v>
      </c>
      <c r="B389" s="3">
        <v>2</v>
      </c>
      <c r="C389" s="3">
        <v>1</v>
      </c>
      <c r="D389" s="1">
        <v>38204</v>
      </c>
      <c r="E389" s="1">
        <v>39082</v>
      </c>
      <c r="F389" s="2">
        <f t="shared" si="6"/>
        <v>2.4038329911019849</v>
      </c>
      <c r="G389" s="3">
        <v>2</v>
      </c>
      <c r="H389" s="3">
        <v>1</v>
      </c>
      <c r="I389" s="3">
        <v>0</v>
      </c>
      <c r="J389" s="3">
        <v>0</v>
      </c>
      <c r="K389" s="3">
        <v>0</v>
      </c>
      <c r="L389" s="3">
        <v>1</v>
      </c>
      <c r="M389" s="3">
        <v>0</v>
      </c>
      <c r="N389" s="3">
        <v>1</v>
      </c>
      <c r="O389" s="3">
        <v>0</v>
      </c>
      <c r="P389" s="3">
        <v>1</v>
      </c>
      <c r="Q389" s="3">
        <v>0</v>
      </c>
      <c r="R389" s="3">
        <v>75.2</v>
      </c>
      <c r="S389" s="2">
        <v>7</v>
      </c>
      <c r="T389" t="s">
        <v>69</v>
      </c>
      <c r="U389" s="3">
        <v>1</v>
      </c>
      <c r="V389" s="3">
        <v>1</v>
      </c>
      <c r="W389" s="3">
        <v>1</v>
      </c>
      <c r="X389" s="3">
        <v>1</v>
      </c>
      <c r="Y389" s="3">
        <v>0</v>
      </c>
      <c r="Z389" s="3">
        <v>0</v>
      </c>
      <c r="AA389" s="3">
        <v>0</v>
      </c>
    </row>
    <row r="390" spans="1:27">
      <c r="A390" t="s">
        <v>462</v>
      </c>
      <c r="B390" s="3">
        <v>3</v>
      </c>
      <c r="C390" s="3">
        <v>1</v>
      </c>
      <c r="D390" s="1">
        <v>38329</v>
      </c>
      <c r="E390" s="1">
        <v>39082</v>
      </c>
      <c r="F390" s="2">
        <f t="shared" si="6"/>
        <v>2.0616016427104724</v>
      </c>
      <c r="G390" s="3">
        <v>2</v>
      </c>
      <c r="H390" s="3">
        <v>1</v>
      </c>
      <c r="I390" s="3">
        <v>0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75.2</v>
      </c>
      <c r="S390" s="2">
        <v>9.6</v>
      </c>
      <c r="T390" t="s">
        <v>69</v>
      </c>
      <c r="U390" s="3">
        <v>0</v>
      </c>
      <c r="V390" s="3">
        <v>1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</row>
    <row r="391" spans="1:27">
      <c r="A391" t="s">
        <v>463</v>
      </c>
      <c r="B391" s="3">
        <v>3</v>
      </c>
      <c r="C391" s="3">
        <v>1</v>
      </c>
      <c r="D391" s="1">
        <v>37895</v>
      </c>
      <c r="E391" s="1">
        <v>39082</v>
      </c>
      <c r="F391" s="2">
        <f t="shared" si="6"/>
        <v>3.2498288843258041</v>
      </c>
      <c r="G391" s="3">
        <v>1</v>
      </c>
      <c r="H391" s="3">
        <v>1</v>
      </c>
      <c r="I391" s="3">
        <v>0</v>
      </c>
      <c r="J391" s="3">
        <v>1</v>
      </c>
      <c r="K391" s="3">
        <v>0</v>
      </c>
      <c r="L391" s="3">
        <v>0</v>
      </c>
      <c r="M391" s="3">
        <v>0</v>
      </c>
      <c r="N391" s="3">
        <v>0</v>
      </c>
      <c r="O391" s="3">
        <v>0</v>
      </c>
      <c r="P391" s="3">
        <v>1</v>
      </c>
      <c r="Q391" s="3">
        <v>0</v>
      </c>
      <c r="R391" s="3">
        <v>75.2</v>
      </c>
      <c r="S391" s="2">
        <v>8.5</v>
      </c>
      <c r="T391" t="s">
        <v>40</v>
      </c>
      <c r="U391" s="3">
        <v>0</v>
      </c>
      <c r="V391" s="3">
        <v>0</v>
      </c>
      <c r="W391" s="3">
        <v>1</v>
      </c>
      <c r="X391" s="3">
        <v>1</v>
      </c>
      <c r="Y391" s="3">
        <v>0</v>
      </c>
      <c r="Z391" s="3">
        <v>1</v>
      </c>
      <c r="AA391" s="3">
        <v>0</v>
      </c>
    </row>
    <row r="392" spans="1:27">
      <c r="A392" t="s">
        <v>464</v>
      </c>
      <c r="B392" s="3">
        <v>3</v>
      </c>
      <c r="C392" s="3">
        <v>1</v>
      </c>
      <c r="D392" s="1">
        <v>37834</v>
      </c>
      <c r="E392" s="1">
        <v>39082</v>
      </c>
      <c r="F392" s="2">
        <f t="shared" si="6"/>
        <v>3.4168377823408624</v>
      </c>
      <c r="G392" s="3">
        <v>1</v>
      </c>
      <c r="H392" s="3">
        <v>1</v>
      </c>
      <c r="I392" s="3">
        <v>0</v>
      </c>
      <c r="J392" s="3">
        <v>0</v>
      </c>
      <c r="K392" s="3">
        <v>1</v>
      </c>
      <c r="L392" s="3">
        <v>0</v>
      </c>
      <c r="M392" s="3">
        <v>0</v>
      </c>
      <c r="N392" s="3">
        <v>1</v>
      </c>
      <c r="O392" s="3">
        <v>0</v>
      </c>
      <c r="P392" s="3">
        <v>1</v>
      </c>
      <c r="Q392" s="3">
        <v>0</v>
      </c>
      <c r="R392" s="3">
        <v>75.3</v>
      </c>
      <c r="S392" s="2">
        <v>8.9</v>
      </c>
      <c r="T392" t="s">
        <v>28</v>
      </c>
      <c r="U392" s="3">
        <v>0</v>
      </c>
      <c r="V392" s="3">
        <v>1</v>
      </c>
      <c r="W392" s="3">
        <v>0</v>
      </c>
      <c r="X392" s="3">
        <v>0</v>
      </c>
      <c r="Y392" s="3">
        <v>0</v>
      </c>
      <c r="Z392" s="3">
        <v>1</v>
      </c>
      <c r="AA392" s="3">
        <v>0</v>
      </c>
    </row>
    <row r="393" spans="1:27">
      <c r="A393" t="s">
        <v>465</v>
      </c>
      <c r="B393" s="3">
        <v>1</v>
      </c>
      <c r="C393" s="3">
        <v>0</v>
      </c>
      <c r="D393" s="1">
        <v>37828</v>
      </c>
      <c r="E393" s="1">
        <v>39082</v>
      </c>
      <c r="F393" s="2">
        <f t="shared" si="6"/>
        <v>3.4332648870636548</v>
      </c>
      <c r="G393" s="3">
        <v>2</v>
      </c>
      <c r="H393" s="3">
        <v>1</v>
      </c>
      <c r="I393" s="3">
        <v>0</v>
      </c>
      <c r="J393" s="3">
        <v>0</v>
      </c>
      <c r="K393" s="3">
        <v>0</v>
      </c>
      <c r="L393" s="3">
        <v>1</v>
      </c>
      <c r="M393" s="3">
        <v>0</v>
      </c>
      <c r="N393" s="3">
        <v>1</v>
      </c>
      <c r="O393" s="3">
        <v>0</v>
      </c>
      <c r="P393" s="3">
        <v>1</v>
      </c>
      <c r="Q393" s="3">
        <v>0</v>
      </c>
      <c r="R393" s="3">
        <v>75.3</v>
      </c>
      <c r="S393" s="2">
        <v>9.3000000000000007</v>
      </c>
      <c r="T393" t="s">
        <v>105</v>
      </c>
      <c r="U393" s="3">
        <v>1</v>
      </c>
      <c r="V393" s="3">
        <v>1</v>
      </c>
      <c r="W393" s="3">
        <v>0</v>
      </c>
      <c r="X393" s="3">
        <v>1</v>
      </c>
      <c r="Y393" s="3">
        <v>0</v>
      </c>
      <c r="Z393" s="3">
        <v>0</v>
      </c>
      <c r="AA393" s="3">
        <v>0</v>
      </c>
    </row>
    <row r="394" spans="1:27">
      <c r="A394" t="s">
        <v>466</v>
      </c>
      <c r="B394" s="3">
        <v>1</v>
      </c>
      <c r="C394" s="3">
        <v>0</v>
      </c>
      <c r="D394" s="1">
        <v>37732</v>
      </c>
      <c r="E394" s="1">
        <v>39082</v>
      </c>
      <c r="F394" s="2">
        <f t="shared" si="6"/>
        <v>3.6960985626283369</v>
      </c>
      <c r="G394" s="3">
        <v>1</v>
      </c>
      <c r="H394" s="3">
        <v>0</v>
      </c>
      <c r="I394" s="3">
        <v>1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75.3</v>
      </c>
      <c r="S394" s="2">
        <v>9.1</v>
      </c>
      <c r="T394" t="s">
        <v>92</v>
      </c>
      <c r="U394" s="3">
        <v>0</v>
      </c>
      <c r="V394" s="3">
        <v>1</v>
      </c>
      <c r="W394" s="3">
        <v>1</v>
      </c>
      <c r="X394" s="3">
        <v>1</v>
      </c>
      <c r="Y394" s="3">
        <v>0</v>
      </c>
      <c r="Z394" s="3">
        <v>1</v>
      </c>
      <c r="AA394" s="3">
        <v>0</v>
      </c>
    </row>
    <row r="395" spans="1:27">
      <c r="A395" t="s">
        <v>467</v>
      </c>
      <c r="B395" s="3">
        <v>2</v>
      </c>
      <c r="C395" s="3">
        <v>0</v>
      </c>
      <c r="D395" s="1">
        <v>37505</v>
      </c>
      <c r="E395" s="1">
        <v>39082</v>
      </c>
      <c r="F395" s="2">
        <f t="shared" si="6"/>
        <v>4.3175906913073234</v>
      </c>
      <c r="G395" s="3">
        <v>1</v>
      </c>
      <c r="H395" s="3">
        <v>1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75.400000000000006</v>
      </c>
      <c r="S395" s="2">
        <v>9.6</v>
      </c>
      <c r="T395" t="s">
        <v>50</v>
      </c>
      <c r="U395" s="3">
        <v>1</v>
      </c>
      <c r="V395" s="3">
        <v>1</v>
      </c>
      <c r="W395" s="3">
        <v>1</v>
      </c>
      <c r="X395" s="3">
        <v>1</v>
      </c>
      <c r="Y395" s="5" t="e">
        <v>#NULL!</v>
      </c>
      <c r="Z395" s="3">
        <v>1</v>
      </c>
      <c r="AA395" s="3">
        <v>0</v>
      </c>
    </row>
    <row r="396" spans="1:27">
      <c r="A396" t="s">
        <v>468</v>
      </c>
      <c r="B396" s="3">
        <v>2</v>
      </c>
      <c r="C396" s="3">
        <v>1</v>
      </c>
      <c r="D396" s="1">
        <v>38075</v>
      </c>
      <c r="E396" s="1">
        <v>39082</v>
      </c>
      <c r="F396" s="2">
        <f t="shared" si="6"/>
        <v>2.7570157426420261</v>
      </c>
      <c r="G396" s="3">
        <v>1</v>
      </c>
      <c r="H396" s="3">
        <v>1</v>
      </c>
      <c r="I396" s="3">
        <v>0</v>
      </c>
      <c r="J396" s="3">
        <v>0</v>
      </c>
      <c r="K396" s="3">
        <v>0</v>
      </c>
      <c r="L396" s="3">
        <v>0</v>
      </c>
      <c r="M396" s="3">
        <v>0</v>
      </c>
      <c r="N396" s="3">
        <v>1</v>
      </c>
      <c r="O396" s="3">
        <v>0</v>
      </c>
      <c r="P396" s="3">
        <v>1</v>
      </c>
      <c r="Q396" s="3">
        <v>0</v>
      </c>
      <c r="R396" s="3">
        <v>75.5</v>
      </c>
      <c r="S396" s="2">
        <v>9.5</v>
      </c>
      <c r="T396" t="s">
        <v>44</v>
      </c>
      <c r="U396" s="3">
        <v>1</v>
      </c>
      <c r="V396" s="3">
        <v>1</v>
      </c>
      <c r="W396" s="3">
        <v>0</v>
      </c>
      <c r="X396" s="3">
        <v>0</v>
      </c>
      <c r="Y396" s="3">
        <v>0</v>
      </c>
      <c r="Z396" s="3">
        <v>1</v>
      </c>
      <c r="AA396" s="3">
        <v>0</v>
      </c>
    </row>
    <row r="397" spans="1:27">
      <c r="A397" t="s">
        <v>469</v>
      </c>
      <c r="B397" s="3">
        <v>1</v>
      </c>
      <c r="C397" s="3">
        <v>0</v>
      </c>
      <c r="D397" s="1">
        <v>38289</v>
      </c>
      <c r="E397" s="1">
        <v>39082</v>
      </c>
      <c r="F397" s="2">
        <f t="shared" si="6"/>
        <v>2.1711156741957565</v>
      </c>
      <c r="G397" s="3">
        <v>1</v>
      </c>
      <c r="H397" s="3">
        <v>0</v>
      </c>
      <c r="I397" s="3">
        <v>1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75.5</v>
      </c>
      <c r="S397" s="2">
        <v>9.1999999999999993</v>
      </c>
      <c r="T397" t="s">
        <v>28</v>
      </c>
      <c r="U397" s="3">
        <v>1</v>
      </c>
      <c r="V397" s="3">
        <v>1</v>
      </c>
      <c r="W397" s="3">
        <v>1</v>
      </c>
      <c r="X397" s="3">
        <v>0</v>
      </c>
      <c r="Y397" s="3">
        <v>0</v>
      </c>
      <c r="Z397" s="3">
        <v>1</v>
      </c>
      <c r="AA397" s="3">
        <v>0</v>
      </c>
    </row>
    <row r="398" spans="1:27">
      <c r="A398" t="s">
        <v>470</v>
      </c>
      <c r="B398" s="3">
        <v>1</v>
      </c>
      <c r="C398" s="3">
        <v>0</v>
      </c>
      <c r="D398" s="1">
        <v>38126</v>
      </c>
      <c r="E398" s="1">
        <v>39082</v>
      </c>
      <c r="F398" s="2">
        <f t="shared" si="6"/>
        <v>2.6173853524982889</v>
      </c>
      <c r="G398" s="3">
        <v>2</v>
      </c>
      <c r="H398" s="3">
        <v>0</v>
      </c>
      <c r="I398" s="3">
        <v>1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>
        <v>0</v>
      </c>
      <c r="P398" s="3">
        <v>1</v>
      </c>
      <c r="Q398" s="3">
        <v>0</v>
      </c>
      <c r="R398" s="3">
        <v>75.5</v>
      </c>
      <c r="S398" s="2">
        <v>8.6</v>
      </c>
      <c r="T398" t="s">
        <v>123</v>
      </c>
      <c r="U398" s="3">
        <v>1</v>
      </c>
      <c r="V398" s="3">
        <v>1</v>
      </c>
      <c r="W398" s="3">
        <v>1</v>
      </c>
      <c r="X398" s="3">
        <v>1</v>
      </c>
      <c r="Y398" s="3">
        <v>0</v>
      </c>
      <c r="Z398" s="3">
        <v>0</v>
      </c>
      <c r="AA398" s="3">
        <v>0</v>
      </c>
    </row>
    <row r="399" spans="1:27">
      <c r="A399" t="s">
        <v>471</v>
      </c>
      <c r="B399" s="3">
        <v>3</v>
      </c>
      <c r="C399" s="3">
        <v>1</v>
      </c>
      <c r="D399" s="1">
        <v>38331</v>
      </c>
      <c r="E399" s="1">
        <v>39082</v>
      </c>
      <c r="F399" s="2">
        <f t="shared" si="6"/>
        <v>2.0561259411362083</v>
      </c>
      <c r="G399" s="3">
        <v>1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  <c r="M399" s="3">
        <v>0</v>
      </c>
      <c r="N399" s="3">
        <v>1</v>
      </c>
      <c r="O399" s="3">
        <v>0</v>
      </c>
      <c r="P399" s="3">
        <v>0</v>
      </c>
      <c r="Q399" s="3">
        <v>0</v>
      </c>
      <c r="R399" s="3">
        <v>75.599999999999994</v>
      </c>
      <c r="S399" s="2">
        <v>9.5</v>
      </c>
      <c r="T399" t="s">
        <v>105</v>
      </c>
      <c r="U399" s="3">
        <v>0</v>
      </c>
      <c r="V399" s="3">
        <v>1</v>
      </c>
      <c r="W399" s="3">
        <v>1</v>
      </c>
      <c r="X399" s="3">
        <v>0</v>
      </c>
      <c r="Y399" s="3">
        <v>0</v>
      </c>
      <c r="Z399" s="3">
        <v>1</v>
      </c>
      <c r="AA399" s="3">
        <v>0</v>
      </c>
    </row>
    <row r="400" spans="1:27">
      <c r="A400" t="s">
        <v>472</v>
      </c>
      <c r="B400" s="3">
        <v>3</v>
      </c>
      <c r="C400" s="3">
        <v>0</v>
      </c>
      <c r="D400" s="1">
        <v>38318</v>
      </c>
      <c r="E400" s="1">
        <v>39082</v>
      </c>
      <c r="F400" s="2">
        <f t="shared" si="6"/>
        <v>2.0917180013689256</v>
      </c>
      <c r="G400" s="3">
        <v>1</v>
      </c>
      <c r="H400" s="3">
        <v>1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75.599999999999994</v>
      </c>
      <c r="S400" s="2">
        <v>8.4</v>
      </c>
      <c r="T400" t="s">
        <v>398</v>
      </c>
      <c r="U400" s="3">
        <v>0</v>
      </c>
      <c r="V400" s="3">
        <v>1</v>
      </c>
      <c r="W400" s="3">
        <v>1</v>
      </c>
      <c r="X400" s="3">
        <v>0</v>
      </c>
      <c r="Y400" s="3">
        <v>0</v>
      </c>
      <c r="Z400" s="3">
        <v>1</v>
      </c>
      <c r="AA400" s="3">
        <v>0</v>
      </c>
    </row>
    <row r="401" spans="1:27">
      <c r="A401" t="s">
        <v>473</v>
      </c>
      <c r="B401" s="3">
        <v>3</v>
      </c>
      <c r="C401" s="3">
        <v>1</v>
      </c>
      <c r="D401" s="1">
        <v>38275</v>
      </c>
      <c r="E401" s="1">
        <v>39082</v>
      </c>
      <c r="F401" s="2">
        <f t="shared" si="6"/>
        <v>2.2094455852156059</v>
      </c>
      <c r="G401" s="3">
        <v>1</v>
      </c>
      <c r="H401" s="3">
        <v>1</v>
      </c>
      <c r="I401" s="3">
        <v>0</v>
      </c>
      <c r="J401" s="3">
        <v>0</v>
      </c>
      <c r="K401" s="3">
        <v>0</v>
      </c>
      <c r="L401" s="3">
        <v>0</v>
      </c>
      <c r="M401" s="3">
        <v>0</v>
      </c>
      <c r="N401" s="3">
        <v>1</v>
      </c>
      <c r="O401" s="3">
        <v>0</v>
      </c>
      <c r="P401" s="3">
        <v>1</v>
      </c>
      <c r="Q401" s="3">
        <v>0</v>
      </c>
      <c r="R401" s="3">
        <v>75.599999999999994</v>
      </c>
      <c r="S401" s="2">
        <v>9.1</v>
      </c>
      <c r="T401" t="s">
        <v>28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1</v>
      </c>
      <c r="AA401" s="3">
        <v>0</v>
      </c>
    </row>
    <row r="402" spans="1:27">
      <c r="A402" t="s">
        <v>378</v>
      </c>
      <c r="B402" s="3">
        <v>2</v>
      </c>
      <c r="C402" s="3">
        <v>1</v>
      </c>
      <c r="D402" s="1">
        <v>37970</v>
      </c>
      <c r="E402" s="1">
        <v>39082</v>
      </c>
      <c r="F402" s="2">
        <f t="shared" si="6"/>
        <v>3.0444900752908968</v>
      </c>
      <c r="G402" s="3">
        <v>1</v>
      </c>
      <c r="H402" s="3">
        <v>1</v>
      </c>
      <c r="I402" s="3">
        <v>0</v>
      </c>
      <c r="J402" s="3">
        <v>1</v>
      </c>
      <c r="K402" s="3">
        <v>0</v>
      </c>
      <c r="L402" s="3">
        <v>0</v>
      </c>
      <c r="M402" s="3">
        <v>0</v>
      </c>
      <c r="N402" s="3">
        <v>1</v>
      </c>
      <c r="O402" s="3">
        <v>0</v>
      </c>
      <c r="P402" s="3">
        <v>0</v>
      </c>
      <c r="Q402" s="3">
        <v>0</v>
      </c>
      <c r="R402" s="3">
        <v>75.599999999999994</v>
      </c>
      <c r="S402" s="2">
        <v>8.1999999999999993</v>
      </c>
      <c r="T402" t="s">
        <v>66</v>
      </c>
      <c r="U402" s="3">
        <v>1</v>
      </c>
      <c r="V402" s="3">
        <v>1</v>
      </c>
      <c r="W402" s="3">
        <v>0</v>
      </c>
      <c r="X402" s="3">
        <v>1</v>
      </c>
      <c r="Y402" s="3">
        <v>0</v>
      </c>
      <c r="Z402" s="3">
        <v>1</v>
      </c>
      <c r="AA402" s="3">
        <v>0</v>
      </c>
    </row>
    <row r="403" spans="1:27">
      <c r="A403" t="s">
        <v>474</v>
      </c>
      <c r="B403" s="3">
        <v>2</v>
      </c>
      <c r="C403" s="3">
        <v>0</v>
      </c>
      <c r="D403" s="1">
        <v>37680</v>
      </c>
      <c r="E403" s="1">
        <v>39082</v>
      </c>
      <c r="F403" s="2">
        <f t="shared" si="6"/>
        <v>3.8384668035592062</v>
      </c>
      <c r="G403" s="3">
        <v>1</v>
      </c>
      <c r="H403" s="3">
        <v>1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1</v>
      </c>
      <c r="O403" s="3">
        <v>0</v>
      </c>
      <c r="P403" s="3">
        <v>1</v>
      </c>
      <c r="Q403" s="3">
        <v>0</v>
      </c>
      <c r="R403" s="3">
        <v>75.7</v>
      </c>
      <c r="S403" s="2">
        <v>7.6</v>
      </c>
      <c r="T403" t="s">
        <v>28</v>
      </c>
      <c r="U403" s="3">
        <v>1</v>
      </c>
      <c r="V403" s="3">
        <v>1</v>
      </c>
      <c r="W403" s="3">
        <v>0</v>
      </c>
      <c r="X403" s="3">
        <v>0</v>
      </c>
      <c r="Y403" s="3">
        <v>0</v>
      </c>
      <c r="Z403" s="3">
        <v>1</v>
      </c>
      <c r="AA403" s="3">
        <v>0</v>
      </c>
    </row>
    <row r="404" spans="1:27">
      <c r="A404" t="s">
        <v>475</v>
      </c>
      <c r="B404" s="3">
        <v>3</v>
      </c>
      <c r="C404" s="3">
        <v>0</v>
      </c>
      <c r="D404" s="1">
        <v>37712</v>
      </c>
      <c r="E404" s="1">
        <v>39082</v>
      </c>
      <c r="F404" s="2">
        <f t="shared" si="6"/>
        <v>3.7508555783709787</v>
      </c>
      <c r="G404" s="3">
        <v>2</v>
      </c>
      <c r="H404" s="3">
        <v>1</v>
      </c>
      <c r="I404" s="3">
        <v>0</v>
      </c>
      <c r="J404" s="3">
        <v>1</v>
      </c>
      <c r="K404" s="3">
        <v>0</v>
      </c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75.7</v>
      </c>
      <c r="S404" s="2">
        <v>8.9</v>
      </c>
      <c r="T404" t="s">
        <v>28</v>
      </c>
      <c r="U404" s="3">
        <v>0</v>
      </c>
      <c r="V404" s="3">
        <v>0</v>
      </c>
      <c r="W404" s="3">
        <v>1</v>
      </c>
      <c r="X404" s="3">
        <v>1</v>
      </c>
      <c r="Y404" s="3">
        <v>0</v>
      </c>
      <c r="Z404" s="3">
        <v>0</v>
      </c>
      <c r="AA404" s="3">
        <v>0</v>
      </c>
    </row>
    <row r="405" spans="1:27">
      <c r="A405" t="s">
        <v>476</v>
      </c>
      <c r="B405" s="3">
        <v>2</v>
      </c>
      <c r="C405" s="3">
        <v>0</v>
      </c>
      <c r="D405" s="1">
        <v>38062</v>
      </c>
      <c r="E405" s="1">
        <v>39082</v>
      </c>
      <c r="F405" s="2">
        <f t="shared" si="6"/>
        <v>2.7926078028747434</v>
      </c>
      <c r="G405" s="3">
        <v>1</v>
      </c>
      <c r="H405" s="3">
        <v>1</v>
      </c>
      <c r="I405" s="3">
        <v>0</v>
      </c>
      <c r="J405" s="3">
        <v>0</v>
      </c>
      <c r="K405" s="3">
        <v>1</v>
      </c>
      <c r="L405" s="3">
        <v>0</v>
      </c>
      <c r="M405" s="3">
        <v>0</v>
      </c>
      <c r="N405" s="3">
        <v>1</v>
      </c>
      <c r="O405" s="3">
        <v>0</v>
      </c>
      <c r="P405" s="3">
        <v>0</v>
      </c>
      <c r="Q405" s="3">
        <v>0</v>
      </c>
      <c r="R405" s="3">
        <v>75.900000000000006</v>
      </c>
      <c r="S405" s="2">
        <v>8.9</v>
      </c>
      <c r="T405" t="s">
        <v>28</v>
      </c>
      <c r="U405" s="3">
        <v>1</v>
      </c>
      <c r="V405" s="3">
        <v>1</v>
      </c>
      <c r="W405" s="3">
        <v>0</v>
      </c>
      <c r="X405" s="3">
        <v>0</v>
      </c>
      <c r="Y405" s="3">
        <v>0</v>
      </c>
      <c r="Z405" s="3">
        <v>1</v>
      </c>
      <c r="AA405" s="3">
        <v>0</v>
      </c>
    </row>
    <row r="406" spans="1:27">
      <c r="A406" t="s">
        <v>477</v>
      </c>
      <c r="B406" s="3">
        <v>3</v>
      </c>
      <c r="C406" s="3">
        <v>0</v>
      </c>
      <c r="D406" s="1">
        <v>38006</v>
      </c>
      <c r="E406" s="1">
        <v>39082</v>
      </c>
      <c r="F406" s="2">
        <f t="shared" si="6"/>
        <v>2.945927446954141</v>
      </c>
      <c r="G406" s="3">
        <v>1</v>
      </c>
      <c r="H406" s="3">
        <v>1</v>
      </c>
      <c r="I406" s="3">
        <v>0</v>
      </c>
      <c r="J406" s="3">
        <v>0</v>
      </c>
      <c r="K406" s="3">
        <v>0</v>
      </c>
      <c r="L406" s="3">
        <v>1</v>
      </c>
      <c r="M406" s="3">
        <v>1</v>
      </c>
      <c r="N406" s="3">
        <v>1</v>
      </c>
      <c r="O406" s="3">
        <v>0</v>
      </c>
      <c r="P406" s="3">
        <v>1</v>
      </c>
      <c r="Q406" s="3">
        <v>0</v>
      </c>
      <c r="R406" s="3">
        <v>75.900000000000006</v>
      </c>
      <c r="S406" s="2">
        <v>9.5</v>
      </c>
      <c r="T406" t="s">
        <v>44</v>
      </c>
      <c r="U406" s="3">
        <v>1</v>
      </c>
      <c r="V406" s="3">
        <v>1</v>
      </c>
      <c r="W406" s="3">
        <v>0</v>
      </c>
      <c r="X406" s="3">
        <v>1</v>
      </c>
      <c r="Y406" s="3">
        <v>1</v>
      </c>
      <c r="Z406" s="3">
        <v>1</v>
      </c>
      <c r="AA406" s="3">
        <v>0</v>
      </c>
    </row>
    <row r="407" spans="1:27">
      <c r="A407" t="s">
        <v>478</v>
      </c>
      <c r="B407" s="3">
        <v>3</v>
      </c>
      <c r="C407" s="3">
        <v>1</v>
      </c>
      <c r="D407" s="1">
        <v>37623</v>
      </c>
      <c r="E407" s="1">
        <v>39082</v>
      </c>
      <c r="F407" s="2">
        <f t="shared" si="6"/>
        <v>3.9945242984257359</v>
      </c>
      <c r="G407" s="3">
        <v>2</v>
      </c>
      <c r="H407" s="3">
        <v>1</v>
      </c>
      <c r="I407" s="3">
        <v>0</v>
      </c>
      <c r="J407" s="3">
        <v>1</v>
      </c>
      <c r="K407" s="3">
        <v>0</v>
      </c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76</v>
      </c>
      <c r="S407" s="2">
        <v>8.1999999999999993</v>
      </c>
      <c r="T407" t="s">
        <v>28</v>
      </c>
      <c r="U407" s="3">
        <v>0</v>
      </c>
      <c r="V407" s="3">
        <v>0</v>
      </c>
      <c r="W407" s="3">
        <v>1</v>
      </c>
      <c r="X407" s="3">
        <v>0</v>
      </c>
      <c r="Y407" s="3">
        <v>1</v>
      </c>
      <c r="Z407" s="3">
        <v>0</v>
      </c>
      <c r="AA407" s="3">
        <v>0</v>
      </c>
    </row>
    <row r="408" spans="1:27">
      <c r="A408" t="s">
        <v>479</v>
      </c>
      <c r="B408" s="3">
        <v>3</v>
      </c>
      <c r="C408" s="3">
        <v>0</v>
      </c>
      <c r="D408" s="1">
        <v>38231</v>
      </c>
      <c r="E408" s="1">
        <v>39082</v>
      </c>
      <c r="F408" s="2">
        <f t="shared" si="6"/>
        <v>2.3299110198494182</v>
      </c>
      <c r="G408" s="3">
        <v>1</v>
      </c>
      <c r="H408" s="3">
        <v>1</v>
      </c>
      <c r="I408" s="3">
        <v>0</v>
      </c>
      <c r="J408" s="3">
        <v>0</v>
      </c>
      <c r="K408" s="3">
        <v>0</v>
      </c>
      <c r="L408" s="3">
        <v>0</v>
      </c>
      <c r="M408" s="3">
        <v>0</v>
      </c>
      <c r="N408" s="3">
        <v>0</v>
      </c>
      <c r="O408" s="3">
        <v>0</v>
      </c>
      <c r="P408" s="3">
        <v>1</v>
      </c>
      <c r="Q408" s="3">
        <v>0</v>
      </c>
      <c r="R408" s="3">
        <v>76.099999999999994</v>
      </c>
      <c r="S408" s="2">
        <v>9</v>
      </c>
      <c r="T408" t="s">
        <v>105</v>
      </c>
      <c r="U408" s="3">
        <v>0</v>
      </c>
      <c r="V408" s="3">
        <v>0</v>
      </c>
      <c r="W408" s="3">
        <v>1</v>
      </c>
      <c r="X408" s="3">
        <v>1</v>
      </c>
      <c r="Y408" s="3">
        <v>1</v>
      </c>
      <c r="Z408" s="3">
        <v>1</v>
      </c>
      <c r="AA408" s="3">
        <v>0</v>
      </c>
    </row>
    <row r="409" spans="1:27">
      <c r="A409" t="s">
        <v>480</v>
      </c>
      <c r="B409" s="3">
        <v>3</v>
      </c>
      <c r="C409" s="3">
        <v>1</v>
      </c>
      <c r="D409" s="1">
        <v>37987</v>
      </c>
      <c r="E409" s="1">
        <v>39082</v>
      </c>
      <c r="F409" s="2">
        <f t="shared" si="6"/>
        <v>2.9979466119096507</v>
      </c>
      <c r="G409" s="3">
        <v>1</v>
      </c>
      <c r="H409" s="3">
        <v>1</v>
      </c>
      <c r="I409" s="3">
        <v>0</v>
      </c>
      <c r="J409" s="3">
        <v>1</v>
      </c>
      <c r="K409" s="3">
        <v>1</v>
      </c>
      <c r="L409" s="3">
        <v>0</v>
      </c>
      <c r="M409" s="3">
        <v>0</v>
      </c>
      <c r="N409" s="3">
        <v>1</v>
      </c>
      <c r="O409" s="3">
        <v>0</v>
      </c>
      <c r="P409" s="3">
        <v>1</v>
      </c>
      <c r="Q409" s="3">
        <v>0</v>
      </c>
      <c r="R409" s="3">
        <v>76.099999999999994</v>
      </c>
      <c r="S409" s="2">
        <v>8.9</v>
      </c>
      <c r="T409" t="s">
        <v>28</v>
      </c>
      <c r="U409" s="3">
        <v>0</v>
      </c>
      <c r="V409" s="3">
        <v>0</v>
      </c>
      <c r="W409" s="3">
        <v>1</v>
      </c>
      <c r="X409" s="3">
        <v>1</v>
      </c>
      <c r="Y409" s="3">
        <v>1</v>
      </c>
      <c r="Z409" s="3">
        <v>1</v>
      </c>
      <c r="AA409" s="3">
        <v>0</v>
      </c>
    </row>
    <row r="410" spans="1:27">
      <c r="A410" t="s">
        <v>481</v>
      </c>
      <c r="B410" s="3">
        <v>3</v>
      </c>
      <c r="C410" s="3">
        <v>1</v>
      </c>
      <c r="D410" s="1">
        <v>38169</v>
      </c>
      <c r="E410" s="1">
        <v>39082</v>
      </c>
      <c r="F410" s="2">
        <f t="shared" si="6"/>
        <v>2.4996577686516086</v>
      </c>
      <c r="G410" s="3">
        <v>2</v>
      </c>
      <c r="H410" s="3">
        <v>1</v>
      </c>
      <c r="I410" s="3">
        <v>0</v>
      </c>
      <c r="J410" s="3">
        <v>1</v>
      </c>
      <c r="K410" s="3">
        <v>0</v>
      </c>
      <c r="L410" s="3">
        <v>0</v>
      </c>
      <c r="M410" s="3">
        <v>0</v>
      </c>
      <c r="N410" s="3">
        <v>0</v>
      </c>
      <c r="O410" s="3">
        <v>0</v>
      </c>
      <c r="P410" s="3">
        <v>1</v>
      </c>
      <c r="Q410" s="3">
        <v>0</v>
      </c>
      <c r="R410" s="3">
        <v>76.099999999999994</v>
      </c>
      <c r="S410" s="2">
        <v>9.8000000000000007</v>
      </c>
      <c r="T410" t="s">
        <v>28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</row>
    <row r="411" spans="1:27">
      <c r="A411" t="s">
        <v>144</v>
      </c>
      <c r="B411" s="3">
        <v>3</v>
      </c>
      <c r="C411" s="3">
        <v>1</v>
      </c>
      <c r="D411" s="1">
        <v>38169</v>
      </c>
      <c r="E411" s="1">
        <v>39082</v>
      </c>
      <c r="F411" s="2">
        <f t="shared" si="6"/>
        <v>2.4996577686516086</v>
      </c>
      <c r="G411" s="3">
        <v>2</v>
      </c>
      <c r="H411" s="3">
        <v>1</v>
      </c>
      <c r="I411" s="3">
        <v>0</v>
      </c>
      <c r="J411" s="3">
        <v>1</v>
      </c>
      <c r="K411" s="3">
        <v>0</v>
      </c>
      <c r="L411" s="3">
        <v>0</v>
      </c>
      <c r="M411" s="3">
        <v>0</v>
      </c>
      <c r="N411" s="3">
        <v>0</v>
      </c>
      <c r="O411" s="3">
        <v>0</v>
      </c>
      <c r="P411" s="3">
        <v>1</v>
      </c>
      <c r="Q411" s="3">
        <v>0</v>
      </c>
      <c r="R411" s="3">
        <v>76.099999999999994</v>
      </c>
      <c r="S411" s="2">
        <v>9.1999999999999993</v>
      </c>
      <c r="T411" t="s">
        <v>28</v>
      </c>
      <c r="U411" s="3">
        <v>0</v>
      </c>
      <c r="V411" s="3">
        <v>0</v>
      </c>
      <c r="W411" s="3">
        <v>1</v>
      </c>
      <c r="X411" s="3">
        <v>1</v>
      </c>
      <c r="Y411" s="3">
        <v>1</v>
      </c>
      <c r="Z411" s="3">
        <v>0</v>
      </c>
      <c r="AA411" s="3">
        <v>0</v>
      </c>
    </row>
    <row r="412" spans="1:27">
      <c r="A412" t="s">
        <v>482</v>
      </c>
      <c r="B412" s="3">
        <v>2</v>
      </c>
      <c r="C412" s="3">
        <v>0</v>
      </c>
      <c r="D412" s="1">
        <v>37445</v>
      </c>
      <c r="E412" s="1">
        <v>39082</v>
      </c>
      <c r="F412" s="2">
        <f t="shared" si="6"/>
        <v>4.4818617385352502</v>
      </c>
      <c r="G412" s="3">
        <v>1</v>
      </c>
      <c r="H412" s="3">
        <v>1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76.2</v>
      </c>
      <c r="S412" s="2">
        <v>9.4</v>
      </c>
      <c r="T412" t="s">
        <v>44</v>
      </c>
      <c r="U412" s="3">
        <v>1</v>
      </c>
      <c r="V412" s="3">
        <v>1</v>
      </c>
      <c r="W412" s="3">
        <v>0</v>
      </c>
      <c r="X412" s="3">
        <v>0</v>
      </c>
      <c r="Y412" s="3">
        <v>0</v>
      </c>
      <c r="Z412" s="3">
        <v>1</v>
      </c>
      <c r="AA412" s="3">
        <v>0</v>
      </c>
    </row>
    <row r="413" spans="1:27">
      <c r="A413" t="s">
        <v>139</v>
      </c>
      <c r="B413" s="3">
        <v>2</v>
      </c>
      <c r="C413" s="3">
        <v>0</v>
      </c>
      <c r="D413" s="1">
        <v>38243</v>
      </c>
      <c r="E413" s="1">
        <v>39082</v>
      </c>
      <c r="F413" s="2">
        <f t="shared" si="6"/>
        <v>2.2970568104038329</v>
      </c>
      <c r="G413" s="3">
        <v>2</v>
      </c>
      <c r="H413" s="3">
        <v>1</v>
      </c>
      <c r="I413" s="3">
        <v>1</v>
      </c>
      <c r="J413" s="3">
        <v>0</v>
      </c>
      <c r="K413" s="3">
        <v>1</v>
      </c>
      <c r="L413" s="3">
        <v>0</v>
      </c>
      <c r="M413" s="3">
        <v>0</v>
      </c>
      <c r="N413" s="3">
        <v>1</v>
      </c>
      <c r="O413" s="3">
        <v>1</v>
      </c>
      <c r="P413" s="3">
        <v>0</v>
      </c>
      <c r="Q413" s="3">
        <v>0</v>
      </c>
      <c r="R413" s="3">
        <v>76.2</v>
      </c>
      <c r="S413" s="2">
        <v>8.5</v>
      </c>
      <c r="T413" t="s">
        <v>28</v>
      </c>
      <c r="U413" s="3">
        <v>1</v>
      </c>
      <c r="V413" s="3">
        <v>1</v>
      </c>
      <c r="W413" s="3">
        <v>1</v>
      </c>
      <c r="X413" s="3">
        <v>0</v>
      </c>
      <c r="Y413" s="3">
        <v>0</v>
      </c>
      <c r="Z413" s="3">
        <v>0</v>
      </c>
      <c r="AA413" s="3">
        <v>0</v>
      </c>
    </row>
    <row r="414" spans="1:27">
      <c r="A414" t="s">
        <v>483</v>
      </c>
      <c r="B414" s="3">
        <v>3</v>
      </c>
      <c r="C414" s="3">
        <v>1</v>
      </c>
      <c r="D414" s="1">
        <v>38217</v>
      </c>
      <c r="E414" s="1">
        <v>39082</v>
      </c>
      <c r="F414" s="2">
        <f t="shared" si="6"/>
        <v>2.3682409308692676</v>
      </c>
      <c r="G414" s="3">
        <v>1</v>
      </c>
      <c r="H414" s="3">
        <v>1</v>
      </c>
      <c r="I414" s="3">
        <v>0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76.3</v>
      </c>
      <c r="S414" s="2">
        <v>10.4</v>
      </c>
      <c r="T414" t="s">
        <v>44</v>
      </c>
      <c r="U414" s="3">
        <v>1</v>
      </c>
      <c r="V414" s="3">
        <v>1</v>
      </c>
      <c r="W414" s="3">
        <v>1</v>
      </c>
      <c r="X414" s="3">
        <v>0</v>
      </c>
      <c r="Y414" s="3">
        <v>0</v>
      </c>
      <c r="Z414" s="3">
        <v>1</v>
      </c>
      <c r="AA414" s="3">
        <v>0</v>
      </c>
    </row>
    <row r="415" spans="1:27">
      <c r="A415" t="s">
        <v>484</v>
      </c>
      <c r="B415" s="3">
        <v>3</v>
      </c>
      <c r="C415" s="3">
        <v>1</v>
      </c>
      <c r="D415" s="1">
        <v>37927</v>
      </c>
      <c r="E415" s="1">
        <v>39082</v>
      </c>
      <c r="F415" s="2">
        <f t="shared" si="6"/>
        <v>3.162217659137577</v>
      </c>
      <c r="G415" s="3">
        <v>1</v>
      </c>
      <c r="H415" s="3">
        <v>1</v>
      </c>
      <c r="I415" s="3">
        <v>0</v>
      </c>
      <c r="J415" s="3">
        <v>0</v>
      </c>
      <c r="K415" s="3">
        <v>0</v>
      </c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76.3</v>
      </c>
      <c r="S415" s="2">
        <v>10</v>
      </c>
      <c r="T415" t="s">
        <v>172</v>
      </c>
      <c r="U415" s="3">
        <v>0</v>
      </c>
      <c r="V415" s="3">
        <v>0</v>
      </c>
      <c r="W415" s="3">
        <v>1</v>
      </c>
      <c r="X415" s="3">
        <v>1</v>
      </c>
      <c r="Y415" s="3">
        <v>0</v>
      </c>
      <c r="Z415" s="3">
        <v>1</v>
      </c>
      <c r="AA415" s="3">
        <v>0</v>
      </c>
    </row>
    <row r="416" spans="1:27">
      <c r="A416" t="s">
        <v>485</v>
      </c>
      <c r="B416" s="3">
        <v>2</v>
      </c>
      <c r="C416" s="3">
        <v>0</v>
      </c>
      <c r="D416" s="1">
        <v>37807</v>
      </c>
      <c r="E416" s="1">
        <v>39082</v>
      </c>
      <c r="F416" s="2">
        <f t="shared" si="6"/>
        <v>3.4907597535934292</v>
      </c>
      <c r="G416" s="3">
        <v>2</v>
      </c>
      <c r="H416" s="3">
        <v>0</v>
      </c>
      <c r="I416" s="3">
        <v>0</v>
      </c>
      <c r="J416" s="3">
        <v>1</v>
      </c>
      <c r="K416" s="3">
        <v>0</v>
      </c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76.400000000000006</v>
      </c>
      <c r="S416" s="2">
        <v>8.6999999999999993</v>
      </c>
      <c r="T416" t="s">
        <v>69</v>
      </c>
      <c r="U416" s="3">
        <v>1</v>
      </c>
      <c r="V416" s="3">
        <v>1</v>
      </c>
      <c r="W416" s="3">
        <v>1</v>
      </c>
      <c r="X416" s="3">
        <v>1</v>
      </c>
      <c r="Y416" s="3">
        <v>0</v>
      </c>
      <c r="Z416" s="3">
        <v>0</v>
      </c>
      <c r="AA416" s="3">
        <v>0</v>
      </c>
    </row>
    <row r="417" spans="1:27">
      <c r="A417" t="s">
        <v>486</v>
      </c>
      <c r="B417" s="3">
        <v>2</v>
      </c>
      <c r="C417" s="3">
        <v>1</v>
      </c>
      <c r="D417" s="1">
        <v>37996</v>
      </c>
      <c r="E417" s="1">
        <v>39082</v>
      </c>
      <c r="F417" s="2">
        <f t="shared" si="6"/>
        <v>2.9733059548254621</v>
      </c>
      <c r="G417" s="3">
        <v>1</v>
      </c>
      <c r="H417" s="3">
        <v>1</v>
      </c>
      <c r="I417" s="3">
        <v>0</v>
      </c>
      <c r="J417" s="3">
        <v>0</v>
      </c>
      <c r="K417" s="3">
        <v>0</v>
      </c>
      <c r="L417" s="3">
        <v>0</v>
      </c>
      <c r="M417" s="3">
        <v>0</v>
      </c>
      <c r="N417" s="3">
        <v>1</v>
      </c>
      <c r="O417" s="3">
        <v>0</v>
      </c>
      <c r="P417" s="3">
        <v>0</v>
      </c>
      <c r="Q417" s="3">
        <v>0</v>
      </c>
      <c r="R417" s="3">
        <v>76.5</v>
      </c>
      <c r="S417" s="2">
        <v>8.9</v>
      </c>
      <c r="T417" t="s">
        <v>66</v>
      </c>
      <c r="U417" s="3">
        <v>0</v>
      </c>
      <c r="V417" s="3">
        <v>1</v>
      </c>
      <c r="W417" s="3">
        <v>0</v>
      </c>
      <c r="X417" s="3">
        <v>0</v>
      </c>
      <c r="Y417" s="3">
        <v>0</v>
      </c>
      <c r="Z417" s="3">
        <v>1</v>
      </c>
      <c r="AA417" s="3">
        <v>0</v>
      </c>
    </row>
    <row r="418" spans="1:27">
      <c r="A418" t="s">
        <v>487</v>
      </c>
      <c r="B418" s="3">
        <v>2</v>
      </c>
      <c r="C418" s="3">
        <v>0</v>
      </c>
      <c r="D418" s="1">
        <v>37646</v>
      </c>
      <c r="E418" s="1">
        <v>39082</v>
      </c>
      <c r="F418" s="2">
        <f t="shared" si="6"/>
        <v>3.9315537303216974</v>
      </c>
      <c r="G418" s="3">
        <v>2</v>
      </c>
      <c r="H418" s="3">
        <v>1</v>
      </c>
      <c r="I418" s="3">
        <v>0</v>
      </c>
      <c r="J418" s="3">
        <v>0</v>
      </c>
      <c r="K418" s="3">
        <v>0</v>
      </c>
      <c r="L418" s="3">
        <v>1</v>
      </c>
      <c r="M418" s="3">
        <v>0</v>
      </c>
      <c r="N418" s="3">
        <v>0</v>
      </c>
      <c r="O418" s="3">
        <v>0</v>
      </c>
      <c r="P418" s="3">
        <v>1</v>
      </c>
      <c r="Q418" s="3">
        <v>0</v>
      </c>
      <c r="R418" s="3">
        <v>76.599999999999994</v>
      </c>
      <c r="S418" s="2">
        <v>11.9</v>
      </c>
      <c r="T418" t="s">
        <v>300</v>
      </c>
      <c r="U418" s="3">
        <v>1</v>
      </c>
      <c r="V418" s="3">
        <v>1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</row>
    <row r="419" spans="1:27">
      <c r="A419" t="s">
        <v>488</v>
      </c>
      <c r="B419" s="3">
        <v>3</v>
      </c>
      <c r="C419" s="3">
        <v>0</v>
      </c>
      <c r="D419" s="1">
        <v>38215</v>
      </c>
      <c r="E419" s="1">
        <v>39082</v>
      </c>
      <c r="F419" s="2">
        <f t="shared" si="6"/>
        <v>2.3737166324435317</v>
      </c>
      <c r="G419" s="3">
        <v>2</v>
      </c>
      <c r="H419" s="3">
        <v>1</v>
      </c>
      <c r="I419" s="3">
        <v>0</v>
      </c>
      <c r="J419" s="3">
        <v>0</v>
      </c>
      <c r="K419" s="3">
        <v>1</v>
      </c>
      <c r="L419" s="3">
        <v>0</v>
      </c>
      <c r="M419" s="3">
        <v>0</v>
      </c>
      <c r="N419" s="3">
        <v>1</v>
      </c>
      <c r="O419" s="3">
        <v>0</v>
      </c>
      <c r="P419" s="3">
        <v>1</v>
      </c>
      <c r="Q419" s="3">
        <v>0</v>
      </c>
      <c r="R419" s="3">
        <v>76.599999999999994</v>
      </c>
      <c r="S419" s="2">
        <v>8.9</v>
      </c>
      <c r="T419" t="s">
        <v>28</v>
      </c>
      <c r="U419" s="3">
        <v>0</v>
      </c>
      <c r="V419" s="5" t="e">
        <v>#NULL!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</row>
    <row r="420" spans="1:27">
      <c r="A420" t="s">
        <v>489</v>
      </c>
      <c r="B420" s="3">
        <v>2</v>
      </c>
      <c r="C420" s="3">
        <v>1</v>
      </c>
      <c r="D420" s="1">
        <v>37757</v>
      </c>
      <c r="E420" s="1">
        <v>39082</v>
      </c>
      <c r="F420" s="2">
        <f t="shared" si="6"/>
        <v>3.6276522929500343</v>
      </c>
      <c r="G420" s="3">
        <v>1</v>
      </c>
      <c r="H420" s="3">
        <v>1</v>
      </c>
      <c r="I420" s="3">
        <v>0</v>
      </c>
      <c r="J420" s="3">
        <v>0</v>
      </c>
      <c r="K420" s="3">
        <v>0</v>
      </c>
      <c r="L420" s="3">
        <v>0</v>
      </c>
      <c r="M420" s="3">
        <v>0</v>
      </c>
      <c r="N420" s="3">
        <v>1</v>
      </c>
      <c r="O420" s="3">
        <v>1</v>
      </c>
      <c r="P420" s="3">
        <v>0</v>
      </c>
      <c r="Q420" s="3">
        <v>0</v>
      </c>
      <c r="R420" s="3">
        <v>76.7</v>
      </c>
      <c r="S420" s="2">
        <v>7.8</v>
      </c>
      <c r="T420" t="s">
        <v>66</v>
      </c>
      <c r="U420" s="3">
        <v>1</v>
      </c>
      <c r="V420" s="3">
        <v>1</v>
      </c>
      <c r="W420" s="3">
        <v>1</v>
      </c>
      <c r="X420" s="3">
        <v>1</v>
      </c>
      <c r="Y420" s="3">
        <v>1</v>
      </c>
      <c r="Z420" s="3">
        <v>1</v>
      </c>
      <c r="AA420" s="3">
        <v>0</v>
      </c>
    </row>
    <row r="421" spans="1:27">
      <c r="A421" t="s">
        <v>490</v>
      </c>
      <c r="B421" s="3">
        <v>1</v>
      </c>
      <c r="C421" s="3">
        <v>0</v>
      </c>
      <c r="D421" s="1">
        <v>37817</v>
      </c>
      <c r="E421" s="1">
        <v>39082</v>
      </c>
      <c r="F421" s="2">
        <f t="shared" si="6"/>
        <v>3.463381245722108</v>
      </c>
      <c r="G421" s="3">
        <v>1</v>
      </c>
      <c r="H421" s="3">
        <v>1</v>
      </c>
      <c r="I421" s="3">
        <v>0</v>
      </c>
      <c r="J421" s="3">
        <v>0</v>
      </c>
      <c r="K421" s="3">
        <v>0</v>
      </c>
      <c r="L421" s="3">
        <v>0</v>
      </c>
      <c r="M421" s="3">
        <v>0</v>
      </c>
      <c r="N421" s="3">
        <v>1</v>
      </c>
      <c r="O421" s="3">
        <v>0</v>
      </c>
      <c r="P421" s="3">
        <v>1</v>
      </c>
      <c r="Q421" s="3">
        <v>0</v>
      </c>
      <c r="R421" s="3">
        <v>76.8</v>
      </c>
      <c r="S421" s="2">
        <v>10.3</v>
      </c>
      <c r="T421" t="s">
        <v>28</v>
      </c>
      <c r="U421" s="3">
        <v>0</v>
      </c>
      <c r="V421" s="3">
        <v>1</v>
      </c>
      <c r="W421" s="3">
        <v>1</v>
      </c>
      <c r="X421" s="3">
        <v>0</v>
      </c>
      <c r="Y421" s="3">
        <v>0</v>
      </c>
      <c r="Z421" s="3">
        <v>1</v>
      </c>
      <c r="AA421" s="3">
        <v>0</v>
      </c>
    </row>
    <row r="422" spans="1:27">
      <c r="A422" t="s">
        <v>491</v>
      </c>
      <c r="B422" s="3">
        <v>3</v>
      </c>
      <c r="C422" s="3">
        <v>0</v>
      </c>
      <c r="D422" s="1">
        <v>38078</v>
      </c>
      <c r="E422" s="1">
        <v>39082</v>
      </c>
      <c r="F422" s="2">
        <f t="shared" si="6"/>
        <v>2.7488021902806299</v>
      </c>
      <c r="G422" s="3">
        <v>1</v>
      </c>
      <c r="H422" s="3">
        <v>1</v>
      </c>
      <c r="I422" s="3">
        <v>0</v>
      </c>
      <c r="J422" s="3">
        <v>1</v>
      </c>
      <c r="K422" s="3">
        <v>0</v>
      </c>
      <c r="L422" s="3">
        <v>0</v>
      </c>
      <c r="M422" s="3">
        <v>0</v>
      </c>
      <c r="N422" s="3">
        <v>1</v>
      </c>
      <c r="O422" s="3">
        <v>0</v>
      </c>
      <c r="P422" s="3">
        <v>1</v>
      </c>
      <c r="Q422" s="3">
        <v>0</v>
      </c>
      <c r="R422" s="3">
        <v>76.8</v>
      </c>
      <c r="S422" s="2">
        <v>11</v>
      </c>
      <c r="T422" t="s">
        <v>28</v>
      </c>
      <c r="U422" s="3">
        <v>0</v>
      </c>
      <c r="V422" s="3">
        <v>0</v>
      </c>
      <c r="W422" s="3">
        <v>1</v>
      </c>
      <c r="X422" s="3">
        <v>1</v>
      </c>
      <c r="Y422" s="3">
        <v>1</v>
      </c>
      <c r="Z422" s="3">
        <v>1</v>
      </c>
      <c r="AA422" s="3">
        <v>0</v>
      </c>
    </row>
    <row r="423" spans="1:27">
      <c r="A423" t="s">
        <v>492</v>
      </c>
      <c r="B423" s="3">
        <v>3</v>
      </c>
      <c r="C423" s="3">
        <v>0</v>
      </c>
      <c r="D423" s="1">
        <v>38310</v>
      </c>
      <c r="E423" s="1">
        <v>39082</v>
      </c>
      <c r="F423" s="2">
        <f t="shared" si="6"/>
        <v>2.1136208076659821</v>
      </c>
      <c r="G423" s="3">
        <v>2</v>
      </c>
      <c r="H423" s="3">
        <v>1</v>
      </c>
      <c r="I423" s="3">
        <v>0</v>
      </c>
      <c r="J423" s="3">
        <v>1</v>
      </c>
      <c r="K423" s="3">
        <v>0</v>
      </c>
      <c r="L423" s="3">
        <v>0</v>
      </c>
      <c r="M423" s="3">
        <v>0</v>
      </c>
      <c r="N423" s="3">
        <v>0</v>
      </c>
      <c r="O423" s="3">
        <v>0</v>
      </c>
      <c r="P423" s="3">
        <v>1</v>
      </c>
      <c r="Q423" s="3">
        <v>0</v>
      </c>
      <c r="R423" s="3">
        <v>76.8</v>
      </c>
      <c r="S423" s="2">
        <v>9</v>
      </c>
      <c r="T423" t="s">
        <v>105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</row>
    <row r="424" spans="1:27">
      <c r="A424" t="s">
        <v>493</v>
      </c>
      <c r="B424" s="3">
        <v>1</v>
      </c>
      <c r="C424" s="3">
        <v>1</v>
      </c>
      <c r="D424" s="1">
        <v>38057</v>
      </c>
      <c r="E424" s="1">
        <v>39082</v>
      </c>
      <c r="F424" s="2">
        <f t="shared" si="6"/>
        <v>2.8062970568104038</v>
      </c>
      <c r="G424" s="3">
        <v>1</v>
      </c>
      <c r="H424" s="3">
        <v>1</v>
      </c>
      <c r="I424" s="3">
        <v>0</v>
      </c>
      <c r="J424" s="3">
        <v>0</v>
      </c>
      <c r="K424" s="3">
        <v>0</v>
      </c>
      <c r="L424" s="3">
        <v>0</v>
      </c>
      <c r="M424" s="3">
        <v>0</v>
      </c>
      <c r="N424" s="3">
        <v>1</v>
      </c>
      <c r="O424" s="3">
        <v>0</v>
      </c>
      <c r="P424" s="3">
        <v>0</v>
      </c>
      <c r="Q424" s="3">
        <v>0</v>
      </c>
      <c r="R424" s="3">
        <v>76.900000000000006</v>
      </c>
      <c r="S424" s="2">
        <v>10.199999999999999</v>
      </c>
      <c r="T424" t="s">
        <v>494</v>
      </c>
      <c r="U424" s="3">
        <v>1</v>
      </c>
      <c r="V424" s="3">
        <v>1</v>
      </c>
      <c r="W424" s="3">
        <v>0</v>
      </c>
      <c r="X424" s="3">
        <v>1</v>
      </c>
      <c r="Y424" s="3">
        <v>1</v>
      </c>
      <c r="Z424" s="3">
        <v>1</v>
      </c>
      <c r="AA424" s="3">
        <v>0</v>
      </c>
    </row>
    <row r="425" spans="1:27">
      <c r="A425" t="s">
        <v>495</v>
      </c>
      <c r="B425" s="3">
        <v>3</v>
      </c>
      <c r="C425" s="3">
        <v>1</v>
      </c>
      <c r="D425" s="1">
        <v>37591</v>
      </c>
      <c r="E425" s="1">
        <v>39082</v>
      </c>
      <c r="F425" s="2">
        <f t="shared" si="6"/>
        <v>4.0821355236139629</v>
      </c>
      <c r="G425" s="3">
        <v>1</v>
      </c>
      <c r="H425" s="3">
        <v>1</v>
      </c>
      <c r="I425" s="3">
        <v>0</v>
      </c>
      <c r="J425" s="3">
        <v>1</v>
      </c>
      <c r="K425" s="3">
        <v>0</v>
      </c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76.900000000000006</v>
      </c>
      <c r="S425" s="2">
        <v>9.6</v>
      </c>
      <c r="T425" t="s">
        <v>40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1</v>
      </c>
      <c r="AA425" s="3">
        <v>0</v>
      </c>
    </row>
    <row r="426" spans="1:27">
      <c r="A426" t="s">
        <v>496</v>
      </c>
      <c r="B426" s="3">
        <v>1</v>
      </c>
      <c r="C426" s="3">
        <v>0</v>
      </c>
      <c r="D426" s="1">
        <v>38164</v>
      </c>
      <c r="E426" s="1">
        <v>39082</v>
      </c>
      <c r="F426" s="2">
        <f t="shared" si="6"/>
        <v>2.5133470225872689</v>
      </c>
      <c r="G426" s="3">
        <v>1</v>
      </c>
      <c r="H426" s="3">
        <v>1</v>
      </c>
      <c r="I426" s="3">
        <v>1</v>
      </c>
      <c r="J426" s="3">
        <v>0</v>
      </c>
      <c r="K426" s="3">
        <v>0</v>
      </c>
      <c r="L426" s="3">
        <v>1</v>
      </c>
      <c r="M426" s="3">
        <v>0</v>
      </c>
      <c r="N426" s="3">
        <v>1</v>
      </c>
      <c r="O426" s="3">
        <v>0</v>
      </c>
      <c r="P426" s="3">
        <v>1</v>
      </c>
      <c r="Q426" s="3">
        <v>0</v>
      </c>
      <c r="R426" s="3">
        <v>76.900000000000006</v>
      </c>
      <c r="S426" s="2">
        <v>9.5</v>
      </c>
      <c r="T426" t="s">
        <v>28</v>
      </c>
      <c r="U426" s="3">
        <v>0</v>
      </c>
      <c r="V426" s="3">
        <v>1</v>
      </c>
      <c r="W426" s="3">
        <v>1</v>
      </c>
      <c r="X426" s="3">
        <v>0</v>
      </c>
      <c r="Y426" s="3">
        <v>0</v>
      </c>
      <c r="Z426" s="3">
        <v>1</v>
      </c>
      <c r="AA426" s="3">
        <v>0</v>
      </c>
    </row>
    <row r="427" spans="1:27">
      <c r="A427" t="s">
        <v>497</v>
      </c>
      <c r="B427" s="3">
        <v>1</v>
      </c>
      <c r="C427" s="3">
        <v>0</v>
      </c>
      <c r="D427" s="1">
        <v>37690</v>
      </c>
      <c r="E427" s="1">
        <v>39082</v>
      </c>
      <c r="F427" s="2">
        <f t="shared" si="6"/>
        <v>3.8110882956878851</v>
      </c>
      <c r="G427" s="3">
        <v>1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  <c r="M427" s="3">
        <v>0</v>
      </c>
      <c r="N427" s="3">
        <v>1</v>
      </c>
      <c r="O427" s="3">
        <v>0</v>
      </c>
      <c r="P427" s="3">
        <v>0</v>
      </c>
      <c r="Q427" s="3">
        <v>0</v>
      </c>
      <c r="R427" s="3">
        <v>77</v>
      </c>
      <c r="S427" s="2">
        <v>9.4</v>
      </c>
      <c r="T427" t="s">
        <v>28</v>
      </c>
      <c r="U427" s="3">
        <v>1</v>
      </c>
      <c r="V427" s="3">
        <v>1</v>
      </c>
      <c r="W427" s="3">
        <v>1</v>
      </c>
      <c r="X427" s="3">
        <v>1</v>
      </c>
      <c r="Y427" s="3">
        <v>0</v>
      </c>
      <c r="Z427" s="3">
        <v>1</v>
      </c>
      <c r="AA427" s="3">
        <v>0</v>
      </c>
    </row>
    <row r="428" spans="1:27">
      <c r="A428" t="s">
        <v>498</v>
      </c>
      <c r="B428" s="3">
        <v>1</v>
      </c>
      <c r="C428" s="3">
        <v>0</v>
      </c>
      <c r="D428" s="1">
        <v>37868</v>
      </c>
      <c r="E428" s="1">
        <v>39082</v>
      </c>
      <c r="F428" s="2">
        <f t="shared" si="6"/>
        <v>3.3237508555783708</v>
      </c>
      <c r="G428" s="3">
        <v>1</v>
      </c>
      <c r="H428" s="3">
        <v>1</v>
      </c>
      <c r="I428" s="3">
        <v>0</v>
      </c>
      <c r="J428" s="3">
        <v>0</v>
      </c>
      <c r="K428" s="3">
        <v>0</v>
      </c>
      <c r="L428" s="3">
        <v>1</v>
      </c>
      <c r="M428" s="3">
        <v>0</v>
      </c>
      <c r="N428" s="3">
        <v>1</v>
      </c>
      <c r="O428" s="3">
        <v>0</v>
      </c>
      <c r="P428" s="3">
        <v>0</v>
      </c>
      <c r="Q428" s="3">
        <v>0</v>
      </c>
      <c r="R428" s="3">
        <v>77</v>
      </c>
      <c r="S428" s="2">
        <v>10.199999999999999</v>
      </c>
      <c r="T428" t="s">
        <v>372</v>
      </c>
      <c r="U428" s="3">
        <v>1</v>
      </c>
      <c r="V428" s="3">
        <v>1</v>
      </c>
      <c r="W428" s="3">
        <v>0</v>
      </c>
      <c r="X428" s="3">
        <v>0</v>
      </c>
      <c r="Y428" s="3">
        <v>0</v>
      </c>
      <c r="Z428" s="3">
        <v>1</v>
      </c>
      <c r="AA428" s="3">
        <v>0</v>
      </c>
    </row>
    <row r="429" spans="1:27">
      <c r="A429" t="s">
        <v>499</v>
      </c>
      <c r="B429" s="3">
        <v>2</v>
      </c>
      <c r="C429" s="3">
        <v>1</v>
      </c>
      <c r="D429" s="1">
        <v>37735</v>
      </c>
      <c r="E429" s="1">
        <v>39082</v>
      </c>
      <c r="F429" s="2">
        <f t="shared" si="6"/>
        <v>3.6878850102669403</v>
      </c>
      <c r="G429" s="3">
        <v>2</v>
      </c>
      <c r="H429" s="3">
        <v>1</v>
      </c>
      <c r="I429" s="3">
        <v>0</v>
      </c>
      <c r="J429" s="3">
        <v>0</v>
      </c>
      <c r="K429" s="3">
        <v>0</v>
      </c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77</v>
      </c>
      <c r="S429" s="2">
        <v>10</v>
      </c>
      <c r="T429" t="s">
        <v>66</v>
      </c>
      <c r="U429" s="3">
        <v>1</v>
      </c>
      <c r="V429" s="3">
        <v>1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</row>
    <row r="430" spans="1:27">
      <c r="A430" t="s">
        <v>500</v>
      </c>
      <c r="B430" s="3">
        <v>3</v>
      </c>
      <c r="C430" s="3">
        <v>1</v>
      </c>
      <c r="D430" s="1">
        <v>38154</v>
      </c>
      <c r="E430" s="1">
        <v>39082</v>
      </c>
      <c r="F430" s="2">
        <f t="shared" si="6"/>
        <v>2.5407255304585901</v>
      </c>
      <c r="G430" s="3">
        <v>2</v>
      </c>
      <c r="H430" s="3">
        <v>1</v>
      </c>
      <c r="I430" s="3">
        <v>0</v>
      </c>
      <c r="J430" s="3">
        <v>0</v>
      </c>
      <c r="K430" s="3">
        <v>0</v>
      </c>
      <c r="L430" s="3">
        <v>0</v>
      </c>
      <c r="M430" s="3">
        <v>0</v>
      </c>
      <c r="N430" s="3">
        <v>1</v>
      </c>
      <c r="O430" s="3">
        <v>0</v>
      </c>
      <c r="P430" s="3">
        <v>0</v>
      </c>
      <c r="Q430" s="3">
        <v>0</v>
      </c>
      <c r="R430" s="3">
        <v>77</v>
      </c>
      <c r="S430" s="2">
        <v>8.9</v>
      </c>
      <c r="T430" t="s">
        <v>28</v>
      </c>
      <c r="U430" s="3">
        <v>1</v>
      </c>
      <c r="V430" s="3">
        <v>1</v>
      </c>
      <c r="W430" s="3">
        <v>1</v>
      </c>
      <c r="X430" s="3">
        <v>1</v>
      </c>
      <c r="Y430" s="3">
        <v>0</v>
      </c>
      <c r="Z430" s="3">
        <v>0</v>
      </c>
      <c r="AA430" s="3">
        <v>0</v>
      </c>
    </row>
    <row r="431" spans="1:27">
      <c r="A431" t="s">
        <v>501</v>
      </c>
      <c r="B431" s="3">
        <v>1</v>
      </c>
      <c r="C431" s="3">
        <v>1</v>
      </c>
      <c r="D431" s="1">
        <v>37682</v>
      </c>
      <c r="E431" s="1">
        <v>39082</v>
      </c>
      <c r="F431" s="2">
        <f t="shared" si="6"/>
        <v>3.8329911019849416</v>
      </c>
      <c r="G431" s="3">
        <v>1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  <c r="M431" s="3">
        <v>0</v>
      </c>
      <c r="N431" s="3">
        <v>1</v>
      </c>
      <c r="O431" s="3">
        <v>0</v>
      </c>
      <c r="P431" s="3">
        <v>0</v>
      </c>
      <c r="Q431" s="3">
        <v>0</v>
      </c>
      <c r="R431" s="3">
        <v>77.099999999999994</v>
      </c>
      <c r="S431" s="2">
        <v>10.1</v>
      </c>
      <c r="T431" t="s">
        <v>28</v>
      </c>
      <c r="U431" s="3">
        <v>1</v>
      </c>
      <c r="V431" s="3">
        <v>1</v>
      </c>
      <c r="W431" s="3">
        <v>0</v>
      </c>
      <c r="X431" s="3">
        <v>1</v>
      </c>
      <c r="Y431" s="3">
        <v>0</v>
      </c>
      <c r="Z431" s="3">
        <v>1</v>
      </c>
      <c r="AA431" s="3">
        <v>0</v>
      </c>
    </row>
    <row r="432" spans="1:27">
      <c r="A432" t="s">
        <v>502</v>
      </c>
      <c r="B432" s="3">
        <v>3</v>
      </c>
      <c r="C432" s="3">
        <v>1</v>
      </c>
      <c r="D432" s="1">
        <v>38255</v>
      </c>
      <c r="E432" s="1">
        <v>39082</v>
      </c>
      <c r="F432" s="2">
        <f t="shared" si="6"/>
        <v>2.2642026009582477</v>
      </c>
      <c r="G432" s="3">
        <v>2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  <c r="M432" s="3">
        <v>0</v>
      </c>
      <c r="N432" s="3">
        <v>1</v>
      </c>
      <c r="O432" s="3">
        <v>0</v>
      </c>
      <c r="P432" s="3">
        <v>1</v>
      </c>
      <c r="Q432" s="3">
        <v>0</v>
      </c>
      <c r="R432" s="3">
        <v>77.2</v>
      </c>
      <c r="S432" s="2">
        <v>9.4</v>
      </c>
      <c r="T432" t="s">
        <v>28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</row>
    <row r="433" spans="1:27">
      <c r="A433" t="s">
        <v>503</v>
      </c>
      <c r="B433" s="3">
        <v>3</v>
      </c>
      <c r="C433" s="3">
        <v>1</v>
      </c>
      <c r="D433" s="1">
        <v>38150</v>
      </c>
      <c r="E433" s="1">
        <v>39082</v>
      </c>
      <c r="F433" s="2">
        <f t="shared" si="6"/>
        <v>2.5516769336071183</v>
      </c>
      <c r="G433" s="3">
        <v>1</v>
      </c>
      <c r="H433" s="3">
        <v>1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3">
        <v>1</v>
      </c>
      <c r="O433" s="3">
        <v>0</v>
      </c>
      <c r="P433" s="3">
        <v>0</v>
      </c>
      <c r="Q433" s="3">
        <v>0</v>
      </c>
      <c r="R433" s="3">
        <v>77.2</v>
      </c>
      <c r="S433" s="2">
        <v>9.6</v>
      </c>
      <c r="T433" t="s">
        <v>28</v>
      </c>
      <c r="U433" s="3">
        <v>1</v>
      </c>
      <c r="V433" s="3">
        <v>1</v>
      </c>
      <c r="W433" s="3">
        <v>0</v>
      </c>
      <c r="X433" s="3">
        <v>0</v>
      </c>
      <c r="Y433" s="3">
        <v>0</v>
      </c>
      <c r="Z433" s="3">
        <v>1</v>
      </c>
      <c r="AA433" s="3">
        <v>0</v>
      </c>
    </row>
    <row r="434" spans="1:27">
      <c r="A434" t="s">
        <v>504</v>
      </c>
      <c r="B434" s="3">
        <v>2</v>
      </c>
      <c r="C434" s="3">
        <v>0</v>
      </c>
      <c r="D434" s="1">
        <v>37667</v>
      </c>
      <c r="E434" s="1">
        <v>39082</v>
      </c>
      <c r="F434" s="2">
        <f t="shared" si="6"/>
        <v>3.8740588637919235</v>
      </c>
      <c r="G434" s="3">
        <v>2</v>
      </c>
      <c r="H434" s="3">
        <v>1</v>
      </c>
      <c r="I434" s="3">
        <v>0</v>
      </c>
      <c r="J434" s="3">
        <v>0</v>
      </c>
      <c r="K434" s="3">
        <v>0</v>
      </c>
      <c r="L434" s="3">
        <v>0</v>
      </c>
      <c r="M434" s="3">
        <v>0</v>
      </c>
      <c r="N434" s="3">
        <v>1</v>
      </c>
      <c r="O434" s="3">
        <v>0</v>
      </c>
      <c r="P434" s="3">
        <v>0</v>
      </c>
      <c r="Q434" s="3">
        <v>0</v>
      </c>
      <c r="R434" s="3">
        <v>77.2</v>
      </c>
      <c r="S434" s="2">
        <v>9.1999999999999993</v>
      </c>
      <c r="T434" t="s">
        <v>28</v>
      </c>
      <c r="U434" s="3">
        <v>1</v>
      </c>
      <c r="V434" s="3">
        <v>1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</row>
    <row r="435" spans="1:27">
      <c r="A435" t="s">
        <v>505</v>
      </c>
      <c r="B435" s="3">
        <v>2</v>
      </c>
      <c r="C435" s="3">
        <v>1</v>
      </c>
      <c r="D435" s="1">
        <v>37956</v>
      </c>
      <c r="E435" s="1">
        <v>39082</v>
      </c>
      <c r="F435" s="2">
        <f t="shared" si="6"/>
        <v>3.0828199863107462</v>
      </c>
      <c r="G435" s="3">
        <v>1</v>
      </c>
      <c r="H435" s="3">
        <v>1</v>
      </c>
      <c r="I435" s="3">
        <v>0</v>
      </c>
      <c r="J435" s="3">
        <v>1</v>
      </c>
      <c r="K435" s="3">
        <v>1</v>
      </c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77.2</v>
      </c>
      <c r="S435" s="2">
        <v>9.8000000000000007</v>
      </c>
      <c r="T435" t="s">
        <v>66</v>
      </c>
      <c r="U435" s="3">
        <v>1</v>
      </c>
      <c r="V435" s="3">
        <v>1</v>
      </c>
      <c r="W435" s="3">
        <v>0</v>
      </c>
      <c r="X435" s="3">
        <v>0</v>
      </c>
      <c r="Y435" s="3">
        <v>0</v>
      </c>
      <c r="Z435" s="3">
        <v>1</v>
      </c>
      <c r="AA435" s="3">
        <v>0</v>
      </c>
    </row>
    <row r="436" spans="1:27">
      <c r="A436" t="s">
        <v>506</v>
      </c>
      <c r="B436" s="3">
        <v>3</v>
      </c>
      <c r="C436" s="3">
        <v>1</v>
      </c>
      <c r="D436" s="1">
        <v>37803</v>
      </c>
      <c r="E436" s="1">
        <v>39082</v>
      </c>
      <c r="F436" s="2">
        <f t="shared" si="6"/>
        <v>3.5017111567419574</v>
      </c>
      <c r="G436" s="3">
        <v>1</v>
      </c>
      <c r="H436" s="3">
        <v>1</v>
      </c>
      <c r="I436" s="3">
        <v>0</v>
      </c>
      <c r="J436" s="3">
        <v>1</v>
      </c>
      <c r="K436" s="3">
        <v>0</v>
      </c>
      <c r="L436" s="3">
        <v>0</v>
      </c>
      <c r="M436" s="3">
        <v>1</v>
      </c>
      <c r="N436" s="3">
        <v>0</v>
      </c>
      <c r="O436" s="3">
        <v>0</v>
      </c>
      <c r="P436" s="3">
        <v>1</v>
      </c>
      <c r="Q436" s="3">
        <v>0</v>
      </c>
      <c r="R436" s="3">
        <v>77.2</v>
      </c>
      <c r="S436" s="2">
        <v>9.6</v>
      </c>
      <c r="T436" t="s">
        <v>507</v>
      </c>
      <c r="U436" s="3">
        <v>1</v>
      </c>
      <c r="V436" s="3">
        <v>1</v>
      </c>
      <c r="W436" s="3">
        <v>0</v>
      </c>
      <c r="X436" s="3">
        <v>0</v>
      </c>
      <c r="Y436" s="3">
        <v>0</v>
      </c>
      <c r="Z436" s="3">
        <v>1</v>
      </c>
      <c r="AA436" s="3">
        <v>0</v>
      </c>
    </row>
    <row r="437" spans="1:27">
      <c r="A437" t="s">
        <v>508</v>
      </c>
      <c r="B437" s="3">
        <v>2</v>
      </c>
      <c r="C437" s="3">
        <v>1</v>
      </c>
      <c r="D437" s="1">
        <v>38024</v>
      </c>
      <c r="E437" s="1">
        <v>39082</v>
      </c>
      <c r="F437" s="2">
        <f t="shared" si="6"/>
        <v>2.8966461327857633</v>
      </c>
      <c r="G437" s="3">
        <v>1</v>
      </c>
      <c r="H437" s="3">
        <v>1</v>
      </c>
      <c r="I437" s="3">
        <v>1</v>
      </c>
      <c r="J437" s="3">
        <v>0</v>
      </c>
      <c r="K437" s="3">
        <v>0</v>
      </c>
      <c r="L437" s="3">
        <v>0</v>
      </c>
      <c r="M437" s="3">
        <v>0</v>
      </c>
      <c r="N437" s="3">
        <v>1</v>
      </c>
      <c r="O437" s="3">
        <v>0</v>
      </c>
      <c r="P437" s="3">
        <v>0</v>
      </c>
      <c r="Q437" s="3">
        <v>0</v>
      </c>
      <c r="R437" s="3">
        <v>77.2</v>
      </c>
      <c r="S437" s="2">
        <v>8.9</v>
      </c>
      <c r="T437" t="s">
        <v>509</v>
      </c>
      <c r="U437" s="3">
        <v>1</v>
      </c>
      <c r="V437" s="3">
        <v>1</v>
      </c>
      <c r="W437" s="3">
        <v>0</v>
      </c>
      <c r="X437" s="3">
        <v>0</v>
      </c>
      <c r="Y437" s="3">
        <v>1</v>
      </c>
      <c r="Z437" s="3">
        <v>1</v>
      </c>
      <c r="AA437" s="3">
        <v>0</v>
      </c>
    </row>
    <row r="438" spans="1:27">
      <c r="A438" t="s">
        <v>510</v>
      </c>
      <c r="B438" s="3">
        <v>3</v>
      </c>
      <c r="C438" s="3">
        <v>1</v>
      </c>
      <c r="D438" s="1">
        <v>38049</v>
      </c>
      <c r="E438" s="1">
        <v>39082</v>
      </c>
      <c r="F438" s="2">
        <f t="shared" si="6"/>
        <v>2.8281998631074607</v>
      </c>
      <c r="G438" s="3">
        <v>1</v>
      </c>
      <c r="H438" s="3">
        <v>1</v>
      </c>
      <c r="I438" s="3">
        <v>1</v>
      </c>
      <c r="J438" s="3">
        <v>1</v>
      </c>
      <c r="K438" s="3">
        <v>0</v>
      </c>
      <c r="L438" s="3">
        <v>0</v>
      </c>
      <c r="M438" s="3">
        <v>0</v>
      </c>
      <c r="N438" s="3">
        <v>0</v>
      </c>
      <c r="O438" s="3">
        <v>0</v>
      </c>
      <c r="P438" s="3">
        <v>1</v>
      </c>
      <c r="Q438" s="3">
        <v>0</v>
      </c>
      <c r="R438" s="3">
        <v>77.2</v>
      </c>
      <c r="S438" s="2">
        <v>10</v>
      </c>
      <c r="T438" t="s">
        <v>28</v>
      </c>
      <c r="U438" s="3">
        <v>1</v>
      </c>
      <c r="V438" s="3">
        <v>1</v>
      </c>
      <c r="W438" s="3">
        <v>1</v>
      </c>
      <c r="X438" s="3">
        <v>0</v>
      </c>
      <c r="Y438" s="3">
        <v>0</v>
      </c>
      <c r="Z438" s="3">
        <v>1</v>
      </c>
      <c r="AA438" s="3">
        <v>0</v>
      </c>
    </row>
    <row r="439" spans="1:27">
      <c r="A439" t="s">
        <v>511</v>
      </c>
      <c r="B439" s="3">
        <v>3</v>
      </c>
      <c r="C439" s="3">
        <v>1</v>
      </c>
      <c r="D439" s="1">
        <v>38345</v>
      </c>
      <c r="E439" s="1">
        <v>39082</v>
      </c>
      <c r="F439" s="2">
        <f t="shared" si="6"/>
        <v>2.0177960301163584</v>
      </c>
      <c r="G439" s="3">
        <v>2</v>
      </c>
      <c r="H439" s="3">
        <v>1</v>
      </c>
      <c r="I439" s="3">
        <v>0</v>
      </c>
      <c r="J439" s="3">
        <v>1</v>
      </c>
      <c r="K439" s="3">
        <v>0</v>
      </c>
      <c r="L439" s="3">
        <v>0</v>
      </c>
      <c r="M439" s="3">
        <v>0</v>
      </c>
      <c r="N439" s="3">
        <v>1</v>
      </c>
      <c r="O439" s="3">
        <v>0</v>
      </c>
      <c r="P439" s="3">
        <v>1</v>
      </c>
      <c r="Q439" s="3">
        <v>0</v>
      </c>
      <c r="R439" s="3">
        <v>77.3</v>
      </c>
      <c r="S439" s="2">
        <v>9</v>
      </c>
      <c r="T439" t="s">
        <v>28</v>
      </c>
      <c r="U439" s="3">
        <v>0</v>
      </c>
      <c r="V439" s="3">
        <v>0</v>
      </c>
      <c r="W439" s="3">
        <v>1</v>
      </c>
      <c r="X439" s="3">
        <v>1</v>
      </c>
      <c r="Y439" s="3">
        <v>0</v>
      </c>
      <c r="Z439" s="3">
        <v>0</v>
      </c>
      <c r="AA439" s="3">
        <v>0</v>
      </c>
    </row>
    <row r="440" spans="1:27">
      <c r="A440" t="s">
        <v>512</v>
      </c>
      <c r="B440" s="3">
        <v>2</v>
      </c>
      <c r="C440" s="3">
        <v>1</v>
      </c>
      <c r="D440" s="1">
        <v>37828</v>
      </c>
      <c r="E440" s="1">
        <v>39082</v>
      </c>
      <c r="F440" s="2">
        <f t="shared" si="6"/>
        <v>3.4332648870636548</v>
      </c>
      <c r="G440" s="3">
        <v>2</v>
      </c>
      <c r="H440" s="3">
        <v>0</v>
      </c>
      <c r="I440" s="3">
        <v>1</v>
      </c>
      <c r="J440" s="3">
        <v>0</v>
      </c>
      <c r="K440" s="3">
        <v>0</v>
      </c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77.3</v>
      </c>
      <c r="S440" s="2">
        <v>8.6</v>
      </c>
      <c r="T440" t="s">
        <v>66</v>
      </c>
      <c r="U440" s="3">
        <v>1</v>
      </c>
      <c r="V440" s="3">
        <v>1</v>
      </c>
      <c r="W440" s="3">
        <v>1</v>
      </c>
      <c r="X440" s="3">
        <v>1</v>
      </c>
      <c r="Y440" s="3">
        <v>1</v>
      </c>
      <c r="Z440" s="3">
        <v>0</v>
      </c>
      <c r="AA440" s="3">
        <v>0</v>
      </c>
    </row>
    <row r="441" spans="1:27">
      <c r="A441" t="s">
        <v>513</v>
      </c>
      <c r="B441" s="3">
        <v>1</v>
      </c>
      <c r="C441" s="3">
        <v>1</v>
      </c>
      <c r="D441" s="1">
        <v>37974</v>
      </c>
      <c r="E441" s="1">
        <v>39082</v>
      </c>
      <c r="F441" s="2">
        <f t="shared" si="6"/>
        <v>3.0335386721423681</v>
      </c>
      <c r="G441" s="3">
        <v>2</v>
      </c>
      <c r="H441" s="3">
        <v>1</v>
      </c>
      <c r="I441" s="3">
        <v>1</v>
      </c>
      <c r="J441" s="3">
        <v>0</v>
      </c>
      <c r="K441" s="3">
        <v>0</v>
      </c>
      <c r="L441" s="3">
        <v>0</v>
      </c>
      <c r="M441" s="3">
        <v>0</v>
      </c>
      <c r="N441" s="3">
        <v>1</v>
      </c>
      <c r="O441" s="3">
        <v>0</v>
      </c>
      <c r="P441" s="3">
        <v>0</v>
      </c>
      <c r="Q441" s="3">
        <v>0</v>
      </c>
      <c r="R441" s="3">
        <v>77.3</v>
      </c>
      <c r="S441" s="2">
        <v>8.6</v>
      </c>
      <c r="T441" t="s">
        <v>28</v>
      </c>
      <c r="U441" s="3">
        <v>1</v>
      </c>
      <c r="V441" s="3">
        <v>1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</row>
    <row r="442" spans="1:27">
      <c r="A442" t="s">
        <v>514</v>
      </c>
      <c r="B442" s="3">
        <v>1</v>
      </c>
      <c r="C442" s="3">
        <v>1</v>
      </c>
      <c r="D442" s="1">
        <v>37854</v>
      </c>
      <c r="E442" s="1">
        <v>39082</v>
      </c>
      <c r="F442" s="2">
        <f t="shared" si="6"/>
        <v>3.3620807665982202</v>
      </c>
      <c r="G442" s="3">
        <v>1</v>
      </c>
      <c r="H442" s="3">
        <v>1</v>
      </c>
      <c r="I442" s="3">
        <v>0</v>
      </c>
      <c r="J442" s="3">
        <v>0</v>
      </c>
      <c r="K442" s="3">
        <v>1</v>
      </c>
      <c r="L442" s="3">
        <v>0</v>
      </c>
      <c r="M442" s="3">
        <v>0</v>
      </c>
      <c r="N442" s="3">
        <v>1</v>
      </c>
      <c r="O442" s="3">
        <v>1</v>
      </c>
      <c r="P442" s="3">
        <v>1</v>
      </c>
      <c r="Q442" s="3">
        <v>0</v>
      </c>
      <c r="R442" s="3">
        <v>77.400000000000006</v>
      </c>
      <c r="S442" s="2">
        <v>9.3000000000000007</v>
      </c>
      <c r="T442" t="s">
        <v>515</v>
      </c>
      <c r="U442" s="3">
        <v>1</v>
      </c>
      <c r="V442" s="3">
        <v>1</v>
      </c>
      <c r="W442" s="3">
        <v>0</v>
      </c>
      <c r="X442" s="3">
        <v>0</v>
      </c>
      <c r="Y442" s="3">
        <v>0</v>
      </c>
      <c r="Z442" s="3">
        <v>1</v>
      </c>
      <c r="AA442" s="3">
        <v>0</v>
      </c>
    </row>
    <row r="443" spans="1:27">
      <c r="A443" t="s">
        <v>516</v>
      </c>
      <c r="B443" s="3">
        <v>2</v>
      </c>
      <c r="C443" s="3">
        <v>1</v>
      </c>
      <c r="D443" s="1">
        <v>37922</v>
      </c>
      <c r="E443" s="1">
        <v>39082</v>
      </c>
      <c r="F443" s="2">
        <f t="shared" si="6"/>
        <v>3.1759069130732374</v>
      </c>
      <c r="G443" s="3">
        <v>1</v>
      </c>
      <c r="H443" s="3">
        <v>1</v>
      </c>
      <c r="I443" s="3">
        <v>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77.400000000000006</v>
      </c>
      <c r="S443" s="2">
        <v>9.1</v>
      </c>
      <c r="T443" t="s">
        <v>509</v>
      </c>
      <c r="U443" s="3">
        <v>1</v>
      </c>
      <c r="V443" s="3">
        <v>1</v>
      </c>
      <c r="W443" s="3">
        <v>1</v>
      </c>
      <c r="X443" s="3">
        <v>1</v>
      </c>
      <c r="Y443" s="3">
        <v>0</v>
      </c>
      <c r="Z443" s="3">
        <v>1</v>
      </c>
      <c r="AA443" s="3">
        <v>0</v>
      </c>
    </row>
    <row r="444" spans="1:27">
      <c r="A444" t="s">
        <v>517</v>
      </c>
      <c r="B444" s="3">
        <v>2</v>
      </c>
      <c r="C444" s="3">
        <v>0</v>
      </c>
      <c r="D444" s="1">
        <v>37970</v>
      </c>
      <c r="E444" s="1">
        <v>39082</v>
      </c>
      <c r="F444" s="2">
        <f t="shared" si="6"/>
        <v>3.0444900752908968</v>
      </c>
      <c r="G444" s="3">
        <v>2</v>
      </c>
      <c r="H444" s="3">
        <v>1</v>
      </c>
      <c r="I444" s="3">
        <v>0</v>
      </c>
      <c r="J444" s="3">
        <v>0</v>
      </c>
      <c r="K444" s="3">
        <v>0</v>
      </c>
      <c r="L444" s="3">
        <v>0</v>
      </c>
      <c r="M444" s="3">
        <v>0</v>
      </c>
      <c r="N444" s="3">
        <v>1</v>
      </c>
      <c r="O444" s="3">
        <v>0</v>
      </c>
      <c r="P444" s="3">
        <v>1</v>
      </c>
      <c r="Q444" s="3">
        <v>0</v>
      </c>
      <c r="R444" s="3">
        <v>77.400000000000006</v>
      </c>
      <c r="S444" s="2">
        <v>9</v>
      </c>
      <c r="T444" t="s">
        <v>44</v>
      </c>
      <c r="U444" s="3">
        <v>1</v>
      </c>
      <c r="V444" s="3">
        <v>1</v>
      </c>
      <c r="W444" s="3">
        <v>1</v>
      </c>
      <c r="X444" s="3">
        <v>1</v>
      </c>
      <c r="Y444" s="3">
        <v>1</v>
      </c>
      <c r="Z444" s="3">
        <v>0</v>
      </c>
      <c r="AA444" s="3">
        <v>0</v>
      </c>
    </row>
    <row r="445" spans="1:27">
      <c r="A445" t="s">
        <v>518</v>
      </c>
      <c r="B445" s="3">
        <v>2</v>
      </c>
      <c r="C445" s="3">
        <v>1</v>
      </c>
      <c r="D445" s="1">
        <v>38169</v>
      </c>
      <c r="E445" s="1">
        <v>39082</v>
      </c>
      <c r="F445" s="2">
        <f t="shared" si="6"/>
        <v>2.4996577686516086</v>
      </c>
      <c r="G445" s="3">
        <v>1</v>
      </c>
      <c r="H445" s="3">
        <v>1</v>
      </c>
      <c r="I445" s="3">
        <v>1</v>
      </c>
      <c r="J445" s="3">
        <v>0</v>
      </c>
      <c r="K445" s="3">
        <v>0</v>
      </c>
      <c r="L445" s="3">
        <v>0</v>
      </c>
      <c r="M445" s="3">
        <v>0</v>
      </c>
      <c r="N445" s="3">
        <v>1</v>
      </c>
      <c r="O445" s="3">
        <v>0</v>
      </c>
      <c r="P445" s="3">
        <v>1</v>
      </c>
      <c r="Q445" s="3">
        <v>0</v>
      </c>
      <c r="R445" s="3">
        <v>77.400000000000006</v>
      </c>
      <c r="S445" s="2">
        <v>8.4</v>
      </c>
      <c r="T445" t="s">
        <v>188</v>
      </c>
      <c r="U445" s="3">
        <v>1</v>
      </c>
      <c r="V445" s="3">
        <v>1</v>
      </c>
      <c r="W445" s="3">
        <v>0</v>
      </c>
      <c r="X445" s="3">
        <v>0</v>
      </c>
      <c r="Y445" s="3">
        <v>1</v>
      </c>
      <c r="Z445" s="3">
        <v>1</v>
      </c>
      <c r="AA445" s="3">
        <v>0</v>
      </c>
    </row>
    <row r="446" spans="1:27">
      <c r="A446" t="s">
        <v>519</v>
      </c>
      <c r="B446" s="3">
        <v>1</v>
      </c>
      <c r="C446" s="3">
        <v>0</v>
      </c>
      <c r="D446" s="1">
        <v>38092</v>
      </c>
      <c r="E446" s="1">
        <v>39082</v>
      </c>
      <c r="F446" s="2">
        <f t="shared" si="6"/>
        <v>2.7104722792607805</v>
      </c>
      <c r="G446" s="3">
        <v>1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>
        <v>0</v>
      </c>
      <c r="P446" s="3">
        <v>1</v>
      </c>
      <c r="Q446" s="3">
        <v>0</v>
      </c>
      <c r="R446" s="3">
        <v>77.5</v>
      </c>
      <c r="S446" s="2">
        <v>10.3</v>
      </c>
      <c r="T446" t="s">
        <v>28</v>
      </c>
      <c r="U446" s="3">
        <v>1</v>
      </c>
      <c r="V446" s="3">
        <v>1</v>
      </c>
      <c r="W446" s="3">
        <v>0</v>
      </c>
      <c r="X446" s="3">
        <v>0</v>
      </c>
      <c r="Y446" s="3">
        <v>0</v>
      </c>
      <c r="Z446" s="3">
        <v>1</v>
      </c>
      <c r="AA446" s="3">
        <v>0</v>
      </c>
    </row>
    <row r="447" spans="1:27">
      <c r="A447" t="s">
        <v>520</v>
      </c>
      <c r="B447" s="3">
        <v>1</v>
      </c>
      <c r="C447" s="3">
        <v>1</v>
      </c>
      <c r="D447" s="1">
        <v>38270</v>
      </c>
      <c r="E447" s="1">
        <v>39082</v>
      </c>
      <c r="F447" s="2">
        <f t="shared" si="6"/>
        <v>2.2231348391512662</v>
      </c>
      <c r="G447" s="3">
        <v>1</v>
      </c>
      <c r="H447" s="3">
        <v>0</v>
      </c>
      <c r="I447" s="3">
        <v>0</v>
      </c>
      <c r="J447" s="3">
        <v>0</v>
      </c>
      <c r="K447" s="3">
        <v>0</v>
      </c>
      <c r="L447" s="3">
        <v>1</v>
      </c>
      <c r="M447" s="3">
        <v>0</v>
      </c>
      <c r="N447" s="3">
        <v>1</v>
      </c>
      <c r="O447" s="3">
        <v>0</v>
      </c>
      <c r="P447" s="3">
        <v>1</v>
      </c>
      <c r="Q447" s="3">
        <v>0</v>
      </c>
      <c r="R447" s="3">
        <v>77.5</v>
      </c>
      <c r="S447" s="2">
        <v>8.6</v>
      </c>
      <c r="T447" t="s">
        <v>28</v>
      </c>
      <c r="U447" s="3">
        <v>1</v>
      </c>
      <c r="V447" s="3">
        <v>1</v>
      </c>
      <c r="W447" s="3">
        <v>1</v>
      </c>
      <c r="X447" s="3">
        <v>1</v>
      </c>
      <c r="Y447" s="3">
        <v>0</v>
      </c>
      <c r="Z447" s="3">
        <v>1</v>
      </c>
      <c r="AA447" s="3">
        <v>0</v>
      </c>
    </row>
    <row r="448" spans="1:27">
      <c r="A448" t="s">
        <v>521</v>
      </c>
      <c r="B448" s="3">
        <v>3</v>
      </c>
      <c r="C448" s="3">
        <v>1</v>
      </c>
      <c r="D448" s="1">
        <v>37929</v>
      </c>
      <c r="E448" s="1">
        <v>39082</v>
      </c>
      <c r="F448" s="2">
        <f t="shared" si="6"/>
        <v>3.1567419575633129</v>
      </c>
      <c r="G448" s="3">
        <v>1</v>
      </c>
      <c r="H448" s="3">
        <v>1</v>
      </c>
      <c r="I448" s="3">
        <v>0</v>
      </c>
      <c r="J448" s="3">
        <v>1</v>
      </c>
      <c r="K448" s="3">
        <v>0</v>
      </c>
      <c r="L448" s="3">
        <v>0</v>
      </c>
      <c r="M448" s="3">
        <v>0</v>
      </c>
      <c r="N448" s="3">
        <v>1</v>
      </c>
      <c r="O448" s="3">
        <v>0</v>
      </c>
      <c r="P448" s="3">
        <v>0</v>
      </c>
      <c r="Q448" s="3">
        <v>0</v>
      </c>
      <c r="R448" s="3">
        <v>77.5</v>
      </c>
      <c r="S448" s="2">
        <v>9.5</v>
      </c>
      <c r="T448" t="s">
        <v>63</v>
      </c>
      <c r="U448" s="3">
        <v>0</v>
      </c>
      <c r="V448" s="3">
        <v>1</v>
      </c>
      <c r="W448" s="3">
        <v>1</v>
      </c>
      <c r="X448" s="3">
        <v>1</v>
      </c>
      <c r="Y448" s="3">
        <v>0</v>
      </c>
      <c r="Z448" s="3">
        <v>1</v>
      </c>
      <c r="AA448" s="3">
        <v>0</v>
      </c>
    </row>
    <row r="449" spans="1:27">
      <c r="A449" t="s">
        <v>522</v>
      </c>
      <c r="B449" s="3">
        <v>2</v>
      </c>
      <c r="C449" s="3">
        <v>0</v>
      </c>
      <c r="D449" s="1">
        <v>37683</v>
      </c>
      <c r="E449" s="1">
        <v>39082</v>
      </c>
      <c r="F449" s="2">
        <f t="shared" si="6"/>
        <v>3.8302532511978096</v>
      </c>
      <c r="G449" s="3">
        <v>2</v>
      </c>
      <c r="H449" s="3">
        <v>1</v>
      </c>
      <c r="I449" s="3">
        <v>0</v>
      </c>
      <c r="J449" s="3">
        <v>1</v>
      </c>
      <c r="K449" s="3">
        <v>0</v>
      </c>
      <c r="L449" s="3">
        <v>0</v>
      </c>
      <c r="M449" s="3">
        <v>0</v>
      </c>
      <c r="N449" s="3">
        <v>1</v>
      </c>
      <c r="O449" s="3">
        <v>1</v>
      </c>
      <c r="P449" s="3">
        <v>1</v>
      </c>
      <c r="Q449" s="3">
        <v>0</v>
      </c>
      <c r="R449" s="3">
        <v>77.5</v>
      </c>
      <c r="S449" s="2">
        <v>9</v>
      </c>
      <c r="T449" t="s">
        <v>523</v>
      </c>
      <c r="U449" s="3">
        <v>1</v>
      </c>
      <c r="V449" s="3">
        <v>1</v>
      </c>
      <c r="W449" s="3">
        <v>1</v>
      </c>
      <c r="X449" s="3">
        <v>1</v>
      </c>
      <c r="Y449" s="3">
        <v>0</v>
      </c>
      <c r="Z449" s="3">
        <v>0</v>
      </c>
      <c r="AA449" s="3">
        <v>0</v>
      </c>
    </row>
    <row r="450" spans="1:27">
      <c r="A450" t="s">
        <v>524</v>
      </c>
      <c r="B450" s="3">
        <v>2</v>
      </c>
      <c r="C450" s="3">
        <v>1</v>
      </c>
      <c r="D450" s="1">
        <v>37921</v>
      </c>
      <c r="E450" s="1">
        <v>39082</v>
      </c>
      <c r="F450" s="2">
        <f t="shared" si="6"/>
        <v>3.1786447638603694</v>
      </c>
      <c r="G450" s="3">
        <v>1</v>
      </c>
      <c r="H450" s="3">
        <v>0</v>
      </c>
      <c r="I450" s="3">
        <v>1</v>
      </c>
      <c r="J450" s="3">
        <v>0</v>
      </c>
      <c r="K450" s="3">
        <v>1</v>
      </c>
      <c r="L450" s="3">
        <v>0</v>
      </c>
      <c r="M450" s="3">
        <v>0</v>
      </c>
      <c r="N450" s="3">
        <v>1</v>
      </c>
      <c r="O450" s="3">
        <v>0</v>
      </c>
      <c r="P450" s="3">
        <v>0</v>
      </c>
      <c r="Q450" s="3">
        <v>0</v>
      </c>
      <c r="R450" s="3">
        <v>77.5</v>
      </c>
      <c r="S450" s="2">
        <v>9.1</v>
      </c>
      <c r="T450" t="s">
        <v>69</v>
      </c>
      <c r="U450" s="3">
        <v>1</v>
      </c>
      <c r="V450" s="3">
        <v>1</v>
      </c>
      <c r="W450" s="3">
        <v>0</v>
      </c>
      <c r="X450" s="3">
        <v>0</v>
      </c>
      <c r="Y450" s="3">
        <v>0</v>
      </c>
      <c r="Z450" s="3">
        <v>1</v>
      </c>
      <c r="AA450" s="3">
        <v>0</v>
      </c>
    </row>
    <row r="451" spans="1:27">
      <c r="A451" t="s">
        <v>525</v>
      </c>
      <c r="B451" s="3">
        <v>1</v>
      </c>
      <c r="C451" s="3">
        <v>0</v>
      </c>
      <c r="D451" s="1">
        <v>37788</v>
      </c>
      <c r="E451" s="1">
        <v>39082</v>
      </c>
      <c r="F451" s="2">
        <f t="shared" ref="F451:F514" si="7">(E451-D451)/365.25</f>
        <v>3.5427789185489389</v>
      </c>
      <c r="G451" s="3">
        <v>2</v>
      </c>
      <c r="H451" s="3">
        <v>1</v>
      </c>
      <c r="I451" s="3">
        <v>1</v>
      </c>
      <c r="J451" s="3">
        <v>1</v>
      </c>
      <c r="K451" s="3">
        <v>0</v>
      </c>
      <c r="L451" s="3">
        <v>1</v>
      </c>
      <c r="M451" s="3">
        <v>0</v>
      </c>
      <c r="N451" s="3">
        <v>1</v>
      </c>
      <c r="O451" s="3">
        <v>0</v>
      </c>
      <c r="P451" s="3">
        <v>1</v>
      </c>
      <c r="Q451" s="3">
        <v>0</v>
      </c>
      <c r="R451" s="3">
        <v>77.5</v>
      </c>
      <c r="S451" s="2">
        <v>9.6999999999999993</v>
      </c>
      <c r="T451" t="s">
        <v>28</v>
      </c>
      <c r="U451" s="3">
        <v>1</v>
      </c>
      <c r="V451" s="3">
        <v>1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</row>
    <row r="452" spans="1:27">
      <c r="A452" t="s">
        <v>526</v>
      </c>
      <c r="B452" s="3">
        <v>3</v>
      </c>
      <c r="C452" s="3">
        <v>0</v>
      </c>
      <c r="D452" s="1">
        <v>38157</v>
      </c>
      <c r="E452" s="1">
        <v>39082</v>
      </c>
      <c r="F452" s="2">
        <f t="shared" si="7"/>
        <v>2.5325119780971939</v>
      </c>
      <c r="G452" s="3">
        <v>2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77.7</v>
      </c>
      <c r="S452" s="2">
        <v>9.4</v>
      </c>
      <c r="T452" t="s">
        <v>63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</row>
    <row r="453" spans="1:27">
      <c r="A453" t="s">
        <v>527</v>
      </c>
      <c r="B453" s="3">
        <v>3</v>
      </c>
      <c r="C453" s="3">
        <v>1</v>
      </c>
      <c r="D453" s="1">
        <v>37712</v>
      </c>
      <c r="E453" s="1">
        <v>39082</v>
      </c>
      <c r="F453" s="2">
        <f t="shared" si="7"/>
        <v>3.7508555783709787</v>
      </c>
      <c r="G453" s="3">
        <v>1</v>
      </c>
      <c r="H453" s="3">
        <v>0</v>
      </c>
      <c r="I453" s="3">
        <v>0</v>
      </c>
      <c r="J453" s="3">
        <v>1</v>
      </c>
      <c r="K453" s="3">
        <v>0</v>
      </c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77.7</v>
      </c>
      <c r="S453" s="2">
        <v>10</v>
      </c>
      <c r="T453" t="s">
        <v>44</v>
      </c>
      <c r="U453" s="3">
        <v>0</v>
      </c>
      <c r="V453" s="3">
        <v>0</v>
      </c>
      <c r="W453" s="3">
        <v>1</v>
      </c>
      <c r="X453" s="3">
        <v>1</v>
      </c>
      <c r="Y453" s="3">
        <v>0</v>
      </c>
      <c r="Z453" s="3">
        <v>1</v>
      </c>
      <c r="AA453" s="3">
        <v>0</v>
      </c>
    </row>
    <row r="454" spans="1:27">
      <c r="A454" t="s">
        <v>528</v>
      </c>
      <c r="B454" s="3">
        <v>3</v>
      </c>
      <c r="C454" s="3">
        <v>0</v>
      </c>
      <c r="D454" s="1">
        <v>38061</v>
      </c>
      <c r="E454" s="1">
        <v>39082</v>
      </c>
      <c r="F454" s="2">
        <f t="shared" si="7"/>
        <v>2.7953456536618755</v>
      </c>
      <c r="G454" s="3">
        <v>2</v>
      </c>
      <c r="H454" s="3">
        <v>1</v>
      </c>
      <c r="I454" s="3">
        <v>0</v>
      </c>
      <c r="J454" s="3">
        <v>1</v>
      </c>
      <c r="K454" s="3">
        <v>0</v>
      </c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77.7</v>
      </c>
      <c r="S454" s="2">
        <v>9.4</v>
      </c>
      <c r="T454" t="s">
        <v>28</v>
      </c>
      <c r="U454" s="3">
        <v>0</v>
      </c>
      <c r="V454" s="3">
        <v>0</v>
      </c>
      <c r="W454" s="3">
        <v>0</v>
      </c>
      <c r="X454" s="3">
        <v>1</v>
      </c>
      <c r="Y454" s="3">
        <v>0</v>
      </c>
      <c r="Z454" s="3">
        <v>0</v>
      </c>
      <c r="AA454" s="3">
        <v>0</v>
      </c>
    </row>
    <row r="455" spans="1:27">
      <c r="A455" t="s">
        <v>529</v>
      </c>
      <c r="B455" s="3">
        <v>3</v>
      </c>
      <c r="C455" s="3">
        <v>1</v>
      </c>
      <c r="D455" s="1">
        <v>38047</v>
      </c>
      <c r="E455" s="1">
        <v>39082</v>
      </c>
      <c r="F455" s="2">
        <f t="shared" si="7"/>
        <v>2.8336755646817249</v>
      </c>
      <c r="G455" s="3">
        <v>2</v>
      </c>
      <c r="H455" s="3">
        <v>1</v>
      </c>
      <c r="I455" s="3">
        <v>0</v>
      </c>
      <c r="J455" s="3">
        <v>1</v>
      </c>
      <c r="K455" s="3">
        <v>0</v>
      </c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77.7</v>
      </c>
      <c r="S455" s="2">
        <v>10.4</v>
      </c>
      <c r="T455" t="s">
        <v>28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</row>
    <row r="456" spans="1:27">
      <c r="A456" t="s">
        <v>530</v>
      </c>
      <c r="B456" s="3">
        <v>1</v>
      </c>
      <c r="C456" s="3">
        <v>0</v>
      </c>
      <c r="D456" s="1">
        <v>37618</v>
      </c>
      <c r="E456" s="1">
        <v>39082</v>
      </c>
      <c r="F456" s="2">
        <f t="shared" si="7"/>
        <v>4.0082135523613962</v>
      </c>
      <c r="G456" s="3">
        <v>1</v>
      </c>
      <c r="H456" s="3">
        <v>0</v>
      </c>
      <c r="I456" s="3">
        <v>0</v>
      </c>
      <c r="J456" s="3">
        <v>0</v>
      </c>
      <c r="K456" s="3">
        <v>0</v>
      </c>
      <c r="L456" s="3">
        <v>1</v>
      </c>
      <c r="M456" s="3">
        <v>0</v>
      </c>
      <c r="N456" s="3">
        <v>1</v>
      </c>
      <c r="O456" s="3">
        <v>0</v>
      </c>
      <c r="P456" s="3">
        <v>1</v>
      </c>
      <c r="Q456" s="3">
        <v>0</v>
      </c>
      <c r="R456" s="3">
        <v>77.8</v>
      </c>
      <c r="S456" s="2">
        <v>9.8000000000000007</v>
      </c>
      <c r="T456" t="s">
        <v>531</v>
      </c>
      <c r="U456" s="3">
        <v>1</v>
      </c>
      <c r="V456" s="3">
        <v>1</v>
      </c>
      <c r="W456" s="3">
        <v>0</v>
      </c>
      <c r="X456" s="3">
        <v>0</v>
      </c>
      <c r="Y456" s="3">
        <v>0</v>
      </c>
      <c r="Z456" s="3">
        <v>1</v>
      </c>
      <c r="AA456" s="3">
        <v>0</v>
      </c>
    </row>
    <row r="457" spans="1:27">
      <c r="A457" t="s">
        <v>532</v>
      </c>
      <c r="B457" s="3">
        <v>1</v>
      </c>
      <c r="C457" s="3">
        <v>0</v>
      </c>
      <c r="D457" s="1">
        <v>37778</v>
      </c>
      <c r="E457" s="1">
        <v>39082</v>
      </c>
      <c r="F457" s="2">
        <f t="shared" si="7"/>
        <v>3.57015742642026</v>
      </c>
      <c r="G457" s="3">
        <v>1</v>
      </c>
      <c r="H457" s="3">
        <v>0</v>
      </c>
      <c r="I457" s="3">
        <v>0</v>
      </c>
      <c r="J457" s="3">
        <v>1</v>
      </c>
      <c r="K457" s="3">
        <v>0</v>
      </c>
      <c r="L457" s="3">
        <v>0</v>
      </c>
      <c r="M457" s="3">
        <v>0</v>
      </c>
      <c r="N457" s="3">
        <v>0</v>
      </c>
      <c r="O457" s="3">
        <v>0</v>
      </c>
      <c r="P457" s="3">
        <v>1</v>
      </c>
      <c r="Q457" s="3">
        <v>0</v>
      </c>
      <c r="R457" s="3">
        <v>77.8</v>
      </c>
      <c r="S457" s="2">
        <v>10.1</v>
      </c>
      <c r="T457" t="s">
        <v>28</v>
      </c>
      <c r="U457" s="3">
        <v>1</v>
      </c>
      <c r="V457" s="3">
        <v>1</v>
      </c>
      <c r="W457" s="3">
        <v>1</v>
      </c>
      <c r="X457" s="3">
        <v>0</v>
      </c>
      <c r="Y457" s="3">
        <v>0</v>
      </c>
      <c r="Z457" s="3">
        <v>1</v>
      </c>
      <c r="AA457" s="3">
        <v>0</v>
      </c>
    </row>
    <row r="458" spans="1:27">
      <c r="A458" t="s">
        <v>533</v>
      </c>
      <c r="B458" s="3">
        <v>3</v>
      </c>
      <c r="C458" s="3">
        <v>0</v>
      </c>
      <c r="D458" s="1">
        <v>38037</v>
      </c>
      <c r="E458" s="1">
        <v>39082</v>
      </c>
      <c r="F458" s="2">
        <f t="shared" si="7"/>
        <v>2.861054072553046</v>
      </c>
      <c r="G458" s="3">
        <v>1</v>
      </c>
      <c r="H458" s="3">
        <v>1</v>
      </c>
      <c r="I458" s="3">
        <v>0</v>
      </c>
      <c r="J458" s="3">
        <v>1</v>
      </c>
      <c r="K458" s="3">
        <v>0</v>
      </c>
      <c r="L458" s="3">
        <v>0</v>
      </c>
      <c r="M458" s="3">
        <v>0</v>
      </c>
      <c r="N458" s="3">
        <v>1</v>
      </c>
      <c r="O458" s="3">
        <v>0</v>
      </c>
      <c r="P458" s="3">
        <v>0</v>
      </c>
      <c r="Q458" s="3">
        <v>0</v>
      </c>
      <c r="R458" s="3">
        <v>77.8</v>
      </c>
      <c r="S458" s="2">
        <v>10.8</v>
      </c>
      <c r="T458" t="s">
        <v>44</v>
      </c>
      <c r="U458" s="3">
        <v>0</v>
      </c>
      <c r="V458" s="3">
        <v>0</v>
      </c>
      <c r="W458" s="3">
        <v>1</v>
      </c>
      <c r="X458" s="3">
        <v>0</v>
      </c>
      <c r="Y458" s="3">
        <v>0</v>
      </c>
      <c r="Z458" s="3">
        <v>1</v>
      </c>
      <c r="AA458" s="3">
        <v>0</v>
      </c>
    </row>
    <row r="459" spans="1:27">
      <c r="A459" t="s">
        <v>534</v>
      </c>
      <c r="B459" s="3">
        <v>3</v>
      </c>
      <c r="C459" s="3">
        <v>0</v>
      </c>
      <c r="D459" s="1">
        <v>37712</v>
      </c>
      <c r="E459" s="1">
        <v>39082</v>
      </c>
      <c r="F459" s="2">
        <f t="shared" si="7"/>
        <v>3.7508555783709787</v>
      </c>
      <c r="G459" s="3">
        <v>2</v>
      </c>
      <c r="H459" s="3">
        <v>1</v>
      </c>
      <c r="I459" s="3">
        <v>0</v>
      </c>
      <c r="J459" s="3">
        <v>1</v>
      </c>
      <c r="K459" s="3">
        <v>0</v>
      </c>
      <c r="L459" s="3">
        <v>0</v>
      </c>
      <c r="M459" s="3">
        <v>0</v>
      </c>
      <c r="N459" s="3">
        <v>0</v>
      </c>
      <c r="O459" s="3">
        <v>0</v>
      </c>
      <c r="P459" s="3">
        <v>1</v>
      </c>
      <c r="Q459" s="3">
        <v>0</v>
      </c>
      <c r="R459" s="3">
        <v>77.8</v>
      </c>
      <c r="S459" s="2">
        <v>8</v>
      </c>
      <c r="T459" t="s">
        <v>28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</row>
    <row r="460" spans="1:27">
      <c r="A460" t="s">
        <v>535</v>
      </c>
      <c r="B460" s="3">
        <v>1</v>
      </c>
      <c r="C460" s="3">
        <v>0</v>
      </c>
      <c r="D460" s="1">
        <v>37631</v>
      </c>
      <c r="E460" s="1">
        <v>39082</v>
      </c>
      <c r="F460" s="2">
        <f t="shared" si="7"/>
        <v>3.9726214921286789</v>
      </c>
      <c r="G460" s="3">
        <v>1</v>
      </c>
      <c r="H460" s="3">
        <v>1</v>
      </c>
      <c r="I460" s="3">
        <v>0</v>
      </c>
      <c r="J460" s="3">
        <v>0</v>
      </c>
      <c r="K460" s="3">
        <v>0</v>
      </c>
      <c r="L460" s="3">
        <v>0</v>
      </c>
      <c r="M460" s="3">
        <v>0</v>
      </c>
      <c r="N460" s="3">
        <v>1</v>
      </c>
      <c r="O460" s="3">
        <v>0</v>
      </c>
      <c r="P460" s="3">
        <v>0</v>
      </c>
      <c r="Q460" s="3">
        <v>0</v>
      </c>
      <c r="R460" s="3">
        <v>78</v>
      </c>
      <c r="S460" s="2">
        <v>8.9</v>
      </c>
      <c r="T460" t="s">
        <v>28</v>
      </c>
      <c r="U460" s="3">
        <v>1</v>
      </c>
      <c r="V460" s="3">
        <v>1</v>
      </c>
      <c r="W460" s="3">
        <v>1</v>
      </c>
      <c r="X460" s="3">
        <v>1</v>
      </c>
      <c r="Y460" s="3">
        <v>0</v>
      </c>
      <c r="Z460" s="3">
        <v>1</v>
      </c>
      <c r="AA460" s="3">
        <v>0</v>
      </c>
    </row>
    <row r="461" spans="1:27">
      <c r="A461" t="s">
        <v>536</v>
      </c>
      <c r="B461" s="3">
        <v>1</v>
      </c>
      <c r="C461" s="3">
        <v>1</v>
      </c>
      <c r="D461" s="1">
        <v>38000</v>
      </c>
      <c r="E461" s="1">
        <v>39082</v>
      </c>
      <c r="F461" s="2">
        <f t="shared" si="7"/>
        <v>2.9623545516769334</v>
      </c>
      <c r="G461" s="3">
        <v>1</v>
      </c>
      <c r="H461" s="3">
        <v>1</v>
      </c>
      <c r="I461" s="3">
        <v>1</v>
      </c>
      <c r="J461" s="3">
        <v>1</v>
      </c>
      <c r="K461" s="3">
        <v>1</v>
      </c>
      <c r="L461" s="3">
        <v>1</v>
      </c>
      <c r="M461" s="3">
        <v>0</v>
      </c>
      <c r="N461" s="3">
        <v>1</v>
      </c>
      <c r="O461" s="3">
        <v>0</v>
      </c>
      <c r="P461" s="3">
        <v>0</v>
      </c>
      <c r="Q461" s="3">
        <v>0</v>
      </c>
      <c r="R461" s="3">
        <v>78.099999999999994</v>
      </c>
      <c r="S461" s="2">
        <v>8.6999999999999993</v>
      </c>
      <c r="T461" t="s">
        <v>92</v>
      </c>
      <c r="U461" s="3">
        <v>1</v>
      </c>
      <c r="V461" s="3">
        <v>1</v>
      </c>
      <c r="W461" s="3">
        <v>0</v>
      </c>
      <c r="X461" s="3">
        <v>0</v>
      </c>
      <c r="Y461" s="3">
        <v>0</v>
      </c>
      <c r="Z461" s="3">
        <v>1</v>
      </c>
      <c r="AA461" s="3">
        <v>0</v>
      </c>
    </row>
    <row r="462" spans="1:27">
      <c r="A462" t="s">
        <v>537</v>
      </c>
      <c r="B462" s="3">
        <v>1</v>
      </c>
      <c r="C462" s="3">
        <v>0</v>
      </c>
      <c r="D462" s="1">
        <v>37655</v>
      </c>
      <c r="E462" s="1">
        <v>39082</v>
      </c>
      <c r="F462" s="2">
        <f t="shared" si="7"/>
        <v>3.9069130732375084</v>
      </c>
      <c r="G462" s="3">
        <v>1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  <c r="M462" s="3">
        <v>1</v>
      </c>
      <c r="N462" s="3">
        <v>1</v>
      </c>
      <c r="O462" s="3">
        <v>0</v>
      </c>
      <c r="P462" s="3">
        <v>1</v>
      </c>
      <c r="Q462" s="3">
        <v>0</v>
      </c>
      <c r="R462" s="3">
        <v>78.2</v>
      </c>
      <c r="S462" s="2">
        <v>10.1</v>
      </c>
      <c r="T462" t="s">
        <v>28</v>
      </c>
      <c r="U462" s="3">
        <v>0</v>
      </c>
      <c r="V462" s="3">
        <v>1</v>
      </c>
      <c r="W462" s="3">
        <v>1</v>
      </c>
      <c r="X462" s="3">
        <v>0</v>
      </c>
      <c r="Y462" s="3">
        <v>0</v>
      </c>
      <c r="Z462" s="3">
        <v>1</v>
      </c>
      <c r="AA462" s="3">
        <v>0</v>
      </c>
    </row>
    <row r="463" spans="1:27">
      <c r="A463" t="s">
        <v>538</v>
      </c>
      <c r="B463" s="3">
        <v>3</v>
      </c>
      <c r="C463" s="3">
        <v>0</v>
      </c>
      <c r="D463" s="1">
        <v>38258</v>
      </c>
      <c r="E463" s="1">
        <v>39082</v>
      </c>
      <c r="F463" s="2">
        <f t="shared" si="7"/>
        <v>2.2559890485968515</v>
      </c>
      <c r="G463" s="3">
        <v>2</v>
      </c>
      <c r="H463" s="3">
        <v>0</v>
      </c>
      <c r="I463" s="3">
        <v>0</v>
      </c>
      <c r="J463" s="3">
        <v>0</v>
      </c>
      <c r="K463" s="3">
        <v>0</v>
      </c>
      <c r="L463" s="3">
        <v>0</v>
      </c>
      <c r="M463" s="3">
        <v>0</v>
      </c>
      <c r="N463" s="3">
        <v>1</v>
      </c>
      <c r="O463" s="3">
        <v>0</v>
      </c>
      <c r="P463" s="3">
        <v>0</v>
      </c>
      <c r="Q463" s="3">
        <v>0</v>
      </c>
      <c r="R463" s="3">
        <v>78.2</v>
      </c>
      <c r="S463" s="2">
        <v>8.6999999999999993</v>
      </c>
      <c r="T463" t="s">
        <v>539</v>
      </c>
      <c r="U463" s="3">
        <v>1</v>
      </c>
      <c r="V463" s="3">
        <v>1</v>
      </c>
      <c r="W463" s="3">
        <v>1</v>
      </c>
      <c r="X463" s="3">
        <v>1</v>
      </c>
      <c r="Y463" s="3">
        <v>0</v>
      </c>
      <c r="Z463" s="3">
        <v>0</v>
      </c>
      <c r="AA463" s="3">
        <v>0</v>
      </c>
    </row>
    <row r="464" spans="1:27">
      <c r="A464" t="s">
        <v>540</v>
      </c>
      <c r="B464" s="3">
        <v>2</v>
      </c>
      <c r="C464" s="3">
        <v>0</v>
      </c>
      <c r="D464" s="1">
        <v>37575</v>
      </c>
      <c r="E464" s="1">
        <v>39082</v>
      </c>
      <c r="F464" s="2">
        <f t="shared" si="7"/>
        <v>4.1259411362080769</v>
      </c>
      <c r="G464" s="3">
        <v>2</v>
      </c>
      <c r="H464" s="3">
        <v>1</v>
      </c>
      <c r="I464" s="3">
        <v>0</v>
      </c>
      <c r="J464" s="3">
        <v>0</v>
      </c>
      <c r="K464" s="3">
        <v>0</v>
      </c>
      <c r="L464" s="3">
        <v>0</v>
      </c>
      <c r="M464" s="3">
        <v>0</v>
      </c>
      <c r="N464" s="3">
        <v>1</v>
      </c>
      <c r="O464" s="3">
        <v>0</v>
      </c>
      <c r="P464" s="3">
        <v>1</v>
      </c>
      <c r="Q464" s="3">
        <v>0</v>
      </c>
      <c r="R464" s="3">
        <v>78.2</v>
      </c>
      <c r="S464" s="2">
        <v>10.1</v>
      </c>
      <c r="T464" t="s">
        <v>336</v>
      </c>
      <c r="U464" s="3">
        <v>1</v>
      </c>
      <c r="V464" s="3">
        <v>1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</row>
    <row r="465" spans="1:27">
      <c r="A465" t="s">
        <v>541</v>
      </c>
      <c r="B465" s="3">
        <v>2</v>
      </c>
      <c r="C465" s="3">
        <v>0</v>
      </c>
      <c r="D465" s="1">
        <v>37836</v>
      </c>
      <c r="E465" s="1">
        <v>39082</v>
      </c>
      <c r="F465" s="2">
        <f t="shared" si="7"/>
        <v>3.4113620807665983</v>
      </c>
      <c r="G465" s="3">
        <v>2</v>
      </c>
      <c r="H465" s="3">
        <v>1</v>
      </c>
      <c r="I465" s="3">
        <v>0</v>
      </c>
      <c r="J465" s="3">
        <v>0</v>
      </c>
      <c r="K465" s="3">
        <v>0</v>
      </c>
      <c r="L465" s="3">
        <v>0</v>
      </c>
      <c r="M465" s="3">
        <v>0</v>
      </c>
      <c r="N465" s="3">
        <v>0</v>
      </c>
      <c r="O465" s="3">
        <v>0</v>
      </c>
      <c r="P465" s="3">
        <v>1</v>
      </c>
      <c r="Q465" s="3">
        <v>0</v>
      </c>
      <c r="R465" s="3">
        <v>78.2</v>
      </c>
      <c r="S465" s="2">
        <v>9.6999999999999993</v>
      </c>
      <c r="T465" t="s">
        <v>28</v>
      </c>
      <c r="U465" s="3">
        <v>1</v>
      </c>
      <c r="V465" s="3">
        <v>1</v>
      </c>
      <c r="W465" s="3">
        <v>1</v>
      </c>
      <c r="X465" s="3">
        <v>1</v>
      </c>
      <c r="Y465" s="3">
        <v>0</v>
      </c>
      <c r="Z465" s="3">
        <v>0</v>
      </c>
      <c r="AA465" s="3">
        <v>0</v>
      </c>
    </row>
    <row r="466" spans="1:27">
      <c r="A466" t="s">
        <v>542</v>
      </c>
      <c r="B466" s="3">
        <v>3</v>
      </c>
      <c r="C466" s="3">
        <v>1</v>
      </c>
      <c r="D466" s="1">
        <v>38275</v>
      </c>
      <c r="E466" s="1">
        <v>39082</v>
      </c>
      <c r="F466" s="2">
        <f t="shared" si="7"/>
        <v>2.2094455852156059</v>
      </c>
      <c r="G466" s="3">
        <v>2</v>
      </c>
      <c r="H466" s="3">
        <v>1</v>
      </c>
      <c r="I466" s="3">
        <v>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78.2</v>
      </c>
      <c r="S466" s="2">
        <v>9.1999999999999993</v>
      </c>
      <c r="T466" t="s">
        <v>28</v>
      </c>
      <c r="U466" s="3">
        <v>0</v>
      </c>
      <c r="V466" s="3">
        <v>1</v>
      </c>
      <c r="W466" s="3">
        <v>1</v>
      </c>
      <c r="X466" s="3">
        <v>1</v>
      </c>
      <c r="Y466" s="3">
        <v>0</v>
      </c>
      <c r="Z466" s="3">
        <v>0</v>
      </c>
      <c r="AA466" s="3">
        <v>0</v>
      </c>
    </row>
    <row r="467" spans="1:27">
      <c r="A467" t="s">
        <v>543</v>
      </c>
      <c r="B467" s="3">
        <v>3</v>
      </c>
      <c r="C467" s="3">
        <v>1</v>
      </c>
      <c r="D467" s="1">
        <v>37803</v>
      </c>
      <c r="E467" s="1">
        <v>39082</v>
      </c>
      <c r="F467" s="2">
        <f t="shared" si="7"/>
        <v>3.5017111567419574</v>
      </c>
      <c r="G467" s="3">
        <v>2</v>
      </c>
      <c r="H467" s="3">
        <v>1</v>
      </c>
      <c r="I467" s="3">
        <v>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78.2</v>
      </c>
      <c r="S467" s="2">
        <v>16.5</v>
      </c>
      <c r="T467" t="s">
        <v>34</v>
      </c>
      <c r="U467" s="3">
        <v>0</v>
      </c>
      <c r="V467" s="3">
        <v>1</v>
      </c>
      <c r="W467" s="3">
        <v>1</v>
      </c>
      <c r="X467" s="3">
        <v>1</v>
      </c>
      <c r="Y467" s="3">
        <v>1</v>
      </c>
      <c r="Z467" s="3">
        <v>0</v>
      </c>
      <c r="AA467" s="3">
        <v>0</v>
      </c>
    </row>
    <row r="468" spans="1:27">
      <c r="A468" t="s">
        <v>544</v>
      </c>
      <c r="B468" s="3">
        <v>1</v>
      </c>
      <c r="C468" s="3">
        <v>0</v>
      </c>
      <c r="D468" s="1">
        <v>37602</v>
      </c>
      <c r="E468" s="1">
        <v>39082</v>
      </c>
      <c r="F468" s="2">
        <f t="shared" si="7"/>
        <v>4.0520191649555102</v>
      </c>
      <c r="G468" s="3">
        <v>2</v>
      </c>
      <c r="H468" s="3">
        <v>1</v>
      </c>
      <c r="I468" s="3">
        <v>1</v>
      </c>
      <c r="J468" s="3">
        <v>0</v>
      </c>
      <c r="K468" s="3">
        <v>0</v>
      </c>
      <c r="L468" s="3">
        <v>0</v>
      </c>
      <c r="M468" s="3">
        <v>0</v>
      </c>
      <c r="N468" s="3">
        <v>1</v>
      </c>
      <c r="O468" s="3">
        <v>0</v>
      </c>
      <c r="P468" s="3">
        <v>0</v>
      </c>
      <c r="Q468" s="3">
        <v>0</v>
      </c>
      <c r="R468" s="3">
        <v>78.2</v>
      </c>
      <c r="S468" s="2">
        <v>8.8000000000000007</v>
      </c>
      <c r="T468" t="s">
        <v>28</v>
      </c>
      <c r="U468" s="3">
        <v>1</v>
      </c>
      <c r="V468" s="3">
        <v>1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</row>
    <row r="469" spans="1:27">
      <c r="A469" t="s">
        <v>545</v>
      </c>
      <c r="B469" s="3">
        <v>2</v>
      </c>
      <c r="C469" s="3">
        <v>1</v>
      </c>
      <c r="D469" s="1">
        <v>37849</v>
      </c>
      <c r="E469" s="1">
        <v>39082</v>
      </c>
      <c r="F469" s="2">
        <f t="shared" si="7"/>
        <v>3.375770020533881</v>
      </c>
      <c r="G469" s="3">
        <v>1</v>
      </c>
      <c r="H469" s="3">
        <v>1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1</v>
      </c>
      <c r="O469" s="3">
        <v>0</v>
      </c>
      <c r="P469" s="3">
        <v>0</v>
      </c>
      <c r="Q469" s="3">
        <v>0</v>
      </c>
      <c r="R469" s="3">
        <v>78.3</v>
      </c>
      <c r="S469" s="2">
        <v>8.6999999999999993</v>
      </c>
      <c r="T469" t="s">
        <v>28</v>
      </c>
      <c r="U469" s="3">
        <v>1</v>
      </c>
      <c r="V469" s="3">
        <v>1</v>
      </c>
      <c r="W469" s="3">
        <v>1</v>
      </c>
      <c r="X469" s="3">
        <v>1</v>
      </c>
      <c r="Y469" s="3">
        <v>0</v>
      </c>
      <c r="Z469" s="3">
        <v>1</v>
      </c>
      <c r="AA469" s="3">
        <v>0</v>
      </c>
    </row>
    <row r="470" spans="1:27">
      <c r="A470" t="s">
        <v>546</v>
      </c>
      <c r="B470" s="3">
        <v>3</v>
      </c>
      <c r="C470" s="3">
        <v>0</v>
      </c>
      <c r="D470" s="1">
        <v>38330</v>
      </c>
      <c r="E470" s="1">
        <v>39082</v>
      </c>
      <c r="F470" s="2">
        <f t="shared" si="7"/>
        <v>2.0588637919233403</v>
      </c>
      <c r="G470" s="3">
        <v>2</v>
      </c>
      <c r="H470" s="3">
        <v>0</v>
      </c>
      <c r="I470" s="3">
        <v>0</v>
      </c>
      <c r="J470" s="3">
        <v>1</v>
      </c>
      <c r="K470" s="3">
        <v>0</v>
      </c>
      <c r="L470" s="3">
        <v>0</v>
      </c>
      <c r="M470" s="3">
        <v>0</v>
      </c>
      <c r="N470" s="3">
        <v>0</v>
      </c>
      <c r="O470" s="3">
        <v>0</v>
      </c>
      <c r="P470" s="3">
        <v>1</v>
      </c>
      <c r="Q470" s="3">
        <v>0</v>
      </c>
      <c r="R470" s="3">
        <v>78.3</v>
      </c>
      <c r="S470" s="2">
        <v>11.2</v>
      </c>
      <c r="T470" t="s">
        <v>28</v>
      </c>
      <c r="U470" s="3">
        <v>0</v>
      </c>
      <c r="V470" s="3">
        <v>0</v>
      </c>
      <c r="W470" s="3">
        <v>1</v>
      </c>
      <c r="X470" s="3">
        <v>0</v>
      </c>
      <c r="Y470" s="3">
        <v>0</v>
      </c>
      <c r="Z470" s="3">
        <v>0</v>
      </c>
      <c r="AA470" s="3">
        <v>0</v>
      </c>
    </row>
    <row r="471" spans="1:27">
      <c r="A471" t="s">
        <v>547</v>
      </c>
      <c r="B471" s="3">
        <v>3</v>
      </c>
      <c r="C471" s="3">
        <v>0</v>
      </c>
      <c r="D471" s="1">
        <v>38032</v>
      </c>
      <c r="E471" s="1">
        <v>39082</v>
      </c>
      <c r="F471" s="2">
        <f t="shared" si="7"/>
        <v>2.8747433264887063</v>
      </c>
      <c r="G471" s="3">
        <v>2</v>
      </c>
      <c r="H471" s="3">
        <v>1</v>
      </c>
      <c r="I471" s="3">
        <v>0</v>
      </c>
      <c r="J471" s="3">
        <v>1</v>
      </c>
      <c r="K471" s="3">
        <v>0</v>
      </c>
      <c r="L471" s="3">
        <v>0</v>
      </c>
      <c r="M471" s="3">
        <v>0</v>
      </c>
      <c r="N471" s="3">
        <v>0</v>
      </c>
      <c r="O471" s="3">
        <v>0</v>
      </c>
      <c r="P471" s="3">
        <v>1</v>
      </c>
      <c r="Q471" s="3">
        <v>0</v>
      </c>
      <c r="R471" s="3">
        <v>78.3</v>
      </c>
      <c r="S471" s="2">
        <v>10.6</v>
      </c>
      <c r="T471" t="s">
        <v>28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</row>
    <row r="472" spans="1:27">
      <c r="A472" t="s">
        <v>548</v>
      </c>
      <c r="B472" s="3">
        <v>1</v>
      </c>
      <c r="C472" s="3">
        <v>0</v>
      </c>
      <c r="D472" s="1">
        <v>37754</v>
      </c>
      <c r="E472" s="1">
        <v>39082</v>
      </c>
      <c r="F472" s="2">
        <f t="shared" si="7"/>
        <v>3.6358658453114305</v>
      </c>
      <c r="G472" s="3">
        <v>2</v>
      </c>
      <c r="H472" s="3">
        <v>0</v>
      </c>
      <c r="I472" s="3">
        <v>1</v>
      </c>
      <c r="J472" s="3">
        <v>0</v>
      </c>
      <c r="K472" s="3">
        <v>0</v>
      </c>
      <c r="L472" s="3">
        <v>1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78.3</v>
      </c>
      <c r="S472" s="2">
        <v>8.9</v>
      </c>
      <c r="T472" t="s">
        <v>92</v>
      </c>
      <c r="U472" s="3">
        <v>1</v>
      </c>
      <c r="V472" s="3">
        <v>1</v>
      </c>
      <c r="W472" s="3">
        <v>1</v>
      </c>
      <c r="X472" s="3">
        <v>0</v>
      </c>
      <c r="Y472" s="3">
        <v>0</v>
      </c>
      <c r="Z472" s="3">
        <v>0</v>
      </c>
      <c r="AA472" s="3">
        <v>0</v>
      </c>
    </row>
    <row r="473" spans="1:27">
      <c r="A473" t="s">
        <v>549</v>
      </c>
      <c r="B473" s="3">
        <v>2</v>
      </c>
      <c r="C473" s="3">
        <v>0</v>
      </c>
      <c r="D473" s="1">
        <v>38135</v>
      </c>
      <c r="E473" s="1">
        <v>39082</v>
      </c>
      <c r="F473" s="2">
        <f t="shared" si="7"/>
        <v>2.5927446954140998</v>
      </c>
      <c r="G473" s="3">
        <v>2</v>
      </c>
      <c r="H473" s="3">
        <v>0</v>
      </c>
      <c r="I473" s="3">
        <v>1</v>
      </c>
      <c r="J473" s="3">
        <v>0</v>
      </c>
      <c r="K473" s="3">
        <v>0</v>
      </c>
      <c r="L473" s="3">
        <v>0</v>
      </c>
      <c r="M473" s="3">
        <v>0</v>
      </c>
      <c r="N473" s="3">
        <v>1</v>
      </c>
      <c r="O473" s="3">
        <v>0</v>
      </c>
      <c r="P473" s="3">
        <v>0</v>
      </c>
      <c r="Q473" s="3">
        <v>0</v>
      </c>
      <c r="R473" s="3">
        <v>78.3</v>
      </c>
      <c r="S473" s="2">
        <v>9.3000000000000007</v>
      </c>
      <c r="T473" t="s">
        <v>28</v>
      </c>
      <c r="U473" s="3">
        <v>0</v>
      </c>
      <c r="V473" s="3">
        <v>1</v>
      </c>
      <c r="W473" s="3">
        <v>1</v>
      </c>
      <c r="X473" s="3">
        <v>1</v>
      </c>
      <c r="Y473" s="3">
        <v>1</v>
      </c>
      <c r="Z473" s="3">
        <v>0</v>
      </c>
      <c r="AA473" s="3">
        <v>0</v>
      </c>
    </row>
    <row r="474" spans="1:27">
      <c r="A474" t="s">
        <v>550</v>
      </c>
      <c r="B474" s="3">
        <v>3</v>
      </c>
      <c r="C474" s="3">
        <v>0</v>
      </c>
      <c r="D474" s="1">
        <v>37833</v>
      </c>
      <c r="E474" s="1">
        <v>39082</v>
      </c>
      <c r="F474" s="2">
        <f t="shared" si="7"/>
        <v>3.4195756331279945</v>
      </c>
      <c r="G474" s="3">
        <v>1</v>
      </c>
      <c r="H474" s="3">
        <v>1</v>
      </c>
      <c r="I474" s="3">
        <v>0</v>
      </c>
      <c r="J474" s="3">
        <v>0</v>
      </c>
      <c r="K474" s="3">
        <v>1</v>
      </c>
      <c r="L474" s="3">
        <v>0</v>
      </c>
      <c r="M474" s="3">
        <v>0</v>
      </c>
      <c r="N474" s="3">
        <v>1</v>
      </c>
      <c r="O474" s="3">
        <v>0</v>
      </c>
      <c r="P474" s="3">
        <v>1</v>
      </c>
      <c r="Q474" s="3">
        <v>0</v>
      </c>
      <c r="R474" s="3">
        <v>78.400000000000006</v>
      </c>
      <c r="S474" s="2">
        <v>10.199999999999999</v>
      </c>
      <c r="T474" t="s">
        <v>117</v>
      </c>
      <c r="U474" s="3">
        <v>0</v>
      </c>
      <c r="V474" s="3">
        <v>1</v>
      </c>
      <c r="W474" s="3">
        <v>0</v>
      </c>
      <c r="X474" s="3">
        <v>0</v>
      </c>
      <c r="Y474" s="3">
        <v>1</v>
      </c>
      <c r="Z474" s="3">
        <v>1</v>
      </c>
      <c r="AA474" s="3">
        <v>0</v>
      </c>
    </row>
    <row r="475" spans="1:27">
      <c r="A475" t="s">
        <v>551</v>
      </c>
      <c r="B475" s="3">
        <v>2</v>
      </c>
      <c r="C475" s="3">
        <v>1</v>
      </c>
      <c r="D475" s="1">
        <v>37931</v>
      </c>
      <c r="E475" s="1">
        <v>39082</v>
      </c>
      <c r="F475" s="2">
        <f t="shared" si="7"/>
        <v>3.1512662559890487</v>
      </c>
      <c r="G475" s="3">
        <v>1</v>
      </c>
      <c r="H475" s="3">
        <v>1</v>
      </c>
      <c r="I475" s="3">
        <v>0</v>
      </c>
      <c r="J475" s="3">
        <v>0</v>
      </c>
      <c r="K475" s="3">
        <v>0</v>
      </c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78.400000000000006</v>
      </c>
      <c r="S475" s="2">
        <v>8.9</v>
      </c>
      <c r="T475" t="s">
        <v>552</v>
      </c>
      <c r="U475" s="3">
        <v>1</v>
      </c>
      <c r="V475" s="3">
        <v>1</v>
      </c>
      <c r="W475" s="3">
        <v>0</v>
      </c>
      <c r="X475" s="3">
        <v>1</v>
      </c>
      <c r="Y475" s="3">
        <v>1</v>
      </c>
      <c r="Z475" s="3">
        <v>1</v>
      </c>
      <c r="AA475" s="3">
        <v>0</v>
      </c>
    </row>
    <row r="476" spans="1:27">
      <c r="A476" t="s">
        <v>553</v>
      </c>
      <c r="B476" s="3">
        <v>3</v>
      </c>
      <c r="C476" s="3">
        <v>0</v>
      </c>
      <c r="D476" s="1">
        <v>37469</v>
      </c>
      <c r="E476" s="1">
        <v>39082</v>
      </c>
      <c r="F476" s="2">
        <f t="shared" si="7"/>
        <v>4.4161533196440796</v>
      </c>
      <c r="G476" s="3">
        <v>1</v>
      </c>
      <c r="H476" s="3">
        <v>1</v>
      </c>
      <c r="I476" s="3">
        <v>0</v>
      </c>
      <c r="J476" s="3">
        <v>1</v>
      </c>
      <c r="K476" s="3">
        <v>0</v>
      </c>
      <c r="L476" s="3">
        <v>0</v>
      </c>
      <c r="M476" s="3">
        <v>0</v>
      </c>
      <c r="N476" s="3">
        <v>1</v>
      </c>
      <c r="O476" s="3">
        <v>0</v>
      </c>
      <c r="P476" s="3">
        <v>0</v>
      </c>
      <c r="Q476" s="3">
        <v>0</v>
      </c>
      <c r="R476" s="3">
        <v>78.400000000000006</v>
      </c>
      <c r="S476" s="2">
        <v>10</v>
      </c>
      <c r="T476" t="s">
        <v>28</v>
      </c>
      <c r="U476" s="3">
        <v>1</v>
      </c>
      <c r="V476" s="3">
        <v>0</v>
      </c>
      <c r="W476" s="3">
        <v>1</v>
      </c>
      <c r="X476" s="3">
        <v>0</v>
      </c>
      <c r="Y476" s="3">
        <v>0</v>
      </c>
      <c r="Z476" s="3">
        <v>1</v>
      </c>
      <c r="AA476" s="3">
        <v>0</v>
      </c>
    </row>
    <row r="477" spans="1:27">
      <c r="A477" t="s">
        <v>554</v>
      </c>
      <c r="B477" s="3">
        <v>2</v>
      </c>
      <c r="C477" s="3">
        <v>0</v>
      </c>
      <c r="D477" s="1">
        <v>37822</v>
      </c>
      <c r="E477" s="1">
        <v>39082</v>
      </c>
      <c r="F477" s="2">
        <f t="shared" si="7"/>
        <v>3.4496919917864477</v>
      </c>
      <c r="G477" s="3">
        <v>2</v>
      </c>
      <c r="H477" s="3">
        <v>1</v>
      </c>
      <c r="I477" s="3">
        <v>0</v>
      </c>
      <c r="J477" s="3">
        <v>0</v>
      </c>
      <c r="K477" s="3">
        <v>0</v>
      </c>
      <c r="L477" s="3">
        <v>1</v>
      </c>
      <c r="M477" s="3">
        <v>0</v>
      </c>
      <c r="N477" s="3">
        <v>1</v>
      </c>
      <c r="O477" s="3">
        <v>0</v>
      </c>
      <c r="P477" s="3">
        <v>0</v>
      </c>
      <c r="Q477" s="3">
        <v>0</v>
      </c>
      <c r="R477" s="3">
        <v>78.5</v>
      </c>
      <c r="S477" s="2">
        <v>9.6999999999999993</v>
      </c>
      <c r="T477" t="s">
        <v>69</v>
      </c>
      <c r="U477" s="3">
        <v>1</v>
      </c>
      <c r="V477" s="3">
        <v>1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</row>
    <row r="478" spans="1:27">
      <c r="A478" t="s">
        <v>555</v>
      </c>
      <c r="B478" s="3">
        <v>2</v>
      </c>
      <c r="C478" s="3">
        <v>0</v>
      </c>
      <c r="D478" s="1">
        <v>37679</v>
      </c>
      <c r="E478" s="1">
        <v>39082</v>
      </c>
      <c r="F478" s="2">
        <f t="shared" si="7"/>
        <v>3.8412046543463383</v>
      </c>
      <c r="G478" s="3">
        <v>2</v>
      </c>
      <c r="H478" s="3">
        <v>1</v>
      </c>
      <c r="I478" s="3">
        <v>0</v>
      </c>
      <c r="J478" s="3">
        <v>0</v>
      </c>
      <c r="K478" s="3">
        <v>1</v>
      </c>
      <c r="L478" s="3">
        <v>0</v>
      </c>
      <c r="M478" s="3">
        <v>0</v>
      </c>
      <c r="N478" s="3">
        <v>1</v>
      </c>
      <c r="O478" s="3">
        <v>1</v>
      </c>
      <c r="P478" s="3">
        <v>1</v>
      </c>
      <c r="Q478" s="3">
        <v>0</v>
      </c>
      <c r="R478" s="3">
        <v>78.5</v>
      </c>
      <c r="S478" s="2">
        <v>8.9</v>
      </c>
      <c r="T478" t="s">
        <v>28</v>
      </c>
      <c r="U478" s="3">
        <v>0</v>
      </c>
      <c r="V478" s="3">
        <v>1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</row>
    <row r="479" spans="1:27">
      <c r="A479" t="s">
        <v>556</v>
      </c>
      <c r="B479" s="3">
        <v>1</v>
      </c>
      <c r="C479" s="3">
        <v>1</v>
      </c>
      <c r="D479" s="1">
        <v>37742</v>
      </c>
      <c r="E479" s="1">
        <v>39082</v>
      </c>
      <c r="F479" s="2">
        <f t="shared" si="7"/>
        <v>3.6687200547570158</v>
      </c>
      <c r="G479" s="3">
        <v>2</v>
      </c>
      <c r="H479" s="3">
        <v>0</v>
      </c>
      <c r="I479" s="3">
        <v>1</v>
      </c>
      <c r="J479" s="3">
        <v>0</v>
      </c>
      <c r="K479" s="3">
        <v>0</v>
      </c>
      <c r="L479" s="3">
        <v>0</v>
      </c>
      <c r="M479" s="3">
        <v>1</v>
      </c>
      <c r="N479" s="3">
        <v>0</v>
      </c>
      <c r="O479" s="3">
        <v>0</v>
      </c>
      <c r="P479" s="3">
        <v>1</v>
      </c>
      <c r="Q479" s="3">
        <v>0</v>
      </c>
      <c r="R479" s="3">
        <v>78.5</v>
      </c>
      <c r="S479" s="2">
        <v>9.6</v>
      </c>
      <c r="T479" t="s">
        <v>28</v>
      </c>
      <c r="U479" s="3">
        <v>1</v>
      </c>
      <c r="V479" s="3">
        <v>1</v>
      </c>
      <c r="W479" s="3">
        <v>1</v>
      </c>
      <c r="X479" s="3">
        <v>1</v>
      </c>
      <c r="Y479" s="3">
        <v>0</v>
      </c>
      <c r="Z479" s="3">
        <v>0</v>
      </c>
      <c r="AA479" s="3">
        <v>0</v>
      </c>
    </row>
    <row r="480" spans="1:27">
      <c r="A480" t="s">
        <v>557</v>
      </c>
      <c r="B480" s="3">
        <v>1</v>
      </c>
      <c r="C480" s="3">
        <v>0</v>
      </c>
      <c r="D480" s="1">
        <v>37785</v>
      </c>
      <c r="E480" s="1">
        <v>39082</v>
      </c>
      <c r="F480" s="2">
        <f t="shared" si="7"/>
        <v>3.5509924709103355</v>
      </c>
      <c r="G480" s="3">
        <v>1</v>
      </c>
      <c r="H480" s="3">
        <v>1</v>
      </c>
      <c r="I480" s="3">
        <v>1</v>
      </c>
      <c r="J480" s="3">
        <v>0</v>
      </c>
      <c r="K480" s="3">
        <v>0</v>
      </c>
      <c r="L480" s="3">
        <v>0</v>
      </c>
      <c r="M480" s="3">
        <v>0</v>
      </c>
      <c r="N480" s="3">
        <v>1</v>
      </c>
      <c r="O480" s="3">
        <v>0</v>
      </c>
      <c r="P480" s="3">
        <v>1</v>
      </c>
      <c r="Q480" s="3">
        <v>0</v>
      </c>
      <c r="R480" s="3">
        <v>78.5</v>
      </c>
      <c r="S480" s="2">
        <v>8.8000000000000007</v>
      </c>
      <c r="T480" t="s">
        <v>28</v>
      </c>
      <c r="U480" s="3">
        <v>1</v>
      </c>
      <c r="V480" s="3">
        <v>0</v>
      </c>
      <c r="W480" s="3">
        <v>0</v>
      </c>
      <c r="X480" s="3">
        <v>0</v>
      </c>
      <c r="Y480" s="3">
        <v>0</v>
      </c>
      <c r="Z480" s="3">
        <v>1</v>
      </c>
      <c r="AA480" s="3">
        <v>0</v>
      </c>
    </row>
    <row r="481" spans="1:27">
      <c r="A481" t="s">
        <v>558</v>
      </c>
      <c r="B481" s="3">
        <v>1</v>
      </c>
      <c r="C481" s="3">
        <v>0</v>
      </c>
      <c r="D481" s="1">
        <v>37834</v>
      </c>
      <c r="E481" s="1">
        <v>39082</v>
      </c>
      <c r="F481" s="2">
        <f t="shared" si="7"/>
        <v>3.4168377823408624</v>
      </c>
      <c r="G481" s="3">
        <v>2</v>
      </c>
      <c r="H481" s="3">
        <v>1</v>
      </c>
      <c r="I481" s="3">
        <v>1</v>
      </c>
      <c r="J481" s="3">
        <v>0</v>
      </c>
      <c r="K481" s="3">
        <v>0</v>
      </c>
      <c r="L481" s="3">
        <v>1</v>
      </c>
      <c r="M481" s="3">
        <v>0</v>
      </c>
      <c r="N481" s="3">
        <v>1</v>
      </c>
      <c r="O481" s="3">
        <v>1</v>
      </c>
      <c r="P481" s="3">
        <v>1</v>
      </c>
      <c r="Q481" s="3">
        <v>0</v>
      </c>
      <c r="R481" s="3">
        <v>78.5</v>
      </c>
      <c r="S481" s="2">
        <v>9.6</v>
      </c>
      <c r="T481" t="s">
        <v>28</v>
      </c>
      <c r="U481" s="3">
        <v>0</v>
      </c>
      <c r="V481" s="3">
        <v>1</v>
      </c>
      <c r="W481" s="3">
        <v>1</v>
      </c>
      <c r="X481" s="3">
        <v>1</v>
      </c>
      <c r="Y481" s="3">
        <v>0</v>
      </c>
      <c r="Z481" s="3">
        <v>0</v>
      </c>
      <c r="AA481" s="3">
        <v>0</v>
      </c>
    </row>
    <row r="482" spans="1:27">
      <c r="A482" t="s">
        <v>559</v>
      </c>
      <c r="B482" s="3">
        <v>2</v>
      </c>
      <c r="C482" s="3">
        <v>0</v>
      </c>
      <c r="D482" s="1">
        <v>37506</v>
      </c>
      <c r="E482" s="1">
        <v>39082</v>
      </c>
      <c r="F482" s="2">
        <f t="shared" si="7"/>
        <v>4.3148528405201914</v>
      </c>
      <c r="G482" s="3">
        <v>2</v>
      </c>
      <c r="H482" s="3">
        <v>1</v>
      </c>
      <c r="I482" s="3">
        <v>1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78.5</v>
      </c>
      <c r="S482" s="2">
        <v>8.8000000000000007</v>
      </c>
      <c r="T482" t="s">
        <v>59</v>
      </c>
      <c r="U482" s="3">
        <v>1</v>
      </c>
      <c r="V482" s="3">
        <v>1</v>
      </c>
      <c r="W482" s="3">
        <v>0</v>
      </c>
      <c r="X482" s="3">
        <v>0</v>
      </c>
      <c r="Y482" s="3">
        <v>1</v>
      </c>
      <c r="Z482" s="3">
        <v>0</v>
      </c>
      <c r="AA482" s="3">
        <v>0</v>
      </c>
    </row>
    <row r="483" spans="1:27">
      <c r="A483" t="s">
        <v>560</v>
      </c>
      <c r="B483" s="3">
        <v>1</v>
      </c>
      <c r="C483" s="3">
        <v>1</v>
      </c>
      <c r="D483" s="1">
        <v>38238</v>
      </c>
      <c r="E483" s="1">
        <v>39082</v>
      </c>
      <c r="F483" s="2">
        <f t="shared" si="7"/>
        <v>2.3107460643394937</v>
      </c>
      <c r="G483" s="3">
        <v>2</v>
      </c>
      <c r="H483" s="3">
        <v>1</v>
      </c>
      <c r="I483" s="3">
        <v>0</v>
      </c>
      <c r="J483" s="3">
        <v>1</v>
      </c>
      <c r="K483" s="3">
        <v>0</v>
      </c>
      <c r="L483" s="3">
        <v>0</v>
      </c>
      <c r="M483" s="3">
        <v>1</v>
      </c>
      <c r="N483" s="3">
        <v>1</v>
      </c>
      <c r="O483" s="3">
        <v>0</v>
      </c>
      <c r="P483" s="3">
        <v>0</v>
      </c>
      <c r="Q483" s="3">
        <v>0</v>
      </c>
      <c r="R483" s="3">
        <v>78.599999999999994</v>
      </c>
      <c r="S483" s="2">
        <v>8.6999999999999993</v>
      </c>
      <c r="T483" t="s">
        <v>44</v>
      </c>
      <c r="U483" s="3">
        <v>1</v>
      </c>
      <c r="V483" s="3">
        <v>1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</row>
    <row r="484" spans="1:27">
      <c r="A484" t="s">
        <v>561</v>
      </c>
      <c r="B484" s="3">
        <v>1</v>
      </c>
      <c r="C484" s="3">
        <v>1</v>
      </c>
      <c r="D484" s="1">
        <v>37921</v>
      </c>
      <c r="E484" s="1">
        <v>39082</v>
      </c>
      <c r="F484" s="2">
        <f t="shared" si="7"/>
        <v>3.1786447638603694</v>
      </c>
      <c r="G484" s="3">
        <v>1</v>
      </c>
      <c r="H484" s="3">
        <v>0</v>
      </c>
      <c r="I484" s="3">
        <v>0</v>
      </c>
      <c r="J484" s="3">
        <v>0</v>
      </c>
      <c r="K484" s="3">
        <v>1</v>
      </c>
      <c r="L484" s="3">
        <v>0</v>
      </c>
      <c r="M484" s="3">
        <v>0</v>
      </c>
      <c r="N484" s="3">
        <v>1</v>
      </c>
      <c r="O484" s="3">
        <v>1</v>
      </c>
      <c r="P484" s="3">
        <v>1</v>
      </c>
      <c r="Q484" s="3">
        <v>0</v>
      </c>
      <c r="R484" s="3">
        <v>78.7</v>
      </c>
      <c r="S484" s="2">
        <v>11</v>
      </c>
      <c r="T484" t="s">
        <v>28</v>
      </c>
      <c r="U484" s="3">
        <v>1</v>
      </c>
      <c r="V484" s="3">
        <v>1</v>
      </c>
      <c r="W484" s="3">
        <v>1</v>
      </c>
      <c r="X484" s="3">
        <v>0</v>
      </c>
      <c r="Y484" s="3">
        <v>0</v>
      </c>
      <c r="Z484" s="3">
        <v>1</v>
      </c>
      <c r="AA484" s="3">
        <v>0</v>
      </c>
    </row>
    <row r="485" spans="1:27">
      <c r="A485" t="s">
        <v>562</v>
      </c>
      <c r="B485" s="3">
        <v>3</v>
      </c>
      <c r="C485" s="3">
        <v>0</v>
      </c>
      <c r="D485" s="1">
        <v>37572</v>
      </c>
      <c r="E485" s="1">
        <v>39082</v>
      </c>
      <c r="F485" s="2">
        <f t="shared" si="7"/>
        <v>4.1341546885694731</v>
      </c>
      <c r="G485" s="3">
        <v>2</v>
      </c>
      <c r="H485" s="3">
        <v>1</v>
      </c>
      <c r="I485" s="3">
        <v>0</v>
      </c>
      <c r="J485" s="3">
        <v>0</v>
      </c>
      <c r="K485" s="3">
        <v>0</v>
      </c>
      <c r="L485" s="3">
        <v>1</v>
      </c>
      <c r="M485" s="3">
        <v>0</v>
      </c>
      <c r="N485" s="3">
        <v>1</v>
      </c>
      <c r="O485" s="3">
        <v>0</v>
      </c>
      <c r="P485" s="3">
        <v>1</v>
      </c>
      <c r="Q485" s="3">
        <v>0</v>
      </c>
      <c r="R485" s="3">
        <v>78.7</v>
      </c>
      <c r="S485" s="2">
        <v>8.6999999999999993</v>
      </c>
      <c r="T485" t="s">
        <v>44</v>
      </c>
      <c r="U485" s="3">
        <v>1</v>
      </c>
      <c r="V485" s="3">
        <v>1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</row>
    <row r="486" spans="1:27">
      <c r="A486" t="s">
        <v>563</v>
      </c>
      <c r="B486" s="3">
        <v>3</v>
      </c>
      <c r="C486" s="3">
        <v>0</v>
      </c>
      <c r="D486" s="1">
        <v>37999</v>
      </c>
      <c r="E486" s="1">
        <v>39082</v>
      </c>
      <c r="F486" s="2">
        <f t="shared" si="7"/>
        <v>2.9650924024640659</v>
      </c>
      <c r="G486" s="3">
        <v>2</v>
      </c>
      <c r="H486" s="3">
        <v>1</v>
      </c>
      <c r="I486" s="3">
        <v>0</v>
      </c>
      <c r="J486" s="3">
        <v>0</v>
      </c>
      <c r="K486" s="3">
        <v>0</v>
      </c>
      <c r="L486" s="3">
        <v>0</v>
      </c>
      <c r="M486" s="3">
        <v>0</v>
      </c>
      <c r="N486" s="3">
        <v>1</v>
      </c>
      <c r="O486" s="3">
        <v>0</v>
      </c>
      <c r="P486" s="3">
        <v>1</v>
      </c>
      <c r="Q486" s="3">
        <v>0</v>
      </c>
      <c r="R486" s="3">
        <v>78.8</v>
      </c>
      <c r="S486" s="2">
        <v>10.3</v>
      </c>
      <c r="T486" t="s">
        <v>28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</row>
    <row r="487" spans="1:27">
      <c r="A487" t="s">
        <v>564</v>
      </c>
      <c r="B487" s="3">
        <v>3</v>
      </c>
      <c r="C487" s="3">
        <v>1</v>
      </c>
      <c r="D487" s="1">
        <v>37740</v>
      </c>
      <c r="E487" s="1">
        <v>39082</v>
      </c>
      <c r="F487" s="2">
        <f t="shared" si="7"/>
        <v>3.6741957563312799</v>
      </c>
      <c r="G487" s="3">
        <v>2</v>
      </c>
      <c r="H487" s="3">
        <v>1</v>
      </c>
      <c r="I487" s="3">
        <v>0</v>
      </c>
      <c r="J487" s="3">
        <v>0</v>
      </c>
      <c r="K487" s="3">
        <v>0</v>
      </c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78.8</v>
      </c>
      <c r="S487" s="2">
        <v>9.8000000000000007</v>
      </c>
      <c r="T487" t="s">
        <v>28</v>
      </c>
      <c r="U487" s="3">
        <v>0</v>
      </c>
      <c r="V487" s="3">
        <v>0</v>
      </c>
      <c r="W487" s="3">
        <v>1</v>
      </c>
      <c r="X487" s="3">
        <v>1</v>
      </c>
      <c r="Y487" s="3">
        <v>0</v>
      </c>
      <c r="Z487" s="3">
        <v>0</v>
      </c>
      <c r="AA487" s="3">
        <v>0</v>
      </c>
    </row>
    <row r="488" spans="1:27">
      <c r="A488" t="s">
        <v>565</v>
      </c>
      <c r="B488" s="3">
        <v>1</v>
      </c>
      <c r="C488" s="3">
        <v>0</v>
      </c>
      <c r="D488" s="1">
        <v>38160</v>
      </c>
      <c r="E488" s="1">
        <v>39082</v>
      </c>
      <c r="F488" s="2">
        <f t="shared" si="7"/>
        <v>2.5242984257357972</v>
      </c>
      <c r="G488" s="3">
        <v>1</v>
      </c>
      <c r="H488" s="3">
        <v>0</v>
      </c>
      <c r="I488" s="3">
        <v>0</v>
      </c>
      <c r="J488" s="3">
        <v>1</v>
      </c>
      <c r="K488" s="3">
        <v>0</v>
      </c>
      <c r="L488" s="3">
        <v>0</v>
      </c>
      <c r="M488" s="3">
        <v>0</v>
      </c>
      <c r="N488" s="3">
        <v>1</v>
      </c>
      <c r="O488" s="3">
        <v>0</v>
      </c>
      <c r="P488" s="3">
        <v>1</v>
      </c>
      <c r="Q488" s="3">
        <v>0</v>
      </c>
      <c r="R488" s="3">
        <v>78.8</v>
      </c>
      <c r="S488" s="2">
        <v>9.6</v>
      </c>
      <c r="T488" t="s">
        <v>123</v>
      </c>
      <c r="U488" s="3">
        <v>0</v>
      </c>
      <c r="V488" s="3">
        <v>1</v>
      </c>
      <c r="W488" s="3">
        <v>1</v>
      </c>
      <c r="X488" s="3">
        <v>1</v>
      </c>
      <c r="Y488" s="3">
        <v>0</v>
      </c>
      <c r="Z488" s="3">
        <v>1</v>
      </c>
      <c r="AA488" s="3">
        <v>0</v>
      </c>
    </row>
    <row r="489" spans="1:27">
      <c r="A489" t="s">
        <v>566</v>
      </c>
      <c r="B489" s="3">
        <v>3</v>
      </c>
      <c r="C489" s="3">
        <v>0</v>
      </c>
      <c r="D489" s="1">
        <v>37622</v>
      </c>
      <c r="E489" s="1">
        <v>39082</v>
      </c>
      <c r="F489" s="2">
        <f t="shared" si="7"/>
        <v>3.9972621492128679</v>
      </c>
      <c r="G489" s="3">
        <v>2</v>
      </c>
      <c r="H489" s="3">
        <v>1</v>
      </c>
      <c r="I489" s="3">
        <v>0</v>
      </c>
      <c r="J489" s="3">
        <v>1</v>
      </c>
      <c r="K489" s="3">
        <v>0</v>
      </c>
      <c r="L489" s="3">
        <v>0</v>
      </c>
      <c r="M489" s="3">
        <v>1</v>
      </c>
      <c r="N489" s="3">
        <v>0</v>
      </c>
      <c r="O489" s="3">
        <v>0</v>
      </c>
      <c r="P489" s="3">
        <v>1</v>
      </c>
      <c r="Q489" s="3">
        <v>0</v>
      </c>
      <c r="R489" s="3">
        <v>78.8</v>
      </c>
      <c r="S489" s="2">
        <v>9.4</v>
      </c>
      <c r="T489" t="s">
        <v>28</v>
      </c>
      <c r="U489" s="3">
        <v>1</v>
      </c>
      <c r="V489" s="3">
        <v>1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</row>
    <row r="490" spans="1:27">
      <c r="A490" t="s">
        <v>567</v>
      </c>
      <c r="B490" s="3">
        <v>2</v>
      </c>
      <c r="C490" s="3">
        <v>0</v>
      </c>
      <c r="D490" s="1">
        <v>37582</v>
      </c>
      <c r="E490" s="1">
        <v>39082</v>
      </c>
      <c r="F490" s="2">
        <f t="shared" si="7"/>
        <v>4.1067761806981515</v>
      </c>
      <c r="G490" s="3">
        <v>1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  <c r="M490" s="3">
        <v>0</v>
      </c>
      <c r="N490" s="3">
        <v>1</v>
      </c>
      <c r="O490" s="3">
        <v>0</v>
      </c>
      <c r="P490" s="3">
        <v>1</v>
      </c>
      <c r="Q490" s="3">
        <v>0</v>
      </c>
      <c r="R490" s="3">
        <v>78.900000000000006</v>
      </c>
      <c r="S490" s="2">
        <v>8.1</v>
      </c>
      <c r="T490" t="s">
        <v>28</v>
      </c>
      <c r="U490" s="3">
        <v>1</v>
      </c>
      <c r="V490" s="3">
        <v>1</v>
      </c>
      <c r="W490" s="3">
        <v>1</v>
      </c>
      <c r="X490" s="3">
        <v>1</v>
      </c>
      <c r="Y490" s="3">
        <v>1</v>
      </c>
      <c r="Z490" s="3">
        <v>1</v>
      </c>
      <c r="AA490" s="3">
        <v>0</v>
      </c>
    </row>
    <row r="491" spans="1:27">
      <c r="A491" t="s">
        <v>568</v>
      </c>
      <c r="B491" s="3">
        <v>3</v>
      </c>
      <c r="C491" s="3">
        <v>1</v>
      </c>
      <c r="D491" s="1">
        <v>38292</v>
      </c>
      <c r="E491" s="1">
        <v>39082</v>
      </c>
      <c r="F491" s="2">
        <f t="shared" si="7"/>
        <v>2.1629021218343598</v>
      </c>
      <c r="G491" s="3">
        <v>2</v>
      </c>
      <c r="H491" s="3">
        <v>1</v>
      </c>
      <c r="I491" s="3">
        <v>0</v>
      </c>
      <c r="J491" s="3">
        <v>0</v>
      </c>
      <c r="K491" s="3">
        <v>0</v>
      </c>
      <c r="L491" s="3">
        <v>0</v>
      </c>
      <c r="M491" s="3">
        <v>0</v>
      </c>
      <c r="N491" s="3">
        <v>1</v>
      </c>
      <c r="O491" s="3">
        <v>0</v>
      </c>
      <c r="P491" s="3">
        <v>0</v>
      </c>
      <c r="Q491" s="3">
        <v>0</v>
      </c>
      <c r="R491" s="3">
        <v>79</v>
      </c>
      <c r="S491" s="2">
        <v>11.9</v>
      </c>
      <c r="T491" t="s">
        <v>28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</row>
    <row r="492" spans="1:27">
      <c r="A492" t="s">
        <v>569</v>
      </c>
      <c r="B492" s="3">
        <v>3</v>
      </c>
      <c r="C492" s="3">
        <v>1</v>
      </c>
      <c r="D492" s="1">
        <v>38255</v>
      </c>
      <c r="E492" s="1">
        <v>39082</v>
      </c>
      <c r="F492" s="2">
        <f t="shared" si="7"/>
        <v>2.2642026009582477</v>
      </c>
      <c r="G492" s="3">
        <v>2</v>
      </c>
      <c r="H492" s="3">
        <v>1</v>
      </c>
      <c r="I492" s="3">
        <v>0</v>
      </c>
      <c r="J492" s="3">
        <v>0</v>
      </c>
      <c r="K492" s="3">
        <v>0</v>
      </c>
      <c r="L492" s="3">
        <v>0</v>
      </c>
      <c r="M492" s="3">
        <v>0</v>
      </c>
      <c r="N492" s="3">
        <v>1</v>
      </c>
      <c r="O492" s="3">
        <v>0</v>
      </c>
      <c r="P492" s="3">
        <v>0</v>
      </c>
      <c r="Q492" s="3">
        <v>0</v>
      </c>
      <c r="R492" s="3">
        <v>79.099999999999994</v>
      </c>
      <c r="S492" s="2">
        <v>9.1999999999999993</v>
      </c>
      <c r="T492" t="s">
        <v>570</v>
      </c>
      <c r="U492" s="3">
        <v>0</v>
      </c>
      <c r="V492" s="3">
        <v>1</v>
      </c>
      <c r="W492" s="3">
        <v>0</v>
      </c>
      <c r="X492" s="3">
        <v>0</v>
      </c>
      <c r="Y492" s="3">
        <v>1</v>
      </c>
      <c r="Z492" s="3">
        <v>0</v>
      </c>
      <c r="AA492" s="3">
        <v>0</v>
      </c>
    </row>
    <row r="493" spans="1:27">
      <c r="A493" t="s">
        <v>571</v>
      </c>
      <c r="B493" s="3">
        <v>2</v>
      </c>
      <c r="C493" s="3">
        <v>0</v>
      </c>
      <c r="D493" s="1">
        <v>38261</v>
      </c>
      <c r="E493" s="1">
        <v>39082</v>
      </c>
      <c r="F493" s="2">
        <f t="shared" si="7"/>
        <v>2.2477754962354553</v>
      </c>
      <c r="G493" s="3">
        <v>1</v>
      </c>
      <c r="H493" s="3">
        <v>1</v>
      </c>
      <c r="I493" s="3">
        <v>1</v>
      </c>
      <c r="J493" s="3">
        <v>0</v>
      </c>
      <c r="K493" s="3">
        <v>1</v>
      </c>
      <c r="L493" s="3">
        <v>0</v>
      </c>
      <c r="M493" s="3">
        <v>0</v>
      </c>
      <c r="N493" s="3">
        <v>0</v>
      </c>
      <c r="O493" s="3">
        <v>0</v>
      </c>
      <c r="P493" s="3">
        <v>1</v>
      </c>
      <c r="Q493" s="3">
        <v>0</v>
      </c>
      <c r="R493" s="3">
        <v>79.099999999999994</v>
      </c>
      <c r="S493" s="2">
        <v>10</v>
      </c>
      <c r="T493" t="s">
        <v>28</v>
      </c>
      <c r="U493" s="3">
        <v>1</v>
      </c>
      <c r="V493" s="3">
        <v>0</v>
      </c>
      <c r="W493" s="3">
        <v>1</v>
      </c>
      <c r="X493" s="3">
        <v>1</v>
      </c>
      <c r="Y493" s="3">
        <v>0</v>
      </c>
      <c r="Z493" s="3">
        <v>1</v>
      </c>
      <c r="AA493" s="3">
        <v>0</v>
      </c>
    </row>
    <row r="494" spans="1:27">
      <c r="A494" t="s">
        <v>572</v>
      </c>
      <c r="B494" s="3">
        <v>3</v>
      </c>
      <c r="C494" s="3">
        <v>0</v>
      </c>
      <c r="D494" s="1">
        <v>37926</v>
      </c>
      <c r="E494" s="1">
        <v>39082</v>
      </c>
      <c r="F494" s="2">
        <f t="shared" si="7"/>
        <v>3.1649555099247091</v>
      </c>
      <c r="G494" s="3">
        <v>2</v>
      </c>
      <c r="H494" s="3">
        <v>1</v>
      </c>
      <c r="I494" s="3">
        <v>0</v>
      </c>
      <c r="J494" s="3">
        <v>1</v>
      </c>
      <c r="K494" s="3">
        <v>0</v>
      </c>
      <c r="L494" s="3">
        <v>0</v>
      </c>
      <c r="M494" s="3">
        <v>0</v>
      </c>
      <c r="N494" s="3">
        <v>0</v>
      </c>
      <c r="O494" s="3">
        <v>0</v>
      </c>
      <c r="P494" s="3">
        <v>1</v>
      </c>
      <c r="Q494" s="3">
        <v>0</v>
      </c>
      <c r="R494" s="3">
        <v>79.2</v>
      </c>
      <c r="S494" s="2">
        <v>10.6</v>
      </c>
      <c r="T494" t="s">
        <v>28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</row>
    <row r="495" spans="1:27">
      <c r="A495" t="s">
        <v>573</v>
      </c>
      <c r="B495" s="3">
        <v>1</v>
      </c>
      <c r="C495" s="3">
        <v>0</v>
      </c>
      <c r="D495" s="1">
        <v>37676</v>
      </c>
      <c r="E495" s="1">
        <v>39082</v>
      </c>
      <c r="F495" s="2">
        <f t="shared" si="7"/>
        <v>3.8494182067077345</v>
      </c>
      <c r="G495" s="3">
        <v>2</v>
      </c>
      <c r="H495" s="3">
        <v>1</v>
      </c>
      <c r="I495" s="3">
        <v>0</v>
      </c>
      <c r="J495" s="3">
        <v>0</v>
      </c>
      <c r="K495" s="3">
        <v>1</v>
      </c>
      <c r="L495" s="3">
        <v>0</v>
      </c>
      <c r="M495" s="3">
        <v>1</v>
      </c>
      <c r="N495" s="3">
        <v>1</v>
      </c>
      <c r="O495" s="3">
        <v>0</v>
      </c>
      <c r="P495" s="3">
        <v>1</v>
      </c>
      <c r="Q495" s="3">
        <v>0</v>
      </c>
      <c r="R495" s="3">
        <v>79.3</v>
      </c>
      <c r="S495" s="2">
        <v>9.4</v>
      </c>
      <c r="T495" t="s">
        <v>28</v>
      </c>
      <c r="U495" s="3">
        <v>1</v>
      </c>
      <c r="V495" s="3">
        <v>1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</row>
    <row r="496" spans="1:27">
      <c r="A496" t="s">
        <v>574</v>
      </c>
      <c r="B496" s="3">
        <v>3</v>
      </c>
      <c r="C496" s="3">
        <v>0</v>
      </c>
      <c r="D496" s="1">
        <v>38145</v>
      </c>
      <c r="E496" s="1">
        <v>39082</v>
      </c>
      <c r="F496" s="2">
        <f t="shared" si="7"/>
        <v>2.5653661875427791</v>
      </c>
      <c r="G496" s="3">
        <v>2</v>
      </c>
      <c r="H496" s="3">
        <v>1</v>
      </c>
      <c r="I496" s="3">
        <v>1</v>
      </c>
      <c r="J496" s="3">
        <v>1</v>
      </c>
      <c r="K496" s="3">
        <v>0</v>
      </c>
      <c r="L496" s="3">
        <v>0</v>
      </c>
      <c r="M496" s="3">
        <v>0</v>
      </c>
      <c r="N496" s="3">
        <v>0</v>
      </c>
      <c r="O496" s="3">
        <v>0</v>
      </c>
      <c r="P496" s="3">
        <v>1</v>
      </c>
      <c r="Q496" s="3">
        <v>0</v>
      </c>
      <c r="R496" s="3">
        <v>79.3</v>
      </c>
      <c r="S496" s="2">
        <v>9.5</v>
      </c>
      <c r="T496" t="s">
        <v>44</v>
      </c>
      <c r="U496" s="3">
        <v>0</v>
      </c>
      <c r="V496" s="3">
        <v>1</v>
      </c>
      <c r="W496" s="3">
        <v>0</v>
      </c>
      <c r="X496" s="3">
        <v>0</v>
      </c>
      <c r="Y496" s="3">
        <v>1</v>
      </c>
      <c r="Z496" s="3">
        <v>0</v>
      </c>
      <c r="AA496" s="3">
        <v>0</v>
      </c>
    </row>
    <row r="497" spans="1:27">
      <c r="A497" t="s">
        <v>152</v>
      </c>
      <c r="B497" s="3">
        <v>2</v>
      </c>
      <c r="C497" s="3">
        <v>0</v>
      </c>
      <c r="D497" s="1">
        <v>37662</v>
      </c>
      <c r="E497" s="1">
        <v>39082</v>
      </c>
      <c r="F497" s="2">
        <f t="shared" si="7"/>
        <v>3.8877481177275839</v>
      </c>
      <c r="G497" s="3">
        <v>1</v>
      </c>
      <c r="H497" s="3">
        <v>1</v>
      </c>
      <c r="I497" s="3">
        <v>0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79.400000000000006</v>
      </c>
      <c r="S497" s="2">
        <v>10.8</v>
      </c>
      <c r="T497" t="s">
        <v>69</v>
      </c>
      <c r="U497" s="3">
        <v>1</v>
      </c>
      <c r="V497" s="3">
        <v>1</v>
      </c>
      <c r="W497" s="3">
        <v>0</v>
      </c>
      <c r="X497" s="3">
        <v>0</v>
      </c>
      <c r="Y497" s="3">
        <v>0</v>
      </c>
      <c r="Z497" s="3">
        <v>1</v>
      </c>
      <c r="AA497" s="3">
        <v>0</v>
      </c>
    </row>
    <row r="498" spans="1:27">
      <c r="A498" t="s">
        <v>575</v>
      </c>
      <c r="B498" s="3">
        <v>3</v>
      </c>
      <c r="C498" s="3">
        <v>0</v>
      </c>
      <c r="D498" s="1">
        <v>38320</v>
      </c>
      <c r="E498" s="1">
        <v>39082</v>
      </c>
      <c r="F498" s="2">
        <f t="shared" si="7"/>
        <v>2.086242299794661</v>
      </c>
      <c r="G498" s="3">
        <v>1</v>
      </c>
      <c r="H498" s="3">
        <v>1</v>
      </c>
      <c r="I498" s="3">
        <v>0</v>
      </c>
      <c r="J498" s="3">
        <v>1</v>
      </c>
      <c r="K498" s="3">
        <v>0</v>
      </c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79.400000000000006</v>
      </c>
      <c r="S498" s="2">
        <v>11.5</v>
      </c>
      <c r="T498" t="s">
        <v>28</v>
      </c>
      <c r="U498" s="3">
        <v>0</v>
      </c>
      <c r="V498" s="3">
        <v>0</v>
      </c>
      <c r="W498" s="3">
        <v>1</v>
      </c>
      <c r="X498" s="3">
        <v>1</v>
      </c>
      <c r="Y498" s="3">
        <v>0</v>
      </c>
      <c r="Z498" s="3">
        <v>1</v>
      </c>
      <c r="AA498" s="3">
        <v>0</v>
      </c>
    </row>
    <row r="499" spans="1:27">
      <c r="A499" t="s">
        <v>576</v>
      </c>
      <c r="B499" s="3">
        <v>3</v>
      </c>
      <c r="C499" s="3">
        <v>0</v>
      </c>
      <c r="D499" s="1">
        <v>38183</v>
      </c>
      <c r="E499" s="1">
        <v>39082</v>
      </c>
      <c r="F499" s="2">
        <f t="shared" si="7"/>
        <v>2.4613278576317592</v>
      </c>
      <c r="G499" s="3">
        <v>2</v>
      </c>
      <c r="H499" s="3">
        <v>1</v>
      </c>
      <c r="I499" s="3">
        <v>0</v>
      </c>
      <c r="J499" s="3">
        <v>1</v>
      </c>
      <c r="K499" s="3">
        <v>0</v>
      </c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79.400000000000006</v>
      </c>
      <c r="S499" s="2">
        <v>11.2</v>
      </c>
      <c r="T499" t="s">
        <v>34</v>
      </c>
      <c r="U499" s="3">
        <v>0</v>
      </c>
      <c r="V499" s="3">
        <v>0</v>
      </c>
      <c r="W499" s="3">
        <v>1</v>
      </c>
      <c r="X499" s="3">
        <v>1</v>
      </c>
      <c r="Y499" s="3">
        <v>1</v>
      </c>
      <c r="Z499" s="3">
        <v>0</v>
      </c>
      <c r="AA499" s="3">
        <v>0</v>
      </c>
    </row>
    <row r="500" spans="1:27">
      <c r="A500" t="s">
        <v>577</v>
      </c>
      <c r="B500" s="3">
        <v>1</v>
      </c>
      <c r="C500" s="3">
        <v>0</v>
      </c>
      <c r="D500" s="1">
        <v>37655</v>
      </c>
      <c r="E500" s="1">
        <v>39082</v>
      </c>
      <c r="F500" s="2">
        <f t="shared" si="7"/>
        <v>3.9069130732375084</v>
      </c>
      <c r="G500" s="3">
        <v>2</v>
      </c>
      <c r="H500" s="3">
        <v>0</v>
      </c>
      <c r="I500" s="3">
        <v>1</v>
      </c>
      <c r="J500" s="3">
        <v>1</v>
      </c>
      <c r="K500" s="3">
        <v>0</v>
      </c>
      <c r="L500" s="3">
        <v>0</v>
      </c>
      <c r="M500" s="3">
        <v>0</v>
      </c>
      <c r="N500" s="3">
        <v>1</v>
      </c>
      <c r="O500" s="3">
        <v>0</v>
      </c>
      <c r="P500" s="3">
        <v>0</v>
      </c>
      <c r="Q500" s="3">
        <v>0</v>
      </c>
      <c r="R500" s="3">
        <v>79.400000000000006</v>
      </c>
      <c r="S500" s="2">
        <v>10.1</v>
      </c>
      <c r="T500" t="s">
        <v>28</v>
      </c>
      <c r="U500" s="3">
        <v>1</v>
      </c>
      <c r="V500" s="3">
        <v>1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</row>
    <row r="501" spans="1:27">
      <c r="A501" t="s">
        <v>578</v>
      </c>
      <c r="B501" s="3">
        <v>1</v>
      </c>
      <c r="C501" s="3">
        <v>0</v>
      </c>
      <c r="D501" s="1">
        <v>38162</v>
      </c>
      <c r="E501" s="1">
        <v>39082</v>
      </c>
      <c r="F501" s="2">
        <f t="shared" si="7"/>
        <v>2.5188227241615331</v>
      </c>
      <c r="G501" s="3">
        <v>1</v>
      </c>
      <c r="H501" s="3">
        <v>0</v>
      </c>
      <c r="I501" s="3">
        <v>0</v>
      </c>
      <c r="J501" s="3">
        <v>0</v>
      </c>
      <c r="K501" s="3">
        <v>0</v>
      </c>
      <c r="L501" s="3">
        <v>1</v>
      </c>
      <c r="M501" s="3">
        <v>1</v>
      </c>
      <c r="N501" s="3">
        <v>1</v>
      </c>
      <c r="O501" s="3">
        <v>1</v>
      </c>
      <c r="P501" s="3">
        <v>0</v>
      </c>
      <c r="Q501" s="3">
        <v>0</v>
      </c>
      <c r="R501" s="3">
        <v>79.5</v>
      </c>
      <c r="S501" s="2">
        <v>9.6999999999999993</v>
      </c>
      <c r="T501" t="s">
        <v>44</v>
      </c>
      <c r="U501" s="3">
        <v>1</v>
      </c>
      <c r="V501" s="3">
        <v>1</v>
      </c>
      <c r="W501" s="3">
        <v>0</v>
      </c>
      <c r="X501" s="3">
        <v>0</v>
      </c>
      <c r="Y501" s="3">
        <v>0</v>
      </c>
      <c r="Z501" s="3">
        <v>1</v>
      </c>
      <c r="AA501" s="3">
        <v>0</v>
      </c>
    </row>
    <row r="502" spans="1:27">
      <c r="A502" t="s">
        <v>579</v>
      </c>
      <c r="B502" s="3">
        <v>3</v>
      </c>
      <c r="C502" s="3">
        <v>0</v>
      </c>
      <c r="D502" s="1">
        <v>38056</v>
      </c>
      <c r="E502" s="1">
        <v>39082</v>
      </c>
      <c r="F502" s="2">
        <f t="shared" si="7"/>
        <v>2.8090349075975358</v>
      </c>
      <c r="G502" s="3">
        <v>1</v>
      </c>
      <c r="H502" s="3">
        <v>1</v>
      </c>
      <c r="I502" s="3">
        <v>1</v>
      </c>
      <c r="J502" s="3">
        <v>1</v>
      </c>
      <c r="K502" s="3">
        <v>0</v>
      </c>
      <c r="L502" s="3">
        <v>0</v>
      </c>
      <c r="M502" s="3">
        <v>0</v>
      </c>
      <c r="N502" s="3">
        <v>1</v>
      </c>
      <c r="O502" s="3">
        <v>0</v>
      </c>
      <c r="P502" s="3">
        <v>0</v>
      </c>
      <c r="Q502" s="3">
        <v>0</v>
      </c>
      <c r="R502" s="3">
        <v>79.5</v>
      </c>
      <c r="S502" s="2">
        <v>9</v>
      </c>
      <c r="T502" t="s">
        <v>28</v>
      </c>
      <c r="U502" s="3">
        <v>0</v>
      </c>
      <c r="V502" s="3">
        <v>1</v>
      </c>
      <c r="W502" s="3">
        <v>1</v>
      </c>
      <c r="X502" s="3">
        <v>0</v>
      </c>
      <c r="Y502" s="3">
        <v>0</v>
      </c>
      <c r="Z502" s="3">
        <v>1</v>
      </c>
      <c r="AA502" s="3">
        <v>0</v>
      </c>
    </row>
    <row r="503" spans="1:27">
      <c r="A503" t="s">
        <v>580</v>
      </c>
      <c r="B503" s="3">
        <v>1</v>
      </c>
      <c r="C503" s="3">
        <v>0</v>
      </c>
      <c r="D503" s="1">
        <v>37486</v>
      </c>
      <c r="E503" s="1">
        <v>39082</v>
      </c>
      <c r="F503" s="2">
        <f t="shared" si="7"/>
        <v>4.3696098562628336</v>
      </c>
      <c r="G503" s="3">
        <v>2</v>
      </c>
      <c r="H503" s="3">
        <v>1</v>
      </c>
      <c r="I503" s="3">
        <v>0</v>
      </c>
      <c r="J503" s="3">
        <v>0</v>
      </c>
      <c r="K503" s="3">
        <v>0</v>
      </c>
      <c r="L503" s="3">
        <v>1</v>
      </c>
      <c r="M503" s="3">
        <v>1</v>
      </c>
      <c r="N503" s="3">
        <v>1</v>
      </c>
      <c r="O503" s="3">
        <v>1</v>
      </c>
      <c r="P503" s="3">
        <v>1</v>
      </c>
      <c r="Q503" s="3">
        <v>0</v>
      </c>
      <c r="R503" s="3">
        <v>79.599999999999994</v>
      </c>
      <c r="S503" s="2">
        <v>10</v>
      </c>
      <c r="T503" t="s">
        <v>28</v>
      </c>
      <c r="U503" s="3">
        <v>1</v>
      </c>
      <c r="V503" s="3">
        <v>1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</row>
    <row r="504" spans="1:27">
      <c r="A504" t="s">
        <v>581</v>
      </c>
      <c r="B504" s="3">
        <v>1</v>
      </c>
      <c r="C504" s="3">
        <v>0</v>
      </c>
      <c r="D504" s="1">
        <v>37777</v>
      </c>
      <c r="E504" s="1">
        <v>39082</v>
      </c>
      <c r="F504" s="2">
        <f t="shared" si="7"/>
        <v>3.5728952772073921</v>
      </c>
      <c r="G504" s="3">
        <v>1</v>
      </c>
      <c r="H504" s="3">
        <v>1</v>
      </c>
      <c r="I504" s="3">
        <v>0</v>
      </c>
      <c r="J504" s="3">
        <v>1</v>
      </c>
      <c r="K504" s="3">
        <v>1</v>
      </c>
      <c r="L504" s="3">
        <v>0</v>
      </c>
      <c r="M504" s="3">
        <v>0</v>
      </c>
      <c r="N504" s="3">
        <v>1</v>
      </c>
      <c r="O504" s="3">
        <v>0</v>
      </c>
      <c r="P504" s="3">
        <v>1</v>
      </c>
      <c r="Q504" s="3">
        <v>0</v>
      </c>
      <c r="R504" s="3">
        <v>79.599999999999994</v>
      </c>
      <c r="S504" s="2">
        <v>9.4</v>
      </c>
      <c r="T504" t="s">
        <v>28</v>
      </c>
      <c r="U504" s="3">
        <v>1</v>
      </c>
      <c r="V504" s="3">
        <v>1</v>
      </c>
      <c r="W504" s="3">
        <v>0</v>
      </c>
      <c r="X504" s="3">
        <v>0</v>
      </c>
      <c r="Y504" s="3">
        <v>0</v>
      </c>
      <c r="Z504" s="3">
        <v>1</v>
      </c>
      <c r="AA504" s="3">
        <v>0</v>
      </c>
    </row>
    <row r="505" spans="1:27">
      <c r="A505" t="s">
        <v>128</v>
      </c>
      <c r="B505" s="3">
        <v>2</v>
      </c>
      <c r="C505" s="3">
        <v>1</v>
      </c>
      <c r="D505" s="1">
        <v>37726</v>
      </c>
      <c r="E505" s="1">
        <v>39082</v>
      </c>
      <c r="F505" s="2">
        <f t="shared" si="7"/>
        <v>3.7125256673511293</v>
      </c>
      <c r="G505" s="3">
        <v>1</v>
      </c>
      <c r="H505" s="3">
        <v>0</v>
      </c>
      <c r="I505" s="3">
        <v>1</v>
      </c>
      <c r="J505" s="3">
        <v>0</v>
      </c>
      <c r="K505" s="3">
        <v>0</v>
      </c>
      <c r="L505" s="3">
        <v>0</v>
      </c>
      <c r="M505" s="3">
        <v>0</v>
      </c>
      <c r="N505" s="3">
        <v>1</v>
      </c>
      <c r="O505" s="3">
        <v>0</v>
      </c>
      <c r="P505" s="3">
        <v>1</v>
      </c>
      <c r="Q505" s="3">
        <v>0</v>
      </c>
      <c r="R505" s="3">
        <v>79.599999999999994</v>
      </c>
      <c r="S505" s="2">
        <v>9.3000000000000007</v>
      </c>
      <c r="T505" t="s">
        <v>582</v>
      </c>
      <c r="U505" s="3">
        <v>1</v>
      </c>
      <c r="V505" s="3">
        <v>1</v>
      </c>
      <c r="W505" s="3">
        <v>1</v>
      </c>
      <c r="X505" s="3">
        <v>1</v>
      </c>
      <c r="Y505" s="3">
        <v>0</v>
      </c>
      <c r="Z505" s="3">
        <v>1</v>
      </c>
      <c r="AA505" s="3">
        <v>0</v>
      </c>
    </row>
    <row r="506" spans="1:27">
      <c r="A506" t="s">
        <v>583</v>
      </c>
      <c r="B506" s="3">
        <v>1</v>
      </c>
      <c r="C506" s="3">
        <v>1</v>
      </c>
      <c r="D506" s="1">
        <v>37956</v>
      </c>
      <c r="E506" s="1">
        <v>39082</v>
      </c>
      <c r="F506" s="2">
        <f t="shared" si="7"/>
        <v>3.0828199863107462</v>
      </c>
      <c r="G506" s="3">
        <v>1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  <c r="M506" s="3">
        <v>0</v>
      </c>
      <c r="N506" s="3">
        <v>1</v>
      </c>
      <c r="O506" s="3">
        <v>0</v>
      </c>
      <c r="P506" s="3">
        <v>1</v>
      </c>
      <c r="Q506" s="3">
        <v>0</v>
      </c>
      <c r="R506" s="3">
        <v>79.7</v>
      </c>
      <c r="S506" s="2">
        <v>9.4</v>
      </c>
      <c r="T506" t="s">
        <v>28</v>
      </c>
      <c r="U506" s="3">
        <v>1</v>
      </c>
      <c r="V506" s="3">
        <v>1</v>
      </c>
      <c r="W506" s="3">
        <v>1</v>
      </c>
      <c r="X506" s="3">
        <v>1</v>
      </c>
      <c r="Y506" s="3">
        <v>0</v>
      </c>
      <c r="Z506" s="3">
        <v>1</v>
      </c>
      <c r="AA506" s="3">
        <v>0</v>
      </c>
    </row>
    <row r="507" spans="1:27">
      <c r="A507" t="s">
        <v>584</v>
      </c>
      <c r="B507" s="3">
        <v>2</v>
      </c>
      <c r="C507" s="3">
        <v>1</v>
      </c>
      <c r="D507" s="1">
        <v>37950</v>
      </c>
      <c r="E507" s="1">
        <v>39082</v>
      </c>
      <c r="F507" s="2">
        <f t="shared" si="7"/>
        <v>3.0992470910335386</v>
      </c>
      <c r="G507" s="3">
        <v>2</v>
      </c>
      <c r="H507" s="3">
        <v>1</v>
      </c>
      <c r="I507" s="3">
        <v>0</v>
      </c>
      <c r="J507" s="3">
        <v>0</v>
      </c>
      <c r="K507" s="3">
        <v>0</v>
      </c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79.7</v>
      </c>
      <c r="S507" s="2">
        <v>6.6</v>
      </c>
      <c r="T507" t="s">
        <v>28</v>
      </c>
      <c r="U507" s="3">
        <v>1</v>
      </c>
      <c r="V507" s="3">
        <v>1</v>
      </c>
      <c r="W507" s="3">
        <v>1</v>
      </c>
      <c r="X507" s="3">
        <v>1</v>
      </c>
      <c r="Y507" s="3">
        <v>1</v>
      </c>
      <c r="Z507" s="3">
        <v>0</v>
      </c>
      <c r="AA507" s="3">
        <v>0</v>
      </c>
    </row>
    <row r="508" spans="1:27">
      <c r="A508" t="s">
        <v>585</v>
      </c>
      <c r="B508" s="3">
        <v>2</v>
      </c>
      <c r="C508" s="3">
        <v>1</v>
      </c>
      <c r="D508" s="1">
        <v>37285</v>
      </c>
      <c r="E508" s="1">
        <v>39082</v>
      </c>
      <c r="F508" s="2">
        <f t="shared" si="7"/>
        <v>4.9199178644763863</v>
      </c>
      <c r="G508" s="3">
        <v>1</v>
      </c>
      <c r="H508" s="3">
        <v>0</v>
      </c>
      <c r="I508" s="3">
        <v>0</v>
      </c>
      <c r="J508" s="3">
        <v>0</v>
      </c>
      <c r="K508" s="3">
        <v>0</v>
      </c>
      <c r="L508" s="3">
        <v>0</v>
      </c>
      <c r="M508" s="3">
        <v>0</v>
      </c>
      <c r="N508" s="3">
        <v>1</v>
      </c>
      <c r="O508" s="3">
        <v>0</v>
      </c>
      <c r="P508" s="3">
        <v>0</v>
      </c>
      <c r="Q508" s="3">
        <v>0</v>
      </c>
      <c r="R508" s="3">
        <v>79.8</v>
      </c>
      <c r="S508" s="2">
        <v>11.5</v>
      </c>
      <c r="T508" t="s">
        <v>509</v>
      </c>
      <c r="U508" s="3">
        <v>1</v>
      </c>
      <c r="V508" s="3">
        <v>1</v>
      </c>
      <c r="W508" s="3">
        <v>0</v>
      </c>
      <c r="X508" s="3">
        <v>0</v>
      </c>
      <c r="Y508" s="3">
        <v>0</v>
      </c>
      <c r="Z508" s="3">
        <v>1</v>
      </c>
      <c r="AA508" s="3">
        <v>0</v>
      </c>
    </row>
    <row r="509" spans="1:27">
      <c r="A509" t="s">
        <v>586</v>
      </c>
      <c r="B509" s="3">
        <v>1</v>
      </c>
      <c r="C509" s="3">
        <v>0</v>
      </c>
      <c r="D509" s="1">
        <v>37669</v>
      </c>
      <c r="E509" s="1">
        <v>39082</v>
      </c>
      <c r="F509" s="2">
        <f t="shared" si="7"/>
        <v>3.868583162217659</v>
      </c>
      <c r="G509" s="3">
        <v>2</v>
      </c>
      <c r="H509" s="3">
        <v>1</v>
      </c>
      <c r="I509" s="3">
        <v>0</v>
      </c>
      <c r="J509" s="3">
        <v>0</v>
      </c>
      <c r="K509" s="3">
        <v>0</v>
      </c>
      <c r="L509" s="3">
        <v>0</v>
      </c>
      <c r="M509" s="3">
        <v>0</v>
      </c>
      <c r="N509" s="3">
        <v>1</v>
      </c>
      <c r="O509" s="3">
        <v>0</v>
      </c>
      <c r="P509" s="3">
        <v>1</v>
      </c>
      <c r="Q509" s="3">
        <v>0</v>
      </c>
      <c r="R509" s="3">
        <v>79.8</v>
      </c>
      <c r="S509" s="2">
        <v>9</v>
      </c>
      <c r="T509" t="s">
        <v>28</v>
      </c>
      <c r="U509" s="3">
        <v>1</v>
      </c>
      <c r="V509" s="3">
        <v>1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</row>
    <row r="510" spans="1:27">
      <c r="A510" t="s">
        <v>438</v>
      </c>
      <c r="B510" s="3">
        <v>2</v>
      </c>
      <c r="C510" s="3">
        <v>0</v>
      </c>
      <c r="D510" s="1">
        <v>37653</v>
      </c>
      <c r="E510" s="1">
        <v>39082</v>
      </c>
      <c r="F510" s="2">
        <f t="shared" si="7"/>
        <v>3.9123887748117729</v>
      </c>
      <c r="G510" s="3">
        <v>2</v>
      </c>
      <c r="H510" s="3">
        <v>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79.900000000000006</v>
      </c>
      <c r="S510" s="2">
        <v>10.199999999999999</v>
      </c>
      <c r="T510" t="s">
        <v>66</v>
      </c>
      <c r="U510" s="3">
        <v>1</v>
      </c>
      <c r="V510" s="3">
        <v>1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</row>
    <row r="511" spans="1:27">
      <c r="A511" t="s">
        <v>587</v>
      </c>
      <c r="B511" s="3">
        <v>2</v>
      </c>
      <c r="C511" s="3">
        <v>0</v>
      </c>
      <c r="D511" s="1">
        <v>37774</v>
      </c>
      <c r="E511" s="1">
        <v>39082</v>
      </c>
      <c r="F511" s="2">
        <f t="shared" si="7"/>
        <v>3.5811088295687883</v>
      </c>
      <c r="G511" s="3">
        <v>2</v>
      </c>
      <c r="H511" s="3">
        <v>1</v>
      </c>
      <c r="I511" s="3">
        <v>0</v>
      </c>
      <c r="J511" s="3">
        <v>0</v>
      </c>
      <c r="K511" s="3">
        <v>1</v>
      </c>
      <c r="L511" s="3">
        <v>0</v>
      </c>
      <c r="M511" s="3">
        <v>0</v>
      </c>
      <c r="N511" s="3">
        <v>1</v>
      </c>
      <c r="O511" s="3">
        <v>0</v>
      </c>
      <c r="P511" s="3">
        <v>0</v>
      </c>
      <c r="Q511" s="3">
        <v>0</v>
      </c>
      <c r="R511" s="3">
        <v>79.900000000000006</v>
      </c>
      <c r="S511" s="2">
        <v>9.1</v>
      </c>
      <c r="T511" t="s">
        <v>28</v>
      </c>
      <c r="U511" s="3">
        <v>1</v>
      </c>
      <c r="V511" s="3">
        <v>1</v>
      </c>
      <c r="W511" s="3">
        <v>1</v>
      </c>
      <c r="X511" s="3">
        <v>1</v>
      </c>
      <c r="Y511" s="3">
        <v>1</v>
      </c>
      <c r="Z511" s="3">
        <v>0</v>
      </c>
      <c r="AA511" s="3">
        <v>0</v>
      </c>
    </row>
    <row r="512" spans="1:27">
      <c r="A512" t="s">
        <v>588</v>
      </c>
      <c r="B512" s="3">
        <v>2</v>
      </c>
      <c r="C512" s="3">
        <v>1</v>
      </c>
      <c r="D512" s="1">
        <v>37970</v>
      </c>
      <c r="E512" s="1">
        <v>39082</v>
      </c>
      <c r="F512" s="2">
        <f t="shared" si="7"/>
        <v>3.0444900752908968</v>
      </c>
      <c r="G512" s="3">
        <v>2</v>
      </c>
      <c r="H512" s="3">
        <v>1</v>
      </c>
      <c r="I512" s="3">
        <v>0</v>
      </c>
      <c r="J512" s="3">
        <v>0</v>
      </c>
      <c r="K512" s="3">
        <v>0</v>
      </c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79.900000000000006</v>
      </c>
      <c r="S512" s="2">
        <v>7.2</v>
      </c>
      <c r="T512" t="s">
        <v>59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</row>
    <row r="513" spans="1:27">
      <c r="A513" t="s">
        <v>589</v>
      </c>
      <c r="B513" s="3">
        <v>3</v>
      </c>
      <c r="C513" s="3">
        <v>0</v>
      </c>
      <c r="D513" s="1">
        <v>38090</v>
      </c>
      <c r="E513" s="1">
        <v>39082</v>
      </c>
      <c r="F513" s="2">
        <f t="shared" si="7"/>
        <v>2.7159479808350446</v>
      </c>
      <c r="G513" s="3">
        <v>1</v>
      </c>
      <c r="H513" s="3">
        <v>1</v>
      </c>
      <c r="I513" s="3">
        <v>0</v>
      </c>
      <c r="J513" s="3">
        <v>1</v>
      </c>
      <c r="K513" s="3">
        <v>0</v>
      </c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79.900000000000006</v>
      </c>
      <c r="S513" s="2">
        <v>9</v>
      </c>
      <c r="T513" t="s">
        <v>28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1</v>
      </c>
      <c r="AA513" s="3">
        <v>0</v>
      </c>
    </row>
    <row r="514" spans="1:27">
      <c r="A514" t="s">
        <v>590</v>
      </c>
      <c r="B514" s="3">
        <v>1</v>
      </c>
      <c r="C514" s="3">
        <v>0</v>
      </c>
      <c r="D514" s="1">
        <v>37534</v>
      </c>
      <c r="E514" s="1">
        <v>39082</v>
      </c>
      <c r="F514" s="2">
        <f t="shared" si="7"/>
        <v>4.2381930184804926</v>
      </c>
      <c r="G514" s="3">
        <v>1</v>
      </c>
      <c r="H514" s="3">
        <v>0</v>
      </c>
      <c r="I514" s="3">
        <v>1</v>
      </c>
      <c r="J514" s="3">
        <v>0</v>
      </c>
      <c r="K514" s="3">
        <v>0</v>
      </c>
      <c r="L514" s="3">
        <v>0</v>
      </c>
      <c r="M514" s="3">
        <v>0</v>
      </c>
      <c r="N514" s="3">
        <v>1</v>
      </c>
      <c r="O514" s="3">
        <v>0</v>
      </c>
      <c r="P514" s="3">
        <v>1</v>
      </c>
      <c r="Q514" s="3">
        <v>0</v>
      </c>
      <c r="R514" s="3">
        <v>79.900000000000006</v>
      </c>
      <c r="S514" s="2">
        <v>9.6999999999999993</v>
      </c>
      <c r="T514" t="s">
        <v>591</v>
      </c>
      <c r="U514" s="3">
        <v>0</v>
      </c>
      <c r="V514" s="3">
        <v>1</v>
      </c>
      <c r="W514" s="3">
        <v>1</v>
      </c>
      <c r="X514" s="3">
        <v>1</v>
      </c>
      <c r="Y514" s="3">
        <v>1</v>
      </c>
      <c r="Z514" s="3">
        <v>1</v>
      </c>
      <c r="AA514" s="3">
        <v>0</v>
      </c>
    </row>
    <row r="515" spans="1:27">
      <c r="A515" t="s">
        <v>592</v>
      </c>
      <c r="B515" s="3">
        <v>1</v>
      </c>
      <c r="C515" s="3">
        <v>0</v>
      </c>
      <c r="D515" s="1">
        <v>37695</v>
      </c>
      <c r="E515" s="1">
        <v>39082</v>
      </c>
      <c r="F515" s="2">
        <f t="shared" ref="F515:F578" si="8">(E515-D515)/365.25</f>
        <v>3.7973990417522243</v>
      </c>
      <c r="G515" s="3">
        <v>1</v>
      </c>
      <c r="H515" s="3">
        <v>1</v>
      </c>
      <c r="I515" s="3">
        <v>1</v>
      </c>
      <c r="J515" s="3">
        <v>0</v>
      </c>
      <c r="K515" s="3">
        <v>0</v>
      </c>
      <c r="L515" s="3">
        <v>0</v>
      </c>
      <c r="M515" s="3">
        <v>1</v>
      </c>
      <c r="N515" s="3">
        <v>1</v>
      </c>
      <c r="O515" s="3">
        <v>0</v>
      </c>
      <c r="P515" s="3">
        <v>0</v>
      </c>
      <c r="Q515" s="3">
        <v>0</v>
      </c>
      <c r="R515" s="3">
        <v>79.900000000000006</v>
      </c>
      <c r="S515" s="2">
        <v>9.6</v>
      </c>
      <c r="T515" t="s">
        <v>92</v>
      </c>
      <c r="U515" s="3">
        <v>1</v>
      </c>
      <c r="V515" s="3">
        <v>1</v>
      </c>
      <c r="W515" s="3">
        <v>0</v>
      </c>
      <c r="X515" s="3">
        <v>1</v>
      </c>
      <c r="Y515" s="3">
        <v>0</v>
      </c>
      <c r="Z515" s="3">
        <v>1</v>
      </c>
      <c r="AA515" s="3">
        <v>0</v>
      </c>
    </row>
    <row r="516" spans="1:27">
      <c r="A516" t="s">
        <v>593</v>
      </c>
      <c r="B516" s="3">
        <v>2</v>
      </c>
      <c r="C516" s="3">
        <v>0</v>
      </c>
      <c r="D516" s="1">
        <v>37848</v>
      </c>
      <c r="E516" s="1">
        <v>39082</v>
      </c>
      <c r="F516" s="2">
        <f t="shared" si="8"/>
        <v>3.378507871321013</v>
      </c>
      <c r="G516" s="3">
        <v>1</v>
      </c>
      <c r="H516" s="3">
        <v>1</v>
      </c>
      <c r="I516" s="3">
        <v>1</v>
      </c>
      <c r="J516" s="3">
        <v>0</v>
      </c>
      <c r="K516" s="3">
        <v>0</v>
      </c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79.900000000000006</v>
      </c>
      <c r="S516" s="2">
        <v>8.4</v>
      </c>
      <c r="T516" t="s">
        <v>28</v>
      </c>
      <c r="U516" s="3">
        <v>1</v>
      </c>
      <c r="V516" s="3">
        <v>1</v>
      </c>
      <c r="W516" s="3">
        <v>1</v>
      </c>
      <c r="X516" s="3">
        <v>1</v>
      </c>
      <c r="Y516" s="3">
        <v>1</v>
      </c>
      <c r="Z516" s="3">
        <v>1</v>
      </c>
      <c r="AA516" s="3">
        <v>0</v>
      </c>
    </row>
    <row r="517" spans="1:27">
      <c r="A517" t="s">
        <v>594</v>
      </c>
      <c r="B517" s="3">
        <v>3</v>
      </c>
      <c r="C517" s="3">
        <v>1</v>
      </c>
      <c r="D517" s="1">
        <v>38306</v>
      </c>
      <c r="E517" s="1">
        <v>39082</v>
      </c>
      <c r="F517" s="2">
        <f t="shared" si="8"/>
        <v>2.1245722108145104</v>
      </c>
      <c r="G517" s="3">
        <v>1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  <c r="M517" s="3">
        <v>0</v>
      </c>
      <c r="N517" s="3">
        <v>1</v>
      </c>
      <c r="O517" s="3">
        <v>0</v>
      </c>
      <c r="P517" s="3">
        <v>0</v>
      </c>
      <c r="Q517" s="3">
        <v>0</v>
      </c>
      <c r="R517" s="3">
        <v>80</v>
      </c>
      <c r="S517" s="2">
        <v>10.7</v>
      </c>
      <c r="T517" t="s">
        <v>28</v>
      </c>
      <c r="U517" s="3">
        <v>0</v>
      </c>
      <c r="V517" s="3">
        <v>1</v>
      </c>
      <c r="W517" s="3">
        <v>1</v>
      </c>
      <c r="X517" s="3">
        <v>0</v>
      </c>
      <c r="Y517" s="3">
        <v>0</v>
      </c>
      <c r="Z517" s="3">
        <v>1</v>
      </c>
      <c r="AA517" s="3">
        <v>0</v>
      </c>
    </row>
    <row r="518" spans="1:27">
      <c r="A518" t="s">
        <v>595</v>
      </c>
      <c r="B518" s="3">
        <v>3</v>
      </c>
      <c r="C518" s="3">
        <v>0</v>
      </c>
      <c r="D518" s="1">
        <v>37474</v>
      </c>
      <c r="E518" s="1">
        <v>39082</v>
      </c>
      <c r="F518" s="2">
        <f t="shared" si="8"/>
        <v>4.4024640657084193</v>
      </c>
      <c r="G518" s="3">
        <v>1</v>
      </c>
      <c r="H518" s="3">
        <v>1</v>
      </c>
      <c r="I518" s="3">
        <v>0</v>
      </c>
      <c r="J518" s="3">
        <v>0</v>
      </c>
      <c r="K518" s="3">
        <v>0</v>
      </c>
      <c r="L518" s="3">
        <v>0</v>
      </c>
      <c r="M518" s="3">
        <v>0</v>
      </c>
      <c r="N518" s="3">
        <v>1</v>
      </c>
      <c r="O518" s="3">
        <v>0</v>
      </c>
      <c r="P518" s="3">
        <v>0</v>
      </c>
      <c r="Q518" s="3">
        <v>0</v>
      </c>
      <c r="R518" s="3">
        <v>80</v>
      </c>
      <c r="S518" s="2">
        <v>11.7</v>
      </c>
      <c r="T518" t="s">
        <v>596</v>
      </c>
      <c r="U518" s="3">
        <v>0</v>
      </c>
      <c r="V518" s="3">
        <v>1</v>
      </c>
      <c r="W518" s="3">
        <v>1</v>
      </c>
      <c r="X518" s="3">
        <v>1</v>
      </c>
      <c r="Y518" s="3">
        <v>0</v>
      </c>
      <c r="Z518" s="3">
        <v>1</v>
      </c>
      <c r="AA518" s="3">
        <v>0</v>
      </c>
    </row>
    <row r="519" spans="1:27">
      <c r="A519" t="s">
        <v>597</v>
      </c>
      <c r="B519" s="3">
        <v>1</v>
      </c>
      <c r="C519" s="3">
        <v>1</v>
      </c>
      <c r="D519" s="1">
        <v>37616</v>
      </c>
      <c r="E519" s="1">
        <v>39082</v>
      </c>
      <c r="F519" s="2">
        <f t="shared" si="8"/>
        <v>4.0136892539356603</v>
      </c>
      <c r="G519" s="3">
        <v>2</v>
      </c>
      <c r="H519" s="3">
        <v>0</v>
      </c>
      <c r="I519" s="3">
        <v>1</v>
      </c>
      <c r="J519" s="3">
        <v>0</v>
      </c>
      <c r="K519" s="3">
        <v>0</v>
      </c>
      <c r="L519" s="3">
        <v>0</v>
      </c>
      <c r="M519" s="3">
        <v>0</v>
      </c>
      <c r="N519" s="3">
        <v>1</v>
      </c>
      <c r="O519" s="3">
        <v>0</v>
      </c>
      <c r="P519" s="3">
        <v>1</v>
      </c>
      <c r="Q519" s="3">
        <v>0</v>
      </c>
      <c r="R519" s="3">
        <v>80</v>
      </c>
      <c r="S519" s="2">
        <v>10.1</v>
      </c>
      <c r="T519" t="s">
        <v>69</v>
      </c>
      <c r="U519" s="3">
        <v>1</v>
      </c>
      <c r="V519" s="3">
        <v>1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</row>
    <row r="520" spans="1:27">
      <c r="A520" t="s">
        <v>598</v>
      </c>
      <c r="B520" s="3">
        <v>3</v>
      </c>
      <c r="C520" s="3">
        <v>1</v>
      </c>
      <c r="D520" s="1">
        <v>38236</v>
      </c>
      <c r="E520" s="1">
        <v>39082</v>
      </c>
      <c r="F520" s="2">
        <f t="shared" si="8"/>
        <v>2.3162217659137578</v>
      </c>
      <c r="G520" s="3">
        <v>1</v>
      </c>
      <c r="H520" s="3">
        <v>1</v>
      </c>
      <c r="I520" s="3">
        <v>0</v>
      </c>
      <c r="J520" s="3">
        <v>0</v>
      </c>
      <c r="K520" s="3">
        <v>0</v>
      </c>
      <c r="L520" s="3">
        <v>0</v>
      </c>
      <c r="M520" s="3">
        <v>0</v>
      </c>
      <c r="N520" s="3">
        <v>1</v>
      </c>
      <c r="O520" s="3">
        <v>0</v>
      </c>
      <c r="P520" s="3">
        <v>0</v>
      </c>
      <c r="Q520" s="3">
        <v>0</v>
      </c>
      <c r="R520" s="3">
        <v>80.099999999999994</v>
      </c>
      <c r="S520" s="2">
        <v>9.5</v>
      </c>
      <c r="T520" t="s">
        <v>28</v>
      </c>
      <c r="U520" s="3">
        <v>0</v>
      </c>
      <c r="V520" s="3">
        <v>1</v>
      </c>
      <c r="W520" s="3">
        <v>1</v>
      </c>
      <c r="X520" s="3">
        <v>0</v>
      </c>
      <c r="Y520" s="3">
        <v>0</v>
      </c>
      <c r="Z520" s="3">
        <v>1</v>
      </c>
      <c r="AA520" s="3">
        <v>0</v>
      </c>
    </row>
    <row r="521" spans="1:27">
      <c r="A521" t="s">
        <v>599</v>
      </c>
      <c r="B521" s="3">
        <v>1</v>
      </c>
      <c r="C521" s="3">
        <v>0</v>
      </c>
      <c r="D521" s="1">
        <v>38011</v>
      </c>
      <c r="E521" s="1">
        <v>39082</v>
      </c>
      <c r="F521" s="2">
        <f t="shared" si="8"/>
        <v>2.9322381930184807</v>
      </c>
      <c r="G521" s="3">
        <v>2</v>
      </c>
      <c r="H521" s="3">
        <v>1</v>
      </c>
      <c r="I521" s="3">
        <v>0</v>
      </c>
      <c r="J521" s="3">
        <v>0</v>
      </c>
      <c r="K521" s="3">
        <v>0</v>
      </c>
      <c r="L521" s="3">
        <v>0</v>
      </c>
      <c r="M521" s="3">
        <v>0</v>
      </c>
      <c r="N521" s="3">
        <v>1</v>
      </c>
      <c r="O521" s="3">
        <v>0</v>
      </c>
      <c r="P521" s="3">
        <v>1</v>
      </c>
      <c r="Q521" s="3">
        <v>0</v>
      </c>
      <c r="R521" s="3">
        <v>80.099999999999994</v>
      </c>
      <c r="S521" s="2">
        <v>9.4</v>
      </c>
      <c r="T521" t="s">
        <v>336</v>
      </c>
      <c r="U521" s="3">
        <v>1</v>
      </c>
      <c r="V521" s="3">
        <v>1</v>
      </c>
      <c r="W521" s="3">
        <v>1</v>
      </c>
      <c r="X521" s="3">
        <v>0</v>
      </c>
      <c r="Y521" s="3">
        <v>0</v>
      </c>
      <c r="Z521" s="3">
        <v>0</v>
      </c>
      <c r="AA521" s="3">
        <v>0</v>
      </c>
    </row>
    <row r="522" spans="1:27">
      <c r="A522" t="s">
        <v>600</v>
      </c>
      <c r="B522" s="3">
        <v>3</v>
      </c>
      <c r="C522" s="3">
        <v>1</v>
      </c>
      <c r="D522" s="1">
        <v>38329</v>
      </c>
      <c r="E522" s="1">
        <v>39082</v>
      </c>
      <c r="F522" s="2">
        <f t="shared" si="8"/>
        <v>2.0616016427104724</v>
      </c>
      <c r="G522" s="3">
        <v>2</v>
      </c>
      <c r="H522" s="3">
        <v>1</v>
      </c>
      <c r="I522" s="3">
        <v>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>
        <v>0</v>
      </c>
      <c r="P522" s="3">
        <v>1</v>
      </c>
      <c r="Q522" s="3">
        <v>0</v>
      </c>
      <c r="R522" s="3">
        <v>80.099999999999994</v>
      </c>
      <c r="S522" s="2">
        <v>11</v>
      </c>
      <c r="T522" t="s">
        <v>28</v>
      </c>
      <c r="U522" s="3">
        <v>0</v>
      </c>
      <c r="V522" s="3">
        <v>0</v>
      </c>
      <c r="W522" s="3">
        <v>1</v>
      </c>
      <c r="X522" s="3">
        <v>1</v>
      </c>
      <c r="Y522" s="3">
        <v>1</v>
      </c>
      <c r="Z522" s="3">
        <v>0</v>
      </c>
      <c r="AA522" s="3">
        <v>0</v>
      </c>
    </row>
    <row r="523" spans="1:27">
      <c r="A523" t="s">
        <v>601</v>
      </c>
      <c r="B523" s="3">
        <v>1</v>
      </c>
      <c r="C523" s="3">
        <v>0</v>
      </c>
      <c r="D523" s="1">
        <v>37369</v>
      </c>
      <c r="E523" s="1">
        <v>39082</v>
      </c>
      <c r="F523" s="2">
        <f t="shared" si="8"/>
        <v>4.6899383983572891</v>
      </c>
      <c r="G523" s="3">
        <v>1</v>
      </c>
      <c r="H523" s="3">
        <v>0</v>
      </c>
      <c r="I523" s="3">
        <v>1</v>
      </c>
      <c r="J523" s="3">
        <v>1</v>
      </c>
      <c r="K523" s="3">
        <v>0</v>
      </c>
      <c r="L523" s="3">
        <v>1</v>
      </c>
      <c r="M523" s="3">
        <v>0</v>
      </c>
      <c r="N523" s="3">
        <v>1</v>
      </c>
      <c r="O523" s="3">
        <v>0</v>
      </c>
      <c r="P523" s="3">
        <v>0</v>
      </c>
      <c r="Q523" s="3">
        <v>0</v>
      </c>
      <c r="R523" s="3">
        <v>80.099999999999994</v>
      </c>
      <c r="S523" s="2">
        <v>9.1</v>
      </c>
      <c r="T523" t="s">
        <v>283</v>
      </c>
      <c r="U523" s="3">
        <v>1</v>
      </c>
      <c r="V523" s="3">
        <v>1</v>
      </c>
      <c r="W523" s="3">
        <v>1</v>
      </c>
      <c r="X523" s="3">
        <v>0</v>
      </c>
      <c r="Y523" s="3">
        <v>0</v>
      </c>
      <c r="Z523" s="3">
        <v>1</v>
      </c>
      <c r="AA523" s="3">
        <v>0</v>
      </c>
    </row>
    <row r="524" spans="1:27">
      <c r="A524" t="s">
        <v>602</v>
      </c>
      <c r="B524" s="3">
        <v>2</v>
      </c>
      <c r="C524" s="3">
        <v>0</v>
      </c>
      <c r="D524" s="1">
        <v>38188</v>
      </c>
      <c r="E524" s="1">
        <v>39082</v>
      </c>
      <c r="F524" s="2">
        <f t="shared" si="8"/>
        <v>2.4476386036960984</v>
      </c>
      <c r="G524" s="3">
        <v>1</v>
      </c>
      <c r="H524" s="3">
        <v>1</v>
      </c>
      <c r="I524" s="3">
        <v>1</v>
      </c>
      <c r="J524" s="3">
        <v>1</v>
      </c>
      <c r="K524" s="3">
        <v>1</v>
      </c>
      <c r="L524" s="3">
        <v>0</v>
      </c>
      <c r="M524" s="3">
        <v>0</v>
      </c>
      <c r="N524" s="3">
        <v>1</v>
      </c>
      <c r="O524" s="3">
        <v>0</v>
      </c>
      <c r="P524" s="3">
        <v>1</v>
      </c>
      <c r="Q524" s="3">
        <v>0</v>
      </c>
      <c r="R524" s="3">
        <v>80.099999999999994</v>
      </c>
      <c r="S524" s="2">
        <v>10</v>
      </c>
      <c r="T524" t="s">
        <v>188</v>
      </c>
      <c r="U524" s="3">
        <v>1</v>
      </c>
      <c r="V524" s="3">
        <v>1</v>
      </c>
      <c r="W524" s="3">
        <v>0</v>
      </c>
      <c r="X524" s="3">
        <v>0</v>
      </c>
      <c r="Y524" s="3">
        <v>0</v>
      </c>
      <c r="Z524" s="3">
        <v>1</v>
      </c>
      <c r="AA524" s="3">
        <v>0</v>
      </c>
    </row>
    <row r="525" spans="1:27">
      <c r="A525" t="s">
        <v>603</v>
      </c>
      <c r="B525" s="3">
        <v>3</v>
      </c>
      <c r="C525" s="3">
        <v>0</v>
      </c>
      <c r="D525" s="1">
        <v>37920</v>
      </c>
      <c r="E525" s="1">
        <v>39082</v>
      </c>
      <c r="F525" s="2">
        <f t="shared" si="8"/>
        <v>3.1813826146475015</v>
      </c>
      <c r="G525" s="3">
        <v>1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  <c r="M525" s="3">
        <v>0</v>
      </c>
      <c r="N525" s="3">
        <v>1</v>
      </c>
      <c r="O525" s="3">
        <v>0</v>
      </c>
      <c r="P525" s="3">
        <v>1</v>
      </c>
      <c r="Q525" s="3">
        <v>0</v>
      </c>
      <c r="R525" s="3">
        <v>80.2</v>
      </c>
      <c r="S525" s="2">
        <v>9.8000000000000007</v>
      </c>
      <c r="T525" t="s">
        <v>398</v>
      </c>
      <c r="U525" s="3">
        <v>1</v>
      </c>
      <c r="V525" s="3">
        <v>1</v>
      </c>
      <c r="W525" s="3">
        <v>1</v>
      </c>
      <c r="X525" s="3">
        <v>1</v>
      </c>
      <c r="Y525" s="3">
        <v>0</v>
      </c>
      <c r="Z525" s="3">
        <v>1</v>
      </c>
      <c r="AA525" s="3">
        <v>0</v>
      </c>
    </row>
    <row r="526" spans="1:27">
      <c r="A526" t="s">
        <v>604</v>
      </c>
      <c r="B526" s="3">
        <v>3</v>
      </c>
      <c r="C526" s="3">
        <v>1</v>
      </c>
      <c r="D526" s="1">
        <v>38347</v>
      </c>
      <c r="E526" s="1">
        <v>39082</v>
      </c>
      <c r="F526" s="2">
        <f t="shared" si="8"/>
        <v>2.0123203285420943</v>
      </c>
      <c r="G526" s="3">
        <v>1</v>
      </c>
      <c r="H526" s="3">
        <v>0</v>
      </c>
      <c r="I526" s="3">
        <v>0</v>
      </c>
      <c r="J526" s="3">
        <v>0</v>
      </c>
      <c r="K526" s="3">
        <v>1</v>
      </c>
      <c r="L526" s="3">
        <v>0</v>
      </c>
      <c r="M526" s="3">
        <v>0</v>
      </c>
      <c r="N526" s="3">
        <v>1</v>
      </c>
      <c r="O526" s="3">
        <v>0</v>
      </c>
      <c r="P526" s="3">
        <v>1</v>
      </c>
      <c r="Q526" s="3">
        <v>0</v>
      </c>
      <c r="R526" s="3">
        <v>80.2</v>
      </c>
      <c r="S526" s="2">
        <v>10.1</v>
      </c>
      <c r="T526" t="s">
        <v>28</v>
      </c>
      <c r="U526" s="3">
        <v>0</v>
      </c>
      <c r="V526" s="3">
        <v>0</v>
      </c>
      <c r="W526" s="3">
        <v>1</v>
      </c>
      <c r="X526" s="3">
        <v>0</v>
      </c>
      <c r="Y526" s="3">
        <v>0</v>
      </c>
      <c r="Z526" s="3">
        <v>1</v>
      </c>
      <c r="AA526" s="3">
        <v>0</v>
      </c>
    </row>
    <row r="527" spans="1:27">
      <c r="A527" t="s">
        <v>605</v>
      </c>
      <c r="B527" s="3">
        <v>1</v>
      </c>
      <c r="C527" s="3">
        <v>0</v>
      </c>
      <c r="D527" s="1">
        <v>38053</v>
      </c>
      <c r="E527" s="1">
        <v>39082</v>
      </c>
      <c r="F527" s="2">
        <f t="shared" si="8"/>
        <v>2.817248459958932</v>
      </c>
      <c r="G527" s="3">
        <v>1</v>
      </c>
      <c r="H527" s="3">
        <v>1</v>
      </c>
      <c r="I527" s="3">
        <v>0</v>
      </c>
      <c r="J527" s="3">
        <v>0</v>
      </c>
      <c r="K527" s="3">
        <v>0</v>
      </c>
      <c r="L527" s="3">
        <v>1</v>
      </c>
      <c r="M527" s="3">
        <v>0</v>
      </c>
      <c r="N527" s="3">
        <v>1</v>
      </c>
      <c r="O527" s="3">
        <v>0</v>
      </c>
      <c r="P527" s="3">
        <v>1</v>
      </c>
      <c r="Q527" s="3">
        <v>0</v>
      </c>
      <c r="R527" s="3">
        <v>80.2</v>
      </c>
      <c r="S527" s="2">
        <v>10.1</v>
      </c>
      <c r="T527" t="s">
        <v>28</v>
      </c>
      <c r="U527" s="3">
        <v>1</v>
      </c>
      <c r="V527" s="3">
        <v>1</v>
      </c>
      <c r="W527" s="3">
        <v>0</v>
      </c>
      <c r="X527" s="3">
        <v>0</v>
      </c>
      <c r="Y527" s="3">
        <v>0</v>
      </c>
      <c r="Z527" s="3">
        <v>1</v>
      </c>
      <c r="AA527" s="3">
        <v>0</v>
      </c>
    </row>
    <row r="528" spans="1:27">
      <c r="A528" t="s">
        <v>606</v>
      </c>
      <c r="B528" s="3">
        <v>2</v>
      </c>
      <c r="C528" s="3">
        <v>0</v>
      </c>
      <c r="D528" s="1">
        <v>37688</v>
      </c>
      <c r="E528" s="1">
        <v>39082</v>
      </c>
      <c r="F528" s="2">
        <f t="shared" si="8"/>
        <v>3.8165639972621492</v>
      </c>
      <c r="G528" s="3">
        <v>2</v>
      </c>
      <c r="H528" s="3">
        <v>1</v>
      </c>
      <c r="I528" s="3">
        <v>0</v>
      </c>
      <c r="J528" s="3">
        <v>0</v>
      </c>
      <c r="K528" s="3">
        <v>0</v>
      </c>
      <c r="L528" s="3">
        <v>1</v>
      </c>
      <c r="M528" s="3">
        <v>0</v>
      </c>
      <c r="N528" s="3">
        <v>1</v>
      </c>
      <c r="O528" s="3">
        <v>0</v>
      </c>
      <c r="P528" s="3">
        <v>0</v>
      </c>
      <c r="Q528" s="3">
        <v>0</v>
      </c>
      <c r="R528" s="3">
        <v>80.2</v>
      </c>
      <c r="S528" s="2">
        <v>8.8000000000000007</v>
      </c>
      <c r="T528" t="s">
        <v>552</v>
      </c>
      <c r="U528" s="3">
        <v>1</v>
      </c>
      <c r="V528" s="3">
        <v>1</v>
      </c>
      <c r="W528" s="3">
        <v>0</v>
      </c>
      <c r="X528" s="3">
        <v>1</v>
      </c>
      <c r="Y528" s="3">
        <v>1</v>
      </c>
      <c r="Z528" s="3">
        <v>0</v>
      </c>
      <c r="AA528" s="3">
        <v>0</v>
      </c>
    </row>
    <row r="529" spans="1:27">
      <c r="A529" t="s">
        <v>607</v>
      </c>
      <c r="B529" s="3">
        <v>2</v>
      </c>
      <c r="C529" s="3">
        <v>1</v>
      </c>
      <c r="D529" s="1">
        <v>37751</v>
      </c>
      <c r="E529" s="1">
        <v>39082</v>
      </c>
      <c r="F529" s="2">
        <f t="shared" si="8"/>
        <v>3.6440793976728267</v>
      </c>
      <c r="G529" s="3">
        <v>2</v>
      </c>
      <c r="H529" s="3">
        <v>1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80.2</v>
      </c>
      <c r="S529" s="2">
        <v>9.1</v>
      </c>
      <c r="T529" t="s">
        <v>608</v>
      </c>
      <c r="U529" s="3">
        <v>1</v>
      </c>
      <c r="V529" s="3">
        <v>1</v>
      </c>
      <c r="W529" s="3">
        <v>0</v>
      </c>
      <c r="X529" s="3">
        <v>1</v>
      </c>
      <c r="Y529" s="3">
        <v>0</v>
      </c>
      <c r="Z529" s="3">
        <v>0</v>
      </c>
      <c r="AA529" s="3">
        <v>0</v>
      </c>
    </row>
    <row r="530" spans="1:27">
      <c r="A530" t="s">
        <v>609</v>
      </c>
      <c r="B530" s="3">
        <v>2</v>
      </c>
      <c r="C530" s="3">
        <v>1</v>
      </c>
      <c r="D530" s="1">
        <v>37548</v>
      </c>
      <c r="E530" s="1">
        <v>39082</v>
      </c>
      <c r="F530" s="2">
        <f t="shared" si="8"/>
        <v>4.1998631074606436</v>
      </c>
      <c r="G530" s="3">
        <v>2</v>
      </c>
      <c r="H530" s="3">
        <v>1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80.2</v>
      </c>
      <c r="S530" s="2">
        <v>8.9</v>
      </c>
      <c r="T530" t="s">
        <v>28</v>
      </c>
      <c r="U530" s="3">
        <v>1</v>
      </c>
      <c r="V530" s="3">
        <v>1</v>
      </c>
      <c r="W530" s="3">
        <v>1</v>
      </c>
      <c r="X530" s="3">
        <v>0</v>
      </c>
      <c r="Y530" s="3">
        <v>1</v>
      </c>
      <c r="Z530" s="3">
        <v>0</v>
      </c>
      <c r="AA530" s="3">
        <v>0</v>
      </c>
    </row>
    <row r="531" spans="1:27">
      <c r="A531" t="s">
        <v>610</v>
      </c>
      <c r="B531" s="3">
        <v>2</v>
      </c>
      <c r="C531" s="3">
        <v>0</v>
      </c>
      <c r="D531" s="1">
        <v>37325</v>
      </c>
      <c r="E531" s="1">
        <v>39082</v>
      </c>
      <c r="F531" s="2">
        <f t="shared" si="8"/>
        <v>4.8104038329911019</v>
      </c>
      <c r="G531" s="3">
        <v>1</v>
      </c>
      <c r="H531" s="3">
        <v>0</v>
      </c>
      <c r="I531" s="3">
        <v>1</v>
      </c>
      <c r="J531" s="3">
        <v>0</v>
      </c>
      <c r="K531" s="3">
        <v>0</v>
      </c>
      <c r="L531" s="3">
        <v>1</v>
      </c>
      <c r="M531" s="3">
        <v>0</v>
      </c>
      <c r="N531" s="3">
        <v>1</v>
      </c>
      <c r="O531" s="3">
        <v>0</v>
      </c>
      <c r="P531" s="3">
        <v>0</v>
      </c>
      <c r="Q531" s="3">
        <v>0</v>
      </c>
      <c r="R531" s="3">
        <v>80.2</v>
      </c>
      <c r="S531" s="2">
        <v>9.9</v>
      </c>
      <c r="T531" t="s">
        <v>509</v>
      </c>
      <c r="U531" s="3">
        <v>1</v>
      </c>
      <c r="V531" s="3">
        <v>1</v>
      </c>
      <c r="W531" s="3">
        <v>1</v>
      </c>
      <c r="X531" s="3">
        <v>1</v>
      </c>
      <c r="Y531" s="3">
        <v>1</v>
      </c>
      <c r="Z531" s="3">
        <v>1</v>
      </c>
      <c r="AA531" s="3">
        <v>0</v>
      </c>
    </row>
    <row r="532" spans="1:27">
      <c r="A532" t="s">
        <v>611</v>
      </c>
      <c r="B532" s="3">
        <v>1</v>
      </c>
      <c r="C532" s="3">
        <v>1</v>
      </c>
      <c r="D532" s="1">
        <v>38144</v>
      </c>
      <c r="E532" s="1">
        <v>39082</v>
      </c>
      <c r="F532" s="2">
        <f t="shared" si="8"/>
        <v>2.5681040383299112</v>
      </c>
      <c r="G532" s="3">
        <v>1</v>
      </c>
      <c r="H532" s="3">
        <v>0</v>
      </c>
      <c r="I532" s="3">
        <v>1</v>
      </c>
      <c r="J532" s="3">
        <v>1</v>
      </c>
      <c r="K532" s="3">
        <v>0</v>
      </c>
      <c r="L532" s="3">
        <v>0</v>
      </c>
      <c r="M532" s="3">
        <v>1</v>
      </c>
      <c r="N532" s="3">
        <v>1</v>
      </c>
      <c r="O532" s="3">
        <v>0</v>
      </c>
      <c r="P532" s="3">
        <v>1</v>
      </c>
      <c r="Q532" s="3">
        <v>0</v>
      </c>
      <c r="R532" s="3">
        <v>80.2</v>
      </c>
      <c r="S532" s="2">
        <v>9.9</v>
      </c>
      <c r="T532" t="s">
        <v>28</v>
      </c>
      <c r="U532" s="3">
        <v>1</v>
      </c>
      <c r="V532" s="3">
        <v>1</v>
      </c>
      <c r="W532" s="3">
        <v>1</v>
      </c>
      <c r="X532" s="3">
        <v>1</v>
      </c>
      <c r="Y532" s="3">
        <v>0</v>
      </c>
      <c r="Z532" s="3">
        <v>1</v>
      </c>
      <c r="AA532" s="3">
        <v>0</v>
      </c>
    </row>
    <row r="533" spans="1:27">
      <c r="A533" t="s">
        <v>612</v>
      </c>
      <c r="B533" s="3">
        <v>1</v>
      </c>
      <c r="C533" s="3">
        <v>0</v>
      </c>
      <c r="D533" s="1">
        <v>37492</v>
      </c>
      <c r="E533" s="1">
        <v>39082</v>
      </c>
      <c r="F533" s="2">
        <f t="shared" si="8"/>
        <v>4.3531827515400412</v>
      </c>
      <c r="G533" s="3">
        <v>2</v>
      </c>
      <c r="H533" s="3">
        <v>0</v>
      </c>
      <c r="I533" s="3">
        <v>0</v>
      </c>
      <c r="J533" s="3">
        <v>0</v>
      </c>
      <c r="K533" s="3">
        <v>0</v>
      </c>
      <c r="L533" s="3">
        <v>0</v>
      </c>
      <c r="M533" s="3">
        <v>1</v>
      </c>
      <c r="N533" s="3">
        <v>1</v>
      </c>
      <c r="O533" s="3">
        <v>0</v>
      </c>
      <c r="P533" s="3">
        <v>1</v>
      </c>
      <c r="Q533" s="3">
        <v>0</v>
      </c>
      <c r="R533" s="3">
        <v>80.3</v>
      </c>
      <c r="S533" s="2">
        <v>9.4</v>
      </c>
      <c r="T533" t="s">
        <v>398</v>
      </c>
      <c r="U533" s="3">
        <v>1</v>
      </c>
      <c r="V533" s="3">
        <v>1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</row>
    <row r="534" spans="1:27">
      <c r="A534" t="s">
        <v>613</v>
      </c>
      <c r="B534" s="3">
        <v>3</v>
      </c>
      <c r="C534" s="3">
        <v>1</v>
      </c>
      <c r="D534" s="1">
        <v>38200</v>
      </c>
      <c r="E534" s="1">
        <v>39082</v>
      </c>
      <c r="F534" s="2">
        <f t="shared" si="8"/>
        <v>2.4147843942505132</v>
      </c>
      <c r="G534" s="3">
        <v>1</v>
      </c>
      <c r="H534" s="3">
        <v>1</v>
      </c>
      <c r="I534" s="3">
        <v>0</v>
      </c>
      <c r="J534" s="3">
        <v>0</v>
      </c>
      <c r="K534" s="3">
        <v>0</v>
      </c>
      <c r="L534" s="3">
        <v>0</v>
      </c>
      <c r="M534" s="3">
        <v>0</v>
      </c>
      <c r="N534" s="3">
        <v>0</v>
      </c>
      <c r="O534" s="3">
        <v>0</v>
      </c>
      <c r="P534" s="3">
        <v>1</v>
      </c>
      <c r="Q534" s="3">
        <v>0</v>
      </c>
      <c r="R534" s="3">
        <v>80.3</v>
      </c>
      <c r="S534" s="2">
        <v>10.8</v>
      </c>
      <c r="T534" t="s">
        <v>34</v>
      </c>
      <c r="U534" s="3">
        <v>0</v>
      </c>
      <c r="V534" s="3">
        <v>0</v>
      </c>
      <c r="W534" s="3">
        <v>0</v>
      </c>
      <c r="X534" s="3">
        <v>1</v>
      </c>
      <c r="Y534" s="3">
        <v>1</v>
      </c>
      <c r="Z534" s="3">
        <v>1</v>
      </c>
      <c r="AA534" s="3">
        <v>0</v>
      </c>
    </row>
    <row r="535" spans="1:27">
      <c r="A535" t="s">
        <v>614</v>
      </c>
      <c r="B535" s="3">
        <v>3</v>
      </c>
      <c r="C535" s="3">
        <v>0</v>
      </c>
      <c r="D535" s="1">
        <v>37695</v>
      </c>
      <c r="E535" s="1">
        <v>39082</v>
      </c>
      <c r="F535" s="2">
        <f t="shared" si="8"/>
        <v>3.7973990417522243</v>
      </c>
      <c r="G535" s="3">
        <v>1</v>
      </c>
      <c r="H535" s="3">
        <v>0</v>
      </c>
      <c r="I535" s="3">
        <v>0</v>
      </c>
      <c r="J535" s="3">
        <v>1</v>
      </c>
      <c r="K535" s="3">
        <v>0</v>
      </c>
      <c r="L535" s="3">
        <v>0</v>
      </c>
      <c r="M535" s="3">
        <v>1</v>
      </c>
      <c r="N535" s="3">
        <v>1</v>
      </c>
      <c r="O535" s="3">
        <v>0</v>
      </c>
      <c r="P535" s="3">
        <v>0</v>
      </c>
      <c r="Q535" s="3">
        <v>0</v>
      </c>
      <c r="R535" s="3">
        <v>80.3</v>
      </c>
      <c r="S535" s="2">
        <v>9.8000000000000007</v>
      </c>
      <c r="T535" t="s">
        <v>199</v>
      </c>
      <c r="U535" s="3">
        <v>0</v>
      </c>
      <c r="V535" s="3">
        <v>1</v>
      </c>
      <c r="W535" s="3">
        <v>0</v>
      </c>
      <c r="X535" s="3">
        <v>0</v>
      </c>
      <c r="Y535" s="3">
        <v>1</v>
      </c>
      <c r="Z535" s="3">
        <v>1</v>
      </c>
      <c r="AA535" s="3">
        <v>0</v>
      </c>
    </row>
    <row r="536" spans="1:27">
      <c r="A536" t="s">
        <v>615</v>
      </c>
      <c r="B536" s="3">
        <v>3</v>
      </c>
      <c r="C536" s="3">
        <v>1</v>
      </c>
      <c r="D536" s="1">
        <v>38047</v>
      </c>
      <c r="E536" s="1">
        <v>39082</v>
      </c>
      <c r="F536" s="2">
        <f t="shared" si="8"/>
        <v>2.8336755646817249</v>
      </c>
      <c r="G536" s="3">
        <v>1</v>
      </c>
      <c r="H536" s="3">
        <v>1</v>
      </c>
      <c r="I536" s="3">
        <v>0</v>
      </c>
      <c r="J536" s="3">
        <v>1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80.3</v>
      </c>
      <c r="S536" s="2">
        <v>10.9</v>
      </c>
      <c r="T536" t="s">
        <v>28</v>
      </c>
      <c r="U536" s="3">
        <v>0</v>
      </c>
      <c r="V536" s="3">
        <v>0</v>
      </c>
      <c r="W536" s="3">
        <v>1</v>
      </c>
      <c r="X536" s="3">
        <v>0</v>
      </c>
      <c r="Y536" s="3">
        <v>0</v>
      </c>
      <c r="Z536" s="3">
        <v>1</v>
      </c>
      <c r="AA536" s="3">
        <v>0</v>
      </c>
    </row>
    <row r="537" spans="1:27">
      <c r="A537" t="s">
        <v>616</v>
      </c>
      <c r="B537" s="3">
        <v>3</v>
      </c>
      <c r="C537" s="3">
        <v>1</v>
      </c>
      <c r="D537" s="1">
        <v>38261</v>
      </c>
      <c r="E537" s="1">
        <v>39082</v>
      </c>
      <c r="F537" s="2">
        <f t="shared" si="8"/>
        <v>2.2477754962354553</v>
      </c>
      <c r="G537" s="3">
        <v>1</v>
      </c>
      <c r="H537" s="3">
        <v>1</v>
      </c>
      <c r="I537" s="3">
        <v>0</v>
      </c>
      <c r="J537" s="3">
        <v>1</v>
      </c>
      <c r="K537" s="3">
        <v>0</v>
      </c>
      <c r="L537" s="3">
        <v>0</v>
      </c>
      <c r="M537" s="3">
        <v>0</v>
      </c>
      <c r="N537" s="3">
        <v>1</v>
      </c>
      <c r="O537" s="3">
        <v>0</v>
      </c>
      <c r="P537" s="3">
        <v>0</v>
      </c>
      <c r="Q537" s="3">
        <v>0</v>
      </c>
      <c r="R537" s="3">
        <v>80.3</v>
      </c>
      <c r="S537" s="2">
        <v>9.9</v>
      </c>
      <c r="T537" t="s">
        <v>28</v>
      </c>
      <c r="U537" s="3">
        <v>1</v>
      </c>
      <c r="V537" s="3">
        <v>0</v>
      </c>
      <c r="W537" s="3">
        <v>1</v>
      </c>
      <c r="X537" s="3">
        <v>1</v>
      </c>
      <c r="Y537" s="3">
        <v>0</v>
      </c>
      <c r="Z537" s="3">
        <v>1</v>
      </c>
      <c r="AA537" s="3">
        <v>0</v>
      </c>
    </row>
    <row r="538" spans="1:27">
      <c r="A538" t="s">
        <v>617</v>
      </c>
      <c r="B538" s="3">
        <v>1</v>
      </c>
      <c r="C538" s="3">
        <v>0</v>
      </c>
      <c r="D538" s="1">
        <v>37947</v>
      </c>
      <c r="E538" s="1">
        <v>39082</v>
      </c>
      <c r="F538" s="2">
        <f t="shared" si="8"/>
        <v>3.1074606433949348</v>
      </c>
      <c r="G538" s="3">
        <v>1</v>
      </c>
      <c r="H538" s="3">
        <v>0</v>
      </c>
      <c r="I538" s="3">
        <v>1</v>
      </c>
      <c r="J538" s="3">
        <v>0</v>
      </c>
      <c r="K538" s="3">
        <v>0</v>
      </c>
      <c r="L538" s="3">
        <v>1</v>
      </c>
      <c r="M538" s="3">
        <v>0</v>
      </c>
      <c r="N538" s="3">
        <v>1</v>
      </c>
      <c r="O538" s="3">
        <v>0</v>
      </c>
      <c r="P538" s="3">
        <v>1</v>
      </c>
      <c r="Q538" s="3">
        <v>0</v>
      </c>
      <c r="R538" s="3">
        <v>80.3</v>
      </c>
      <c r="S538" s="2">
        <v>10.3</v>
      </c>
      <c r="T538" t="s">
        <v>28</v>
      </c>
      <c r="U538" s="3">
        <v>1</v>
      </c>
      <c r="V538" s="3">
        <v>1</v>
      </c>
      <c r="W538" s="3">
        <v>1</v>
      </c>
      <c r="X538" s="3">
        <v>1</v>
      </c>
      <c r="Y538" s="3">
        <v>0</v>
      </c>
      <c r="Z538" s="3">
        <v>1</v>
      </c>
      <c r="AA538" s="3">
        <v>0</v>
      </c>
    </row>
    <row r="539" spans="1:27">
      <c r="A539" t="s">
        <v>618</v>
      </c>
      <c r="B539" s="3">
        <v>1</v>
      </c>
      <c r="C539" s="3">
        <v>0</v>
      </c>
      <c r="D539" s="1">
        <v>38269</v>
      </c>
      <c r="E539" s="1">
        <v>39082</v>
      </c>
      <c r="F539" s="2">
        <f t="shared" si="8"/>
        <v>2.2258726899383983</v>
      </c>
      <c r="G539" s="3">
        <v>2</v>
      </c>
      <c r="H539" s="3">
        <v>1</v>
      </c>
      <c r="I539" s="3">
        <v>1</v>
      </c>
      <c r="J539" s="3">
        <v>0</v>
      </c>
      <c r="K539" s="3">
        <v>0</v>
      </c>
      <c r="L539" s="3">
        <v>1</v>
      </c>
      <c r="M539" s="3">
        <v>0</v>
      </c>
      <c r="N539" s="3">
        <v>1</v>
      </c>
      <c r="O539" s="3">
        <v>1</v>
      </c>
      <c r="P539" s="3">
        <v>1</v>
      </c>
      <c r="Q539" s="3">
        <v>0</v>
      </c>
      <c r="R539" s="3">
        <v>80.3</v>
      </c>
      <c r="S539" s="2">
        <v>9.4</v>
      </c>
      <c r="T539" t="s">
        <v>28</v>
      </c>
      <c r="U539" s="3">
        <v>1</v>
      </c>
      <c r="V539" s="3">
        <v>1</v>
      </c>
      <c r="W539" s="3">
        <v>1</v>
      </c>
      <c r="X539" s="3">
        <v>1</v>
      </c>
      <c r="Y539" s="3">
        <v>0</v>
      </c>
      <c r="Z539" s="3">
        <v>0</v>
      </c>
      <c r="AA539" s="3">
        <v>0</v>
      </c>
    </row>
    <row r="540" spans="1:27">
      <c r="A540" t="s">
        <v>619</v>
      </c>
      <c r="B540" s="3">
        <v>2</v>
      </c>
      <c r="C540" s="3">
        <v>1</v>
      </c>
      <c r="D540" s="1">
        <v>37646</v>
      </c>
      <c r="E540" s="1">
        <v>39082</v>
      </c>
      <c r="F540" s="2">
        <f t="shared" si="8"/>
        <v>3.9315537303216974</v>
      </c>
      <c r="G540" s="3">
        <v>2</v>
      </c>
      <c r="H540" s="3">
        <v>1</v>
      </c>
      <c r="I540" s="3">
        <v>0</v>
      </c>
      <c r="J540" s="3">
        <v>0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80.400000000000006</v>
      </c>
      <c r="S540" s="2">
        <v>9.1999999999999993</v>
      </c>
      <c r="T540" t="s">
        <v>28</v>
      </c>
      <c r="U540" s="3">
        <v>1</v>
      </c>
      <c r="V540" s="3">
        <v>1</v>
      </c>
      <c r="W540" s="3">
        <v>1</v>
      </c>
      <c r="X540" s="3">
        <v>1</v>
      </c>
      <c r="Y540" s="3">
        <v>0</v>
      </c>
      <c r="Z540" s="3">
        <v>0</v>
      </c>
      <c r="AA540" s="3">
        <v>0</v>
      </c>
    </row>
    <row r="541" spans="1:27">
      <c r="A541" t="s">
        <v>620</v>
      </c>
      <c r="B541" s="3">
        <v>1</v>
      </c>
      <c r="C541" s="3">
        <v>1</v>
      </c>
      <c r="D541" s="1">
        <v>37695</v>
      </c>
      <c r="E541" s="1">
        <v>39082</v>
      </c>
      <c r="F541" s="2">
        <f t="shared" si="8"/>
        <v>3.7973990417522243</v>
      </c>
      <c r="G541" s="3">
        <v>2</v>
      </c>
      <c r="H541" s="3">
        <v>0</v>
      </c>
      <c r="I541" s="3">
        <v>1</v>
      </c>
      <c r="J541" s="3">
        <v>0</v>
      </c>
      <c r="K541" s="3">
        <v>0</v>
      </c>
      <c r="L541" s="3">
        <v>0</v>
      </c>
      <c r="M541" s="3">
        <v>0</v>
      </c>
      <c r="N541" s="3">
        <v>1</v>
      </c>
      <c r="O541" s="3">
        <v>0</v>
      </c>
      <c r="P541" s="3">
        <v>1</v>
      </c>
      <c r="Q541" s="3">
        <v>0</v>
      </c>
      <c r="R541" s="3">
        <v>80.400000000000006</v>
      </c>
      <c r="S541" s="2">
        <v>9.1999999999999993</v>
      </c>
      <c r="T541" t="s">
        <v>28</v>
      </c>
      <c r="U541" s="3">
        <v>0</v>
      </c>
      <c r="V541" s="3">
        <v>1</v>
      </c>
      <c r="W541" s="3">
        <v>1</v>
      </c>
      <c r="X541" s="3">
        <v>1</v>
      </c>
      <c r="Y541" s="3">
        <v>1</v>
      </c>
      <c r="Z541" s="3">
        <v>0</v>
      </c>
      <c r="AA541" s="3">
        <v>0</v>
      </c>
    </row>
    <row r="542" spans="1:27">
      <c r="A542" t="s">
        <v>621</v>
      </c>
      <c r="B542" s="3">
        <v>3</v>
      </c>
      <c r="C542" s="3">
        <v>0</v>
      </c>
      <c r="D542" s="1">
        <v>38301</v>
      </c>
      <c r="E542" s="1">
        <v>39082</v>
      </c>
      <c r="F542" s="2">
        <f t="shared" si="8"/>
        <v>2.1382614647501712</v>
      </c>
      <c r="G542" s="3">
        <v>2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  <c r="M542" s="3">
        <v>0</v>
      </c>
      <c r="N542" s="3">
        <v>1</v>
      </c>
      <c r="O542" s="3">
        <v>0</v>
      </c>
      <c r="P542" s="3">
        <v>0</v>
      </c>
      <c r="Q542" s="3">
        <v>0</v>
      </c>
      <c r="R542" s="3">
        <v>80.5</v>
      </c>
      <c r="S542" s="2">
        <v>11.6</v>
      </c>
      <c r="T542" t="s">
        <v>69</v>
      </c>
      <c r="U542" s="3">
        <v>0</v>
      </c>
      <c r="V542" s="3">
        <v>1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</row>
    <row r="543" spans="1:27">
      <c r="A543" t="s">
        <v>622</v>
      </c>
      <c r="B543" s="3">
        <v>3</v>
      </c>
      <c r="C543" s="3">
        <v>1</v>
      </c>
      <c r="D543" s="1">
        <v>38049</v>
      </c>
      <c r="E543" s="1">
        <v>39082</v>
      </c>
      <c r="F543" s="2">
        <f t="shared" si="8"/>
        <v>2.8281998631074607</v>
      </c>
      <c r="G543" s="3">
        <v>1</v>
      </c>
      <c r="H543" s="3">
        <v>1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1</v>
      </c>
      <c r="O543" s="3">
        <v>0</v>
      </c>
      <c r="P543" s="3">
        <v>1</v>
      </c>
      <c r="Q543" s="3">
        <v>0</v>
      </c>
      <c r="R543" s="3">
        <v>80.599999999999994</v>
      </c>
      <c r="S543" s="2">
        <v>9.9</v>
      </c>
      <c r="T543" t="s">
        <v>28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1</v>
      </c>
      <c r="AA543" s="3">
        <v>0</v>
      </c>
    </row>
    <row r="544" spans="1:27">
      <c r="A544" t="s">
        <v>623</v>
      </c>
      <c r="B544" s="3">
        <v>2</v>
      </c>
      <c r="C544" s="3">
        <v>0</v>
      </c>
      <c r="D544" s="1">
        <v>37732</v>
      </c>
      <c r="E544" s="1">
        <v>39082</v>
      </c>
      <c r="F544" s="2">
        <f t="shared" si="8"/>
        <v>3.6960985626283369</v>
      </c>
      <c r="G544" s="3">
        <v>1</v>
      </c>
      <c r="H544" s="3">
        <v>1</v>
      </c>
      <c r="I544" s="3">
        <v>0</v>
      </c>
      <c r="J544" s="3">
        <v>0</v>
      </c>
      <c r="K544" s="3">
        <v>1</v>
      </c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80.599999999999994</v>
      </c>
      <c r="S544" s="2">
        <v>9.6</v>
      </c>
      <c r="T544" t="s">
        <v>44</v>
      </c>
      <c r="U544" s="3">
        <v>1</v>
      </c>
      <c r="V544" s="3">
        <v>1</v>
      </c>
      <c r="W544" s="3">
        <v>1</v>
      </c>
      <c r="X544" s="3">
        <v>1</v>
      </c>
      <c r="Y544" s="3">
        <v>1</v>
      </c>
      <c r="Z544" s="3">
        <v>1</v>
      </c>
      <c r="AA544" s="3">
        <v>0</v>
      </c>
    </row>
    <row r="545" spans="1:27">
      <c r="A545" t="s">
        <v>624</v>
      </c>
      <c r="B545" s="3">
        <v>2</v>
      </c>
      <c r="C545" s="3">
        <v>0</v>
      </c>
      <c r="D545" s="1">
        <v>37058</v>
      </c>
      <c r="E545" s="1">
        <v>39082</v>
      </c>
      <c r="F545" s="2">
        <f t="shared" si="8"/>
        <v>5.5414099931553729</v>
      </c>
      <c r="G545" s="3">
        <v>1</v>
      </c>
      <c r="H545" s="3">
        <v>1</v>
      </c>
      <c r="I545" s="3">
        <v>0</v>
      </c>
      <c r="J545" s="3">
        <v>0</v>
      </c>
      <c r="K545" s="3">
        <v>1</v>
      </c>
      <c r="L545" s="3">
        <v>0</v>
      </c>
      <c r="M545" s="3">
        <v>0</v>
      </c>
      <c r="N545" s="3">
        <v>1</v>
      </c>
      <c r="O545" s="3">
        <v>0</v>
      </c>
      <c r="P545" s="3">
        <v>0</v>
      </c>
      <c r="Q545" s="3">
        <v>0</v>
      </c>
      <c r="R545" s="3">
        <v>80.599999999999994</v>
      </c>
      <c r="S545" s="2">
        <v>11.7</v>
      </c>
      <c r="T545" t="s">
        <v>28</v>
      </c>
      <c r="U545" s="3">
        <v>1</v>
      </c>
      <c r="V545" s="3">
        <v>1</v>
      </c>
      <c r="W545" s="3">
        <v>0</v>
      </c>
      <c r="X545" s="3">
        <v>0</v>
      </c>
      <c r="Y545" s="3">
        <v>0</v>
      </c>
      <c r="Z545" s="3">
        <v>1</v>
      </c>
      <c r="AA545" s="3">
        <v>0</v>
      </c>
    </row>
    <row r="546" spans="1:27">
      <c r="A546" t="s">
        <v>625</v>
      </c>
      <c r="B546" s="3">
        <v>2</v>
      </c>
      <c r="C546" s="3">
        <v>0</v>
      </c>
      <c r="D546" s="1">
        <v>37806</v>
      </c>
      <c r="E546" s="1">
        <v>39082</v>
      </c>
      <c r="F546" s="2">
        <f t="shared" si="8"/>
        <v>3.4934976043805612</v>
      </c>
      <c r="G546" s="3">
        <v>2</v>
      </c>
      <c r="H546" s="3">
        <v>1</v>
      </c>
      <c r="I546" s="3">
        <v>0</v>
      </c>
      <c r="J546" s="3">
        <v>0</v>
      </c>
      <c r="K546" s="3">
        <v>0</v>
      </c>
      <c r="L546" s="3">
        <v>0</v>
      </c>
      <c r="M546" s="3">
        <v>0</v>
      </c>
      <c r="N546" s="3">
        <v>1</v>
      </c>
      <c r="O546" s="3">
        <v>0</v>
      </c>
      <c r="P546" s="3">
        <v>1</v>
      </c>
      <c r="Q546" s="3">
        <v>0</v>
      </c>
      <c r="R546" s="3">
        <v>80.599999999999994</v>
      </c>
      <c r="S546" s="2">
        <v>7.6</v>
      </c>
      <c r="T546" t="s">
        <v>105</v>
      </c>
      <c r="U546" s="3">
        <v>1</v>
      </c>
      <c r="V546" s="3">
        <v>1</v>
      </c>
      <c r="W546" s="3">
        <v>0</v>
      </c>
      <c r="X546" s="3">
        <v>1</v>
      </c>
      <c r="Y546" s="3">
        <v>1</v>
      </c>
      <c r="Z546" s="3">
        <v>0</v>
      </c>
      <c r="AA546" s="3">
        <v>0</v>
      </c>
    </row>
    <row r="547" spans="1:27">
      <c r="A547" t="s">
        <v>626</v>
      </c>
      <c r="B547" s="3">
        <v>2</v>
      </c>
      <c r="C547" s="3">
        <v>1</v>
      </c>
      <c r="D547" s="1">
        <v>37926</v>
      </c>
      <c r="E547" s="1">
        <v>39082</v>
      </c>
      <c r="F547" s="2">
        <f t="shared" si="8"/>
        <v>3.1649555099247091</v>
      </c>
      <c r="G547" s="3">
        <v>1</v>
      </c>
      <c r="H547" s="3">
        <v>1</v>
      </c>
      <c r="I547" s="3">
        <v>0</v>
      </c>
      <c r="J547" s="3">
        <v>0</v>
      </c>
      <c r="K547" s="3">
        <v>0</v>
      </c>
      <c r="L547" s="3">
        <v>0</v>
      </c>
      <c r="M547" s="3">
        <v>0</v>
      </c>
      <c r="N547" s="3">
        <v>1</v>
      </c>
      <c r="O547" s="3">
        <v>0</v>
      </c>
      <c r="P547" s="3">
        <v>0</v>
      </c>
      <c r="Q547" s="3">
        <v>0</v>
      </c>
      <c r="R547" s="3">
        <v>80.7</v>
      </c>
      <c r="S547" s="2">
        <v>10.9</v>
      </c>
      <c r="T547" t="s">
        <v>627</v>
      </c>
      <c r="U547" s="3">
        <v>1</v>
      </c>
      <c r="V547" s="3">
        <v>1</v>
      </c>
      <c r="W547" s="3">
        <v>1</v>
      </c>
      <c r="X547" s="3">
        <v>1</v>
      </c>
      <c r="Y547" s="3">
        <v>0</v>
      </c>
      <c r="Z547" s="3">
        <v>1</v>
      </c>
      <c r="AA547" s="3">
        <v>0</v>
      </c>
    </row>
    <row r="548" spans="1:27">
      <c r="A548" t="s">
        <v>628</v>
      </c>
      <c r="B548" s="3">
        <v>3</v>
      </c>
      <c r="C548" s="3">
        <v>1</v>
      </c>
      <c r="D548" s="1">
        <v>38322</v>
      </c>
      <c r="E548" s="1">
        <v>39082</v>
      </c>
      <c r="F548" s="2">
        <f t="shared" si="8"/>
        <v>2.0807665982203969</v>
      </c>
      <c r="G548" s="3">
        <v>1</v>
      </c>
      <c r="H548" s="3">
        <v>1</v>
      </c>
      <c r="I548" s="3">
        <v>1</v>
      </c>
      <c r="J548" s="3">
        <v>1</v>
      </c>
      <c r="K548" s="3">
        <v>0</v>
      </c>
      <c r="L548" s="3">
        <v>0</v>
      </c>
      <c r="M548" s="3">
        <v>0</v>
      </c>
      <c r="N548" s="3">
        <v>0</v>
      </c>
      <c r="O548" s="3">
        <v>0</v>
      </c>
      <c r="P548" s="3">
        <v>1</v>
      </c>
      <c r="Q548" s="3">
        <v>0</v>
      </c>
      <c r="R548" s="3">
        <v>80.7</v>
      </c>
      <c r="S548" s="2">
        <v>9.9</v>
      </c>
      <c r="T548" t="s">
        <v>28</v>
      </c>
      <c r="U548" s="3">
        <v>0</v>
      </c>
      <c r="V548" s="3">
        <v>0</v>
      </c>
      <c r="W548" s="3">
        <v>0</v>
      </c>
      <c r="X548" s="3">
        <v>1</v>
      </c>
      <c r="Y548" s="3">
        <v>1</v>
      </c>
      <c r="Z548" s="3">
        <v>1</v>
      </c>
      <c r="AA548" s="3">
        <v>0</v>
      </c>
    </row>
    <row r="549" spans="1:27">
      <c r="A549" t="s">
        <v>629</v>
      </c>
      <c r="B549" s="3">
        <v>3</v>
      </c>
      <c r="C549" s="3">
        <v>1</v>
      </c>
      <c r="D549" s="1">
        <v>38030</v>
      </c>
      <c r="E549" s="1">
        <v>39082</v>
      </c>
      <c r="F549" s="2">
        <f t="shared" si="8"/>
        <v>2.8802190280629705</v>
      </c>
      <c r="G549" s="3">
        <v>1</v>
      </c>
      <c r="H549" s="3">
        <v>1</v>
      </c>
      <c r="I549" s="3">
        <v>0</v>
      </c>
      <c r="J549" s="3">
        <v>0</v>
      </c>
      <c r="K549" s="3">
        <v>0</v>
      </c>
      <c r="L549" s="3">
        <v>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80.8</v>
      </c>
      <c r="S549" s="2">
        <v>10.1</v>
      </c>
      <c r="T549" t="s">
        <v>28</v>
      </c>
      <c r="U549" s="3">
        <v>0</v>
      </c>
      <c r="V549" s="3">
        <v>1</v>
      </c>
      <c r="W549" s="3">
        <v>0</v>
      </c>
      <c r="X549" s="3">
        <v>1</v>
      </c>
      <c r="Y549" s="3">
        <v>0</v>
      </c>
      <c r="Z549" s="3">
        <v>1</v>
      </c>
      <c r="AA549" s="3">
        <v>0</v>
      </c>
    </row>
    <row r="550" spans="1:27">
      <c r="A550" t="s">
        <v>630</v>
      </c>
      <c r="B550" s="3">
        <v>3</v>
      </c>
      <c r="C550" s="3">
        <v>0</v>
      </c>
      <c r="D550" s="1">
        <v>37626</v>
      </c>
      <c r="E550" s="1">
        <v>39082</v>
      </c>
      <c r="F550" s="2">
        <f t="shared" si="8"/>
        <v>3.9863107460643397</v>
      </c>
      <c r="G550" s="3">
        <v>2</v>
      </c>
      <c r="H550" s="3">
        <v>1</v>
      </c>
      <c r="I550" s="3">
        <v>0</v>
      </c>
      <c r="J550" s="3">
        <v>0</v>
      </c>
      <c r="K550" s="3">
        <v>0</v>
      </c>
      <c r="L550" s="3">
        <v>0</v>
      </c>
      <c r="M550" s="3">
        <v>0</v>
      </c>
      <c r="N550" s="3">
        <v>1</v>
      </c>
      <c r="O550" s="3">
        <v>0</v>
      </c>
      <c r="P550" s="3">
        <v>1</v>
      </c>
      <c r="Q550" s="3">
        <v>0</v>
      </c>
      <c r="R550" s="3">
        <v>80.8</v>
      </c>
      <c r="S550" s="2">
        <v>10.8</v>
      </c>
      <c r="T550" t="s">
        <v>44</v>
      </c>
      <c r="U550" s="3">
        <v>0</v>
      </c>
      <c r="V550" s="3">
        <v>1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</row>
    <row r="551" spans="1:27">
      <c r="A551" t="s">
        <v>631</v>
      </c>
      <c r="B551" s="3">
        <v>3</v>
      </c>
      <c r="C551" s="3">
        <v>0</v>
      </c>
      <c r="D551" s="1">
        <v>37987</v>
      </c>
      <c r="E551" s="1">
        <v>39082</v>
      </c>
      <c r="F551" s="2">
        <f t="shared" si="8"/>
        <v>2.9979466119096507</v>
      </c>
      <c r="G551" s="3">
        <v>2</v>
      </c>
      <c r="H551" s="3">
        <v>1</v>
      </c>
      <c r="I551" s="3">
        <v>0</v>
      </c>
      <c r="J551" s="3">
        <v>1</v>
      </c>
      <c r="K551" s="3">
        <v>0</v>
      </c>
      <c r="L551" s="3">
        <v>0</v>
      </c>
      <c r="M551" s="3">
        <v>0</v>
      </c>
      <c r="N551" s="3">
        <v>0</v>
      </c>
      <c r="O551" s="3">
        <v>0</v>
      </c>
      <c r="P551" s="3">
        <v>1</v>
      </c>
      <c r="Q551" s="3">
        <v>0</v>
      </c>
      <c r="R551" s="3">
        <v>80.8</v>
      </c>
      <c r="S551" s="2">
        <v>9.1999999999999993</v>
      </c>
      <c r="T551" t="s">
        <v>28</v>
      </c>
      <c r="U551" s="3">
        <v>0</v>
      </c>
      <c r="V551" s="3">
        <v>1</v>
      </c>
      <c r="W551" s="3">
        <v>1</v>
      </c>
      <c r="X551" s="3">
        <v>0</v>
      </c>
      <c r="Y551" s="3">
        <v>0</v>
      </c>
      <c r="Z551" s="3">
        <v>0</v>
      </c>
      <c r="AA551" s="3">
        <v>0</v>
      </c>
    </row>
    <row r="552" spans="1:27">
      <c r="A552" t="s">
        <v>632</v>
      </c>
      <c r="B552" s="3">
        <v>2</v>
      </c>
      <c r="C552" s="3">
        <v>0</v>
      </c>
      <c r="D552" s="1">
        <v>37213</v>
      </c>
      <c r="E552" s="1">
        <v>39082</v>
      </c>
      <c r="F552" s="2">
        <f t="shared" si="8"/>
        <v>5.117043121149897</v>
      </c>
      <c r="G552" s="3">
        <v>1</v>
      </c>
      <c r="H552" s="3">
        <v>1</v>
      </c>
      <c r="I552" s="3">
        <v>0</v>
      </c>
      <c r="J552" s="3">
        <v>0</v>
      </c>
      <c r="K552" s="3">
        <v>0</v>
      </c>
      <c r="L552" s="3">
        <v>0</v>
      </c>
      <c r="M552" s="3">
        <v>0</v>
      </c>
      <c r="N552" s="3">
        <v>1</v>
      </c>
      <c r="O552" s="3">
        <v>0</v>
      </c>
      <c r="P552" s="3">
        <v>0</v>
      </c>
      <c r="Q552" s="3">
        <v>0</v>
      </c>
      <c r="R552" s="3">
        <v>81</v>
      </c>
      <c r="S552" s="2">
        <v>11.9</v>
      </c>
      <c r="T552" t="s">
        <v>633</v>
      </c>
      <c r="U552" s="3">
        <v>1</v>
      </c>
      <c r="V552" s="3">
        <v>1</v>
      </c>
      <c r="W552" s="3">
        <v>1</v>
      </c>
      <c r="X552" s="3">
        <v>1</v>
      </c>
      <c r="Y552" s="3">
        <v>1</v>
      </c>
      <c r="Z552" s="3">
        <v>1</v>
      </c>
      <c r="AA552" s="3">
        <v>0</v>
      </c>
    </row>
    <row r="553" spans="1:27">
      <c r="A553" t="s">
        <v>634</v>
      </c>
      <c r="B553" s="3">
        <v>2</v>
      </c>
      <c r="C553" s="3">
        <v>0</v>
      </c>
      <c r="D553" s="1">
        <v>37627</v>
      </c>
      <c r="E553" s="1">
        <v>39082</v>
      </c>
      <c r="F553" s="2">
        <f t="shared" si="8"/>
        <v>3.9835728952772076</v>
      </c>
      <c r="G553" s="3">
        <v>1</v>
      </c>
      <c r="H553" s="3">
        <v>1</v>
      </c>
      <c r="I553" s="3">
        <v>0</v>
      </c>
      <c r="J553" s="3">
        <v>0</v>
      </c>
      <c r="K553" s="3">
        <v>0</v>
      </c>
      <c r="L553" s="3">
        <v>0</v>
      </c>
      <c r="M553" s="3">
        <v>0</v>
      </c>
      <c r="N553" s="3">
        <v>1</v>
      </c>
      <c r="O553" s="3">
        <v>0</v>
      </c>
      <c r="P553" s="3">
        <v>0</v>
      </c>
      <c r="Q553" s="3">
        <v>0</v>
      </c>
      <c r="R553" s="3">
        <v>81</v>
      </c>
      <c r="S553" s="2">
        <v>10.1</v>
      </c>
      <c r="T553" t="s">
        <v>28</v>
      </c>
      <c r="U553" s="3">
        <v>1</v>
      </c>
      <c r="V553" s="3">
        <v>1</v>
      </c>
      <c r="W553" s="3">
        <v>0</v>
      </c>
      <c r="X553" s="3">
        <v>0</v>
      </c>
      <c r="Y553" s="3">
        <v>0</v>
      </c>
      <c r="Z553" s="3">
        <v>1</v>
      </c>
      <c r="AA553" s="3">
        <v>0</v>
      </c>
    </row>
    <row r="554" spans="1:27">
      <c r="A554" t="s">
        <v>635</v>
      </c>
      <c r="B554" s="3">
        <v>3</v>
      </c>
      <c r="C554" s="3">
        <v>1</v>
      </c>
      <c r="D554" s="1">
        <v>38108</v>
      </c>
      <c r="E554" s="1">
        <v>39082</v>
      </c>
      <c r="F554" s="2">
        <f t="shared" si="8"/>
        <v>2.6666666666666665</v>
      </c>
      <c r="G554" s="3">
        <v>1</v>
      </c>
      <c r="H554" s="3">
        <v>1</v>
      </c>
      <c r="I554" s="3">
        <v>0</v>
      </c>
      <c r="J554" s="3">
        <v>0</v>
      </c>
      <c r="K554" s="3">
        <v>0</v>
      </c>
      <c r="L554" s="3">
        <v>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81</v>
      </c>
      <c r="S554" s="2">
        <v>11.6</v>
      </c>
      <c r="T554" t="s">
        <v>28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1</v>
      </c>
      <c r="AA554" s="3">
        <v>0</v>
      </c>
    </row>
    <row r="555" spans="1:27">
      <c r="A555" t="s">
        <v>636</v>
      </c>
      <c r="B555" s="3">
        <v>3</v>
      </c>
      <c r="C555" s="3">
        <v>1</v>
      </c>
      <c r="D555" s="1">
        <v>38272</v>
      </c>
      <c r="E555" s="1">
        <v>39082</v>
      </c>
      <c r="F555" s="2">
        <f t="shared" si="8"/>
        <v>2.2176591375770021</v>
      </c>
      <c r="G555" s="3">
        <v>2</v>
      </c>
      <c r="H555" s="3">
        <v>1</v>
      </c>
      <c r="I555" s="3">
        <v>0</v>
      </c>
      <c r="J555" s="3">
        <v>0</v>
      </c>
      <c r="K555" s="3">
        <v>0</v>
      </c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81</v>
      </c>
      <c r="S555" s="2">
        <v>10.6</v>
      </c>
      <c r="T555" t="s">
        <v>637</v>
      </c>
      <c r="U555" s="3">
        <v>0</v>
      </c>
      <c r="V555" s="3">
        <v>1</v>
      </c>
      <c r="W555" s="3">
        <v>1</v>
      </c>
      <c r="X555" s="3">
        <v>1</v>
      </c>
      <c r="Y555" s="3">
        <v>0</v>
      </c>
      <c r="Z555" s="3">
        <v>0</v>
      </c>
      <c r="AA555" s="3">
        <v>0</v>
      </c>
    </row>
    <row r="556" spans="1:27">
      <c r="A556" t="s">
        <v>638</v>
      </c>
      <c r="B556" s="3">
        <v>3</v>
      </c>
      <c r="C556" s="3">
        <v>0</v>
      </c>
      <c r="D556" s="1">
        <v>37447</v>
      </c>
      <c r="E556" s="1">
        <v>39082</v>
      </c>
      <c r="F556" s="2">
        <f t="shared" si="8"/>
        <v>4.476386036960986</v>
      </c>
      <c r="G556" s="3">
        <v>1</v>
      </c>
      <c r="H556" s="3">
        <v>1</v>
      </c>
      <c r="I556" s="3">
        <v>0</v>
      </c>
      <c r="J556" s="3">
        <v>1</v>
      </c>
      <c r="K556" s="3">
        <v>0</v>
      </c>
      <c r="L556" s="3">
        <v>0</v>
      </c>
      <c r="M556" s="3">
        <v>0</v>
      </c>
      <c r="N556" s="3">
        <v>0</v>
      </c>
      <c r="O556" s="3">
        <v>0</v>
      </c>
      <c r="P556" s="3">
        <v>1</v>
      </c>
      <c r="Q556" s="3">
        <v>0</v>
      </c>
      <c r="R556" s="3">
        <v>81</v>
      </c>
      <c r="S556" s="2">
        <v>10.8</v>
      </c>
      <c r="T556" t="s">
        <v>28</v>
      </c>
      <c r="U556" s="3">
        <v>1</v>
      </c>
      <c r="V556" s="3">
        <v>1</v>
      </c>
      <c r="W556" s="3">
        <v>0</v>
      </c>
      <c r="X556" s="3">
        <v>0</v>
      </c>
      <c r="Y556" s="3">
        <v>0</v>
      </c>
      <c r="Z556" s="3">
        <v>1</v>
      </c>
      <c r="AA556" s="3">
        <v>0</v>
      </c>
    </row>
    <row r="557" spans="1:27">
      <c r="A557" t="s">
        <v>639</v>
      </c>
      <c r="B557" s="3">
        <v>1</v>
      </c>
      <c r="C557" s="3">
        <v>0</v>
      </c>
      <c r="D557" s="1">
        <v>37273</v>
      </c>
      <c r="E557" s="1">
        <v>39082</v>
      </c>
      <c r="F557" s="2">
        <f t="shared" si="8"/>
        <v>4.9527720739219712</v>
      </c>
      <c r="G557" s="3">
        <v>2</v>
      </c>
      <c r="H557" s="3">
        <v>0</v>
      </c>
      <c r="I557" s="3">
        <v>1</v>
      </c>
      <c r="J557" s="3">
        <v>0</v>
      </c>
      <c r="K557" s="3">
        <v>0</v>
      </c>
      <c r="L557" s="3">
        <v>0</v>
      </c>
      <c r="M557" s="3">
        <v>0</v>
      </c>
      <c r="N557" s="3">
        <v>1</v>
      </c>
      <c r="O557" s="3">
        <v>0</v>
      </c>
      <c r="P557" s="3">
        <v>1</v>
      </c>
      <c r="Q557" s="3">
        <v>0</v>
      </c>
      <c r="R557" s="3">
        <v>81</v>
      </c>
      <c r="S557" s="2">
        <v>11.4</v>
      </c>
      <c r="T557" t="s">
        <v>69</v>
      </c>
      <c r="U557" s="3">
        <v>1</v>
      </c>
      <c r="V557" s="3">
        <v>1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</row>
    <row r="558" spans="1:27">
      <c r="A558" t="s">
        <v>640</v>
      </c>
      <c r="B558" s="3">
        <v>3</v>
      </c>
      <c r="C558" s="3">
        <v>0</v>
      </c>
      <c r="D558" s="1">
        <v>38073</v>
      </c>
      <c r="E558" s="1">
        <v>39082</v>
      </c>
      <c r="F558" s="2">
        <f t="shared" si="8"/>
        <v>2.7624914442162902</v>
      </c>
      <c r="G558" s="3">
        <v>1</v>
      </c>
      <c r="H558" s="3">
        <v>1</v>
      </c>
      <c r="I558" s="3">
        <v>1</v>
      </c>
      <c r="J558" s="3">
        <v>1</v>
      </c>
      <c r="K558" s="3">
        <v>0</v>
      </c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81</v>
      </c>
      <c r="S558" s="2">
        <v>11.6</v>
      </c>
      <c r="T558" t="s">
        <v>44</v>
      </c>
      <c r="U558" s="3">
        <v>0</v>
      </c>
      <c r="V558" s="3">
        <v>1</v>
      </c>
      <c r="W558" s="3">
        <v>0</v>
      </c>
      <c r="X558" s="3">
        <v>0</v>
      </c>
      <c r="Y558" s="3">
        <v>0</v>
      </c>
      <c r="Z558" s="3">
        <v>1</v>
      </c>
      <c r="AA558" s="3">
        <v>0</v>
      </c>
    </row>
    <row r="559" spans="1:27">
      <c r="A559" t="s">
        <v>641</v>
      </c>
      <c r="B559" s="3">
        <v>1</v>
      </c>
      <c r="C559" s="3">
        <v>0</v>
      </c>
      <c r="D559" s="1">
        <v>37727</v>
      </c>
      <c r="E559" s="1">
        <v>39082</v>
      </c>
      <c r="F559" s="2">
        <f t="shared" si="8"/>
        <v>3.7097878165639973</v>
      </c>
      <c r="G559" s="3">
        <v>1</v>
      </c>
      <c r="H559" s="3">
        <v>1</v>
      </c>
      <c r="I559" s="3">
        <v>0</v>
      </c>
      <c r="J559" s="3">
        <v>0</v>
      </c>
      <c r="K559" s="3">
        <v>0</v>
      </c>
      <c r="L559" s="3">
        <v>0</v>
      </c>
      <c r="M559" s="3">
        <v>0</v>
      </c>
      <c r="N559" s="3">
        <v>1</v>
      </c>
      <c r="O559" s="3">
        <v>0</v>
      </c>
      <c r="P559" s="3">
        <v>0</v>
      </c>
      <c r="Q559" s="3">
        <v>0</v>
      </c>
      <c r="R559" s="3">
        <v>81.099999999999994</v>
      </c>
      <c r="S559" s="2">
        <v>10.3</v>
      </c>
      <c r="T559" t="s">
        <v>28</v>
      </c>
      <c r="U559" s="3">
        <v>1</v>
      </c>
      <c r="V559" s="3">
        <v>1</v>
      </c>
      <c r="W559" s="3">
        <v>0</v>
      </c>
      <c r="X559" s="3">
        <v>1</v>
      </c>
      <c r="Y559" s="3">
        <v>0</v>
      </c>
      <c r="Z559" s="3">
        <v>1</v>
      </c>
      <c r="AA559" s="3">
        <v>0</v>
      </c>
    </row>
    <row r="560" spans="1:27">
      <c r="A560" t="s">
        <v>642</v>
      </c>
      <c r="B560" s="3">
        <v>3</v>
      </c>
      <c r="C560" s="3">
        <v>0</v>
      </c>
      <c r="D560" s="1">
        <v>38053</v>
      </c>
      <c r="E560" s="1">
        <v>39082</v>
      </c>
      <c r="F560" s="2">
        <f t="shared" si="8"/>
        <v>2.817248459958932</v>
      </c>
      <c r="G560" s="3">
        <v>2</v>
      </c>
      <c r="H560" s="3">
        <v>1</v>
      </c>
      <c r="I560" s="3">
        <v>0</v>
      </c>
      <c r="J560" s="3">
        <v>0</v>
      </c>
      <c r="K560" s="3">
        <v>0</v>
      </c>
      <c r="L560" s="3">
        <v>1</v>
      </c>
      <c r="M560" s="3">
        <v>0</v>
      </c>
      <c r="N560" s="3">
        <v>0</v>
      </c>
      <c r="O560" s="3">
        <v>0</v>
      </c>
      <c r="P560" s="3">
        <v>1</v>
      </c>
      <c r="Q560" s="3">
        <v>0</v>
      </c>
      <c r="R560" s="3">
        <v>81.099999999999994</v>
      </c>
      <c r="S560" s="2">
        <v>10.4</v>
      </c>
      <c r="T560" t="s">
        <v>643</v>
      </c>
      <c r="U560" s="3">
        <v>1</v>
      </c>
      <c r="V560" s="3">
        <v>1</v>
      </c>
      <c r="W560" s="3">
        <v>0</v>
      </c>
      <c r="X560" s="3">
        <v>0</v>
      </c>
      <c r="Y560" s="3">
        <v>1</v>
      </c>
      <c r="Z560" s="3">
        <v>0</v>
      </c>
      <c r="AA560" s="3">
        <v>0</v>
      </c>
    </row>
    <row r="561" spans="1:27">
      <c r="A561" t="s">
        <v>644</v>
      </c>
      <c r="B561" s="3">
        <v>2</v>
      </c>
      <c r="C561" s="3">
        <v>0</v>
      </c>
      <c r="D561" s="1">
        <v>37719</v>
      </c>
      <c r="E561" s="1">
        <v>39082</v>
      </c>
      <c r="F561" s="2">
        <f t="shared" si="8"/>
        <v>3.7316906228610542</v>
      </c>
      <c r="G561" s="3">
        <v>2</v>
      </c>
      <c r="H561" s="3">
        <v>1</v>
      </c>
      <c r="I561" s="3">
        <v>0</v>
      </c>
      <c r="J561" s="3">
        <v>0</v>
      </c>
      <c r="K561" s="3">
        <v>0</v>
      </c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81.2</v>
      </c>
      <c r="S561" s="2">
        <v>8.5</v>
      </c>
      <c r="T561" t="s">
        <v>105</v>
      </c>
      <c r="U561" s="3">
        <v>1</v>
      </c>
      <c r="V561" s="3">
        <v>1</v>
      </c>
      <c r="W561" s="3">
        <v>1</v>
      </c>
      <c r="X561" s="3">
        <v>1</v>
      </c>
      <c r="Y561" s="3">
        <v>0</v>
      </c>
      <c r="Z561" s="3">
        <v>0</v>
      </c>
      <c r="AA561" s="3">
        <v>0</v>
      </c>
    </row>
    <row r="562" spans="1:27">
      <c r="A562" t="s">
        <v>645</v>
      </c>
      <c r="B562" s="3">
        <v>3</v>
      </c>
      <c r="C562" s="3">
        <v>0</v>
      </c>
      <c r="D562" s="1">
        <v>38261</v>
      </c>
      <c r="E562" s="1">
        <v>39082</v>
      </c>
      <c r="F562" s="2">
        <f t="shared" si="8"/>
        <v>2.2477754962354553</v>
      </c>
      <c r="G562" s="3">
        <v>1</v>
      </c>
      <c r="H562" s="3">
        <v>1</v>
      </c>
      <c r="I562" s="3">
        <v>0</v>
      </c>
      <c r="J562" s="3">
        <v>1</v>
      </c>
      <c r="K562" s="3">
        <v>0</v>
      </c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81.2</v>
      </c>
      <c r="S562" s="2">
        <v>12.2</v>
      </c>
      <c r="T562" t="s">
        <v>646</v>
      </c>
      <c r="U562" s="3">
        <v>1</v>
      </c>
      <c r="V562" s="3">
        <v>0</v>
      </c>
      <c r="W562" s="3">
        <v>1</v>
      </c>
      <c r="X562" s="3">
        <v>1</v>
      </c>
      <c r="Y562" s="3">
        <v>0</v>
      </c>
      <c r="Z562" s="3">
        <v>1</v>
      </c>
      <c r="AA562" s="3">
        <v>0</v>
      </c>
    </row>
    <row r="563" spans="1:27">
      <c r="A563" t="s">
        <v>133</v>
      </c>
      <c r="B563" s="3">
        <v>2</v>
      </c>
      <c r="C563" s="3">
        <v>1</v>
      </c>
      <c r="D563" s="1">
        <v>37606</v>
      </c>
      <c r="E563" s="1">
        <v>39082</v>
      </c>
      <c r="F563" s="2">
        <f t="shared" si="8"/>
        <v>4.0410677618069819</v>
      </c>
      <c r="G563" s="3">
        <v>2</v>
      </c>
      <c r="H563" s="3">
        <v>0</v>
      </c>
      <c r="I563" s="3">
        <v>1</v>
      </c>
      <c r="J563" s="3">
        <v>0</v>
      </c>
      <c r="K563" s="3">
        <v>1</v>
      </c>
      <c r="L563" s="3">
        <v>1</v>
      </c>
      <c r="M563" s="3">
        <v>0</v>
      </c>
      <c r="N563" s="3">
        <v>1</v>
      </c>
      <c r="O563" s="3">
        <v>0</v>
      </c>
      <c r="P563" s="3">
        <v>1</v>
      </c>
      <c r="Q563" s="3">
        <v>0</v>
      </c>
      <c r="R563" s="3">
        <v>81.2</v>
      </c>
      <c r="S563" s="2">
        <v>8.5</v>
      </c>
      <c r="T563" t="s">
        <v>105</v>
      </c>
      <c r="U563" s="3">
        <v>1</v>
      </c>
      <c r="V563" s="3">
        <v>1</v>
      </c>
      <c r="W563" s="3">
        <v>1</v>
      </c>
      <c r="X563" s="3">
        <v>1</v>
      </c>
      <c r="Y563" s="3">
        <v>0</v>
      </c>
      <c r="Z563" s="3">
        <v>0</v>
      </c>
      <c r="AA563" s="3">
        <v>0</v>
      </c>
    </row>
    <row r="564" spans="1:27">
      <c r="A564" t="s">
        <v>647</v>
      </c>
      <c r="B564" s="3">
        <v>1</v>
      </c>
      <c r="C564" s="3">
        <v>1</v>
      </c>
      <c r="D564" s="1">
        <v>37543</v>
      </c>
      <c r="E564" s="1">
        <v>39082</v>
      </c>
      <c r="F564" s="2">
        <f t="shared" si="8"/>
        <v>4.213552361396304</v>
      </c>
      <c r="G564" s="3">
        <v>1</v>
      </c>
      <c r="H564" s="3">
        <v>1</v>
      </c>
      <c r="I564" s="3">
        <v>1</v>
      </c>
      <c r="J564" s="3">
        <v>0</v>
      </c>
      <c r="K564" s="3">
        <v>0</v>
      </c>
      <c r="L564" s="3">
        <v>0</v>
      </c>
      <c r="M564" s="3">
        <v>1</v>
      </c>
      <c r="N564" s="3">
        <v>1</v>
      </c>
      <c r="O564" s="3">
        <v>0</v>
      </c>
      <c r="P564" s="3">
        <v>1</v>
      </c>
      <c r="Q564" s="3">
        <v>0</v>
      </c>
      <c r="R564" s="3">
        <v>81.2</v>
      </c>
      <c r="S564" s="2">
        <v>10.199999999999999</v>
      </c>
      <c r="T564" t="s">
        <v>28</v>
      </c>
      <c r="U564" s="3">
        <v>1</v>
      </c>
      <c r="V564" s="3">
        <v>1</v>
      </c>
      <c r="W564" s="3">
        <v>1</v>
      </c>
      <c r="X564" s="3">
        <v>0</v>
      </c>
      <c r="Y564" s="3">
        <v>1</v>
      </c>
      <c r="Z564" s="3">
        <v>1</v>
      </c>
      <c r="AA564" s="3">
        <v>0</v>
      </c>
    </row>
    <row r="565" spans="1:27">
      <c r="A565" t="s">
        <v>648</v>
      </c>
      <c r="B565" s="3">
        <v>1</v>
      </c>
      <c r="C565" s="3">
        <v>0</v>
      </c>
      <c r="D565" s="1">
        <v>37666</v>
      </c>
      <c r="E565" s="1">
        <v>39082</v>
      </c>
      <c r="F565" s="2">
        <f t="shared" si="8"/>
        <v>3.8767967145790556</v>
      </c>
      <c r="G565" s="3">
        <v>1</v>
      </c>
      <c r="H565" s="3">
        <v>1</v>
      </c>
      <c r="I565" s="3">
        <v>1</v>
      </c>
      <c r="J565" s="3">
        <v>0</v>
      </c>
      <c r="K565" s="3">
        <v>0</v>
      </c>
      <c r="L565" s="3">
        <v>1</v>
      </c>
      <c r="M565" s="3">
        <v>0</v>
      </c>
      <c r="N565" s="3">
        <v>0</v>
      </c>
      <c r="O565" s="3">
        <v>0</v>
      </c>
      <c r="P565" s="3">
        <v>1</v>
      </c>
      <c r="Q565" s="3">
        <v>0</v>
      </c>
      <c r="R565" s="3">
        <v>81.3</v>
      </c>
      <c r="S565" s="2">
        <v>9.6999999999999993</v>
      </c>
      <c r="T565" t="s">
        <v>28</v>
      </c>
      <c r="U565" s="3">
        <v>1</v>
      </c>
      <c r="V565" s="3">
        <v>1</v>
      </c>
      <c r="W565" s="3">
        <v>0</v>
      </c>
      <c r="X565" s="3">
        <v>1</v>
      </c>
      <c r="Y565" s="3">
        <v>0</v>
      </c>
      <c r="Z565" s="3">
        <v>1</v>
      </c>
      <c r="AA565" s="3">
        <v>0</v>
      </c>
    </row>
    <row r="566" spans="1:27">
      <c r="A566" t="s">
        <v>649</v>
      </c>
      <c r="B566" s="3">
        <v>1</v>
      </c>
      <c r="C566" s="3">
        <v>0</v>
      </c>
      <c r="D566" s="1">
        <v>37297</v>
      </c>
      <c r="E566" s="1">
        <v>39082</v>
      </c>
      <c r="F566" s="2">
        <f t="shared" si="8"/>
        <v>4.8870636550308006</v>
      </c>
      <c r="G566" s="3">
        <v>2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3">
        <v>1</v>
      </c>
      <c r="O566" s="3">
        <v>0</v>
      </c>
      <c r="P566" s="3">
        <v>1</v>
      </c>
      <c r="Q566" s="3">
        <v>0</v>
      </c>
      <c r="R566" s="3">
        <v>81.400000000000006</v>
      </c>
      <c r="S566" s="2">
        <v>9.8000000000000007</v>
      </c>
      <c r="T566" t="s">
        <v>28</v>
      </c>
      <c r="U566" s="3">
        <v>1</v>
      </c>
      <c r="V566" s="3">
        <v>1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</row>
    <row r="567" spans="1:27">
      <c r="A567" t="s">
        <v>650</v>
      </c>
      <c r="B567" s="3">
        <v>2</v>
      </c>
      <c r="C567" s="3">
        <v>1</v>
      </c>
      <c r="D567" s="1">
        <v>37800</v>
      </c>
      <c r="E567" s="1">
        <v>39082</v>
      </c>
      <c r="F567" s="2">
        <f t="shared" si="8"/>
        <v>3.5099247091033541</v>
      </c>
      <c r="G567" s="3">
        <v>1</v>
      </c>
      <c r="H567" s="3">
        <v>1</v>
      </c>
      <c r="I567" s="3">
        <v>0</v>
      </c>
      <c r="J567" s="3">
        <v>0</v>
      </c>
      <c r="K567" s="3">
        <v>0</v>
      </c>
      <c r="L567" s="3">
        <v>0</v>
      </c>
      <c r="M567" s="3">
        <v>0</v>
      </c>
      <c r="N567" s="3">
        <v>1</v>
      </c>
      <c r="O567" s="3">
        <v>0</v>
      </c>
      <c r="P567" s="3">
        <v>0</v>
      </c>
      <c r="Q567" s="3">
        <v>0</v>
      </c>
      <c r="R567" s="3">
        <v>81.400000000000006</v>
      </c>
      <c r="S567" s="2">
        <v>9.6</v>
      </c>
      <c r="T567" t="s">
        <v>28</v>
      </c>
      <c r="U567" s="3">
        <v>1</v>
      </c>
      <c r="V567" s="3">
        <v>1</v>
      </c>
      <c r="W567" s="3">
        <v>0</v>
      </c>
      <c r="X567" s="3">
        <v>0</v>
      </c>
      <c r="Y567" s="3">
        <v>0</v>
      </c>
      <c r="Z567" s="3">
        <v>1</v>
      </c>
      <c r="AA567" s="3">
        <v>0</v>
      </c>
    </row>
    <row r="568" spans="1:27">
      <c r="A568" t="s">
        <v>651</v>
      </c>
      <c r="B568" s="3">
        <v>3</v>
      </c>
      <c r="C568" s="3">
        <v>1</v>
      </c>
      <c r="D568" s="1">
        <v>38315</v>
      </c>
      <c r="E568" s="1">
        <v>39082</v>
      </c>
      <c r="F568" s="2">
        <f t="shared" si="8"/>
        <v>2.0999315537303218</v>
      </c>
      <c r="G568" s="3">
        <v>1</v>
      </c>
      <c r="H568" s="3">
        <v>1</v>
      </c>
      <c r="I568" s="3">
        <v>0</v>
      </c>
      <c r="J568" s="3">
        <v>0</v>
      </c>
      <c r="K568" s="3">
        <v>0</v>
      </c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81.400000000000006</v>
      </c>
      <c r="S568" s="2">
        <v>10.4</v>
      </c>
      <c r="T568" t="s">
        <v>199</v>
      </c>
      <c r="U568" s="3">
        <v>1</v>
      </c>
      <c r="V568" s="3">
        <v>1</v>
      </c>
      <c r="W568" s="3">
        <v>0</v>
      </c>
      <c r="X568" s="3">
        <v>0</v>
      </c>
      <c r="Y568" s="3">
        <v>0</v>
      </c>
      <c r="Z568" s="3">
        <v>1</v>
      </c>
      <c r="AA568" s="3">
        <v>0</v>
      </c>
    </row>
    <row r="569" spans="1:27">
      <c r="A569" t="s">
        <v>652</v>
      </c>
      <c r="B569" s="3">
        <v>1</v>
      </c>
      <c r="C569" s="3">
        <v>0</v>
      </c>
      <c r="D569" s="1">
        <v>37891</v>
      </c>
      <c r="E569" s="1">
        <v>39082</v>
      </c>
      <c r="F569" s="2">
        <f t="shared" si="8"/>
        <v>3.2607802874743328</v>
      </c>
      <c r="G569" s="3">
        <v>2</v>
      </c>
      <c r="H569" s="3">
        <v>0</v>
      </c>
      <c r="I569" s="3">
        <v>0</v>
      </c>
      <c r="J569" s="3">
        <v>0</v>
      </c>
      <c r="K569" s="3">
        <v>0</v>
      </c>
      <c r="L569" s="3">
        <v>0</v>
      </c>
      <c r="M569" s="3">
        <v>0</v>
      </c>
      <c r="N569" s="3">
        <v>1</v>
      </c>
      <c r="O569" s="3">
        <v>0</v>
      </c>
      <c r="P569" s="3">
        <v>1</v>
      </c>
      <c r="Q569" s="3">
        <v>0</v>
      </c>
      <c r="R569" s="3">
        <v>81.5</v>
      </c>
      <c r="S569" s="2">
        <v>10.1</v>
      </c>
      <c r="T569" t="s">
        <v>653</v>
      </c>
      <c r="U569" s="3">
        <v>1</v>
      </c>
      <c r="V569" s="3">
        <v>1</v>
      </c>
      <c r="W569" s="3">
        <v>1</v>
      </c>
      <c r="X569" s="3">
        <v>0</v>
      </c>
      <c r="Y569" s="3">
        <v>0</v>
      </c>
      <c r="Z569" s="3">
        <v>0</v>
      </c>
      <c r="AA569" s="3">
        <v>0</v>
      </c>
    </row>
    <row r="570" spans="1:27">
      <c r="A570" t="s">
        <v>654</v>
      </c>
      <c r="B570" s="3">
        <v>3</v>
      </c>
      <c r="C570" s="3">
        <v>0</v>
      </c>
      <c r="D570" s="1">
        <v>37533</v>
      </c>
      <c r="E570" s="1">
        <v>39082</v>
      </c>
      <c r="F570" s="2">
        <f t="shared" si="8"/>
        <v>4.2409308692676246</v>
      </c>
      <c r="G570" s="3">
        <v>1</v>
      </c>
      <c r="H570" s="3">
        <v>1</v>
      </c>
      <c r="I570" s="3">
        <v>0</v>
      </c>
      <c r="J570" s="3">
        <v>0</v>
      </c>
      <c r="K570" s="3">
        <v>0</v>
      </c>
      <c r="L570" s="3">
        <v>0</v>
      </c>
      <c r="M570" s="3">
        <v>1</v>
      </c>
      <c r="N570" s="3">
        <v>1</v>
      </c>
      <c r="O570" s="3">
        <v>0</v>
      </c>
      <c r="P570" s="3">
        <v>1</v>
      </c>
      <c r="Q570" s="3">
        <v>0</v>
      </c>
      <c r="R570" s="3">
        <v>81.5</v>
      </c>
      <c r="S570" s="2">
        <v>10.3</v>
      </c>
      <c r="T570" t="s">
        <v>34</v>
      </c>
      <c r="U570" s="3">
        <v>1</v>
      </c>
      <c r="V570" s="3">
        <v>1</v>
      </c>
      <c r="W570" s="3">
        <v>0</v>
      </c>
      <c r="X570" s="3">
        <v>0</v>
      </c>
      <c r="Y570" s="3">
        <v>0</v>
      </c>
      <c r="Z570" s="3">
        <v>1</v>
      </c>
      <c r="AA570" s="3">
        <v>0</v>
      </c>
    </row>
    <row r="571" spans="1:27">
      <c r="A571" t="s">
        <v>655</v>
      </c>
      <c r="B571" s="3">
        <v>3</v>
      </c>
      <c r="C571" s="3">
        <v>0</v>
      </c>
      <c r="D571" s="1">
        <v>38231</v>
      </c>
      <c r="E571" s="1">
        <v>39082</v>
      </c>
      <c r="F571" s="2">
        <f t="shared" si="8"/>
        <v>2.3299110198494182</v>
      </c>
      <c r="G571" s="3">
        <v>2</v>
      </c>
      <c r="H571" s="3">
        <v>1</v>
      </c>
      <c r="I571" s="3">
        <v>0</v>
      </c>
      <c r="J571" s="3">
        <v>0</v>
      </c>
      <c r="K571" s="3">
        <v>0</v>
      </c>
      <c r="L571" s="3">
        <v>0</v>
      </c>
      <c r="M571" s="3">
        <v>0</v>
      </c>
      <c r="N571" s="3">
        <v>1</v>
      </c>
      <c r="O571" s="3">
        <v>0</v>
      </c>
      <c r="P571" s="3">
        <v>0</v>
      </c>
      <c r="Q571" s="3">
        <v>0</v>
      </c>
      <c r="R571" s="3">
        <v>81.5</v>
      </c>
      <c r="S571" s="2">
        <v>10.7</v>
      </c>
      <c r="T571" t="s">
        <v>172</v>
      </c>
      <c r="U571" s="3">
        <v>0</v>
      </c>
      <c r="V571" s="5" t="e">
        <v>#NULL!</v>
      </c>
      <c r="W571" s="3">
        <v>1</v>
      </c>
      <c r="X571" s="3">
        <v>1</v>
      </c>
      <c r="Y571" s="3">
        <v>0</v>
      </c>
      <c r="Z571" s="3">
        <v>0</v>
      </c>
      <c r="AA571" s="3">
        <v>0</v>
      </c>
    </row>
    <row r="572" spans="1:27">
      <c r="A572" t="s">
        <v>656</v>
      </c>
      <c r="B572" s="3">
        <v>1</v>
      </c>
      <c r="C572" s="3">
        <v>0</v>
      </c>
      <c r="D572" s="1">
        <v>37618</v>
      </c>
      <c r="E572" s="1">
        <v>39082</v>
      </c>
      <c r="F572" s="2">
        <f t="shared" si="8"/>
        <v>4.0082135523613962</v>
      </c>
      <c r="G572" s="3">
        <v>2</v>
      </c>
      <c r="H572" s="3">
        <v>0</v>
      </c>
      <c r="I572" s="3">
        <v>1</v>
      </c>
      <c r="J572" s="3">
        <v>0</v>
      </c>
      <c r="K572" s="3">
        <v>1</v>
      </c>
      <c r="L572" s="3">
        <v>0</v>
      </c>
      <c r="M572" s="3">
        <v>0</v>
      </c>
      <c r="N572" s="3">
        <v>1</v>
      </c>
      <c r="O572" s="3">
        <v>1</v>
      </c>
      <c r="P572" s="3">
        <v>1</v>
      </c>
      <c r="Q572" s="3">
        <v>0</v>
      </c>
      <c r="R572" s="3">
        <v>81.5</v>
      </c>
      <c r="S572" s="2">
        <v>9.8000000000000007</v>
      </c>
      <c r="T572" t="s">
        <v>44</v>
      </c>
      <c r="U572" s="3">
        <v>1</v>
      </c>
      <c r="V572" s="3">
        <v>1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</row>
    <row r="573" spans="1:27">
      <c r="A573" t="s">
        <v>657</v>
      </c>
      <c r="B573" s="3">
        <v>1</v>
      </c>
      <c r="C573" s="3">
        <v>0</v>
      </c>
      <c r="D573" s="1">
        <v>37062</v>
      </c>
      <c r="E573" s="1">
        <v>39082</v>
      </c>
      <c r="F573" s="2">
        <f t="shared" si="8"/>
        <v>5.5304585900068446</v>
      </c>
      <c r="G573" s="3">
        <v>1</v>
      </c>
      <c r="H573" s="3">
        <v>0</v>
      </c>
      <c r="I573" s="3">
        <v>0</v>
      </c>
      <c r="J573" s="3">
        <v>0</v>
      </c>
      <c r="K573" s="3">
        <v>0</v>
      </c>
      <c r="L573" s="3">
        <v>1</v>
      </c>
      <c r="M573" s="3">
        <v>0</v>
      </c>
      <c r="N573" s="3">
        <v>1</v>
      </c>
      <c r="O573" s="3">
        <v>0</v>
      </c>
      <c r="P573" s="3">
        <v>0</v>
      </c>
      <c r="Q573" s="3">
        <v>0</v>
      </c>
      <c r="R573" s="3">
        <v>81.599999999999994</v>
      </c>
      <c r="S573" s="2">
        <v>8.6</v>
      </c>
      <c r="T573" t="s">
        <v>92</v>
      </c>
      <c r="U573" s="3">
        <v>1</v>
      </c>
      <c r="V573" s="3">
        <v>1</v>
      </c>
      <c r="W573" s="3">
        <v>0</v>
      </c>
      <c r="X573" s="3">
        <v>0</v>
      </c>
      <c r="Y573" s="3">
        <v>0</v>
      </c>
      <c r="Z573" s="3">
        <v>1</v>
      </c>
      <c r="AA573" s="3">
        <v>0</v>
      </c>
    </row>
    <row r="574" spans="1:27">
      <c r="A574" t="s">
        <v>658</v>
      </c>
      <c r="B574" s="3">
        <v>1</v>
      </c>
      <c r="C574" s="3">
        <v>1</v>
      </c>
      <c r="D574" s="1">
        <v>37364</v>
      </c>
      <c r="E574" s="1">
        <v>39082</v>
      </c>
      <c r="F574" s="2">
        <f t="shared" si="8"/>
        <v>4.7036276522929503</v>
      </c>
      <c r="G574" s="3">
        <v>2</v>
      </c>
      <c r="H574" s="3">
        <v>1</v>
      </c>
      <c r="I574" s="3">
        <v>1</v>
      </c>
      <c r="J574" s="3">
        <v>0</v>
      </c>
      <c r="K574" s="3">
        <v>0</v>
      </c>
      <c r="L574" s="3">
        <v>1</v>
      </c>
      <c r="M574" s="3">
        <v>0</v>
      </c>
      <c r="N574" s="3">
        <v>1</v>
      </c>
      <c r="O574" s="3">
        <v>0</v>
      </c>
      <c r="P574" s="3">
        <v>1</v>
      </c>
      <c r="Q574" s="3">
        <v>0</v>
      </c>
      <c r="R574" s="3">
        <v>81.599999999999994</v>
      </c>
      <c r="S574" s="2">
        <v>10.6</v>
      </c>
      <c r="T574" t="s">
        <v>28</v>
      </c>
      <c r="U574" s="3">
        <v>1</v>
      </c>
      <c r="V574" s="3">
        <v>1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</row>
    <row r="575" spans="1:27">
      <c r="A575" t="s">
        <v>659</v>
      </c>
      <c r="B575" s="3">
        <v>3</v>
      </c>
      <c r="C575" s="3">
        <v>0</v>
      </c>
      <c r="D575" s="1">
        <v>37758</v>
      </c>
      <c r="E575" s="1">
        <v>39082</v>
      </c>
      <c r="F575" s="2">
        <f t="shared" si="8"/>
        <v>3.6249144421629023</v>
      </c>
      <c r="G575" s="3">
        <v>1</v>
      </c>
      <c r="H575" s="3">
        <v>1</v>
      </c>
      <c r="I575" s="3">
        <v>0</v>
      </c>
      <c r="J575" s="3">
        <v>1</v>
      </c>
      <c r="K575" s="3">
        <v>0</v>
      </c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81.7</v>
      </c>
      <c r="S575" s="2">
        <v>11</v>
      </c>
      <c r="T575" t="s">
        <v>28</v>
      </c>
      <c r="U575" s="3">
        <v>0</v>
      </c>
      <c r="V575" s="3">
        <v>1</v>
      </c>
      <c r="W575" s="3">
        <v>0</v>
      </c>
      <c r="X575" s="3">
        <v>0</v>
      </c>
      <c r="Y575" s="3">
        <v>0</v>
      </c>
      <c r="Z575" s="3">
        <v>1</v>
      </c>
      <c r="AA575" s="3">
        <v>0</v>
      </c>
    </row>
    <row r="576" spans="1:27">
      <c r="A576" t="s">
        <v>660</v>
      </c>
      <c r="B576" s="3">
        <v>2</v>
      </c>
      <c r="C576" s="3">
        <v>0</v>
      </c>
      <c r="D576" s="1">
        <v>37744</v>
      </c>
      <c r="E576" s="1">
        <v>39082</v>
      </c>
      <c r="F576" s="2">
        <f t="shared" si="8"/>
        <v>3.6632443531827517</v>
      </c>
      <c r="G576" s="3">
        <v>2</v>
      </c>
      <c r="H576" s="3">
        <v>1</v>
      </c>
      <c r="I576" s="3">
        <v>1</v>
      </c>
      <c r="J576" s="3">
        <v>0</v>
      </c>
      <c r="K576" s="3">
        <v>0</v>
      </c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81.7</v>
      </c>
      <c r="S576" s="2">
        <v>9.6</v>
      </c>
      <c r="T576" t="s">
        <v>28</v>
      </c>
      <c r="U576" s="3">
        <v>1</v>
      </c>
      <c r="V576" s="3">
        <v>1</v>
      </c>
      <c r="W576" s="3">
        <v>1</v>
      </c>
      <c r="X576" s="3">
        <v>1</v>
      </c>
      <c r="Y576" s="3">
        <v>1</v>
      </c>
      <c r="Z576" s="3">
        <v>0</v>
      </c>
      <c r="AA576" s="3">
        <v>0</v>
      </c>
    </row>
    <row r="577" spans="1:27">
      <c r="A577" t="s">
        <v>468</v>
      </c>
      <c r="B577" s="3">
        <v>2</v>
      </c>
      <c r="C577" s="3">
        <v>1</v>
      </c>
      <c r="D577" s="1">
        <v>38127</v>
      </c>
      <c r="E577" s="1">
        <v>39082</v>
      </c>
      <c r="F577" s="2">
        <f t="shared" si="8"/>
        <v>2.6146475017111568</v>
      </c>
      <c r="G577" s="3">
        <v>1</v>
      </c>
      <c r="H577" s="3">
        <v>1</v>
      </c>
      <c r="I577" s="3">
        <v>0</v>
      </c>
      <c r="J577" s="3">
        <v>0</v>
      </c>
      <c r="K577" s="3">
        <v>0</v>
      </c>
      <c r="L577" s="3">
        <v>0</v>
      </c>
      <c r="M577" s="3">
        <v>0</v>
      </c>
      <c r="N577" s="3">
        <v>1</v>
      </c>
      <c r="O577" s="3">
        <v>0</v>
      </c>
      <c r="P577" s="3">
        <v>0</v>
      </c>
      <c r="Q577" s="3">
        <v>0</v>
      </c>
      <c r="R577" s="3">
        <v>81.900000000000006</v>
      </c>
      <c r="S577" s="2">
        <v>10.199999999999999</v>
      </c>
      <c r="T577" t="s">
        <v>28</v>
      </c>
      <c r="U577" s="3">
        <v>1</v>
      </c>
      <c r="V577" s="3">
        <v>1</v>
      </c>
      <c r="W577" s="3">
        <v>0</v>
      </c>
      <c r="X577" s="3">
        <v>0</v>
      </c>
      <c r="Y577" s="3">
        <v>0</v>
      </c>
      <c r="Z577" s="3">
        <v>1</v>
      </c>
      <c r="AA577" s="3">
        <v>0</v>
      </c>
    </row>
    <row r="578" spans="1:27">
      <c r="A578" t="s">
        <v>661</v>
      </c>
      <c r="B578" s="3">
        <v>2</v>
      </c>
      <c r="C578" s="3">
        <v>0</v>
      </c>
      <c r="D578" s="1">
        <v>38234</v>
      </c>
      <c r="E578" s="1">
        <v>39082</v>
      </c>
      <c r="F578" s="2">
        <f t="shared" si="8"/>
        <v>2.321697467488022</v>
      </c>
      <c r="G578" s="3">
        <v>1</v>
      </c>
      <c r="H578" s="3">
        <v>0</v>
      </c>
      <c r="I578" s="3">
        <v>0</v>
      </c>
      <c r="J578" s="3">
        <v>1</v>
      </c>
      <c r="K578" s="3">
        <v>0</v>
      </c>
      <c r="L578" s="3">
        <v>0</v>
      </c>
      <c r="M578" s="3">
        <v>0</v>
      </c>
      <c r="N578" s="3">
        <v>0</v>
      </c>
      <c r="O578" s="3">
        <v>0</v>
      </c>
      <c r="P578" s="3">
        <v>1</v>
      </c>
      <c r="Q578" s="3">
        <v>0</v>
      </c>
      <c r="R578" s="3">
        <v>81.900000000000006</v>
      </c>
      <c r="S578" s="2">
        <v>9.6999999999999993</v>
      </c>
      <c r="T578" t="s">
        <v>92</v>
      </c>
      <c r="U578" s="3">
        <v>1</v>
      </c>
      <c r="V578" s="3">
        <v>1</v>
      </c>
      <c r="W578" s="3">
        <v>0</v>
      </c>
      <c r="X578" s="3">
        <v>0</v>
      </c>
      <c r="Y578" s="3">
        <v>0</v>
      </c>
      <c r="Z578" s="3">
        <v>1</v>
      </c>
      <c r="AA578" s="3">
        <v>0</v>
      </c>
    </row>
    <row r="579" spans="1:27">
      <c r="A579" t="s">
        <v>662</v>
      </c>
      <c r="B579" s="3">
        <v>1</v>
      </c>
      <c r="C579" s="3">
        <v>0</v>
      </c>
      <c r="D579" s="1">
        <v>37777</v>
      </c>
      <c r="E579" s="1">
        <v>39082</v>
      </c>
      <c r="F579" s="2">
        <f t="shared" ref="F579:F642" si="9">(E579-D579)/365.25</f>
        <v>3.5728952772073921</v>
      </c>
      <c r="G579" s="3">
        <v>1</v>
      </c>
      <c r="H579" s="3">
        <v>1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1</v>
      </c>
      <c r="O579" s="3">
        <v>0</v>
      </c>
      <c r="P579" s="3">
        <v>0</v>
      </c>
      <c r="Q579" s="3">
        <v>0</v>
      </c>
      <c r="R579" s="3">
        <v>82</v>
      </c>
      <c r="S579" s="2">
        <v>10.3</v>
      </c>
      <c r="T579" t="s">
        <v>28</v>
      </c>
      <c r="U579" s="3">
        <v>1</v>
      </c>
      <c r="V579" s="3">
        <v>1</v>
      </c>
      <c r="W579" s="3">
        <v>1</v>
      </c>
      <c r="X579" s="3">
        <v>0</v>
      </c>
      <c r="Y579" s="3">
        <v>0</v>
      </c>
      <c r="Z579" s="3">
        <v>1</v>
      </c>
      <c r="AA579" s="3">
        <v>0</v>
      </c>
    </row>
    <row r="580" spans="1:27">
      <c r="A580" t="s">
        <v>663</v>
      </c>
      <c r="B580" s="3">
        <v>1</v>
      </c>
      <c r="C580" s="3">
        <v>0</v>
      </c>
      <c r="D580" s="1">
        <v>37632</v>
      </c>
      <c r="E580" s="1">
        <v>39082</v>
      </c>
      <c r="F580" s="2">
        <f t="shared" si="9"/>
        <v>3.9698836413415468</v>
      </c>
      <c r="G580" s="3">
        <v>2</v>
      </c>
      <c r="H580" s="3">
        <v>1</v>
      </c>
      <c r="I580" s="3">
        <v>0</v>
      </c>
      <c r="J580" s="3">
        <v>0</v>
      </c>
      <c r="K580" s="3">
        <v>0</v>
      </c>
      <c r="L580" s="3">
        <v>0</v>
      </c>
      <c r="M580" s="3">
        <v>0</v>
      </c>
      <c r="N580" s="3">
        <v>1</v>
      </c>
      <c r="O580" s="3">
        <v>0</v>
      </c>
      <c r="P580" s="3">
        <v>1</v>
      </c>
      <c r="Q580" s="3">
        <v>0</v>
      </c>
      <c r="R580" s="3">
        <v>82</v>
      </c>
      <c r="S580" s="2">
        <v>10.1</v>
      </c>
      <c r="T580" t="s">
        <v>28</v>
      </c>
      <c r="U580" s="3">
        <v>1</v>
      </c>
      <c r="V580" s="3">
        <v>1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</row>
    <row r="581" spans="1:27">
      <c r="A581" t="s">
        <v>664</v>
      </c>
      <c r="B581" s="3">
        <v>3</v>
      </c>
      <c r="C581" s="3">
        <v>0</v>
      </c>
      <c r="D581" s="1">
        <v>36982</v>
      </c>
      <c r="E581" s="1">
        <v>39082</v>
      </c>
      <c r="F581" s="2">
        <f t="shared" si="9"/>
        <v>5.7494866529774127</v>
      </c>
      <c r="G581" s="3">
        <v>2</v>
      </c>
      <c r="H581" s="3">
        <v>1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0</v>
      </c>
      <c r="O581" s="3">
        <v>0</v>
      </c>
      <c r="P581" s="3">
        <v>1</v>
      </c>
      <c r="Q581" s="3">
        <v>0</v>
      </c>
      <c r="R581" s="3">
        <v>82</v>
      </c>
      <c r="S581" s="2">
        <v>10.199999999999999</v>
      </c>
      <c r="T581" t="s">
        <v>28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</row>
    <row r="582" spans="1:27">
      <c r="A582" t="s">
        <v>157</v>
      </c>
      <c r="B582" s="3">
        <v>2</v>
      </c>
      <c r="C582" s="3">
        <v>1</v>
      </c>
      <c r="D582" s="1">
        <v>38032</v>
      </c>
      <c r="E582" s="1">
        <v>39082</v>
      </c>
      <c r="F582" s="2">
        <f t="shared" si="9"/>
        <v>2.8747433264887063</v>
      </c>
      <c r="G582" s="3">
        <v>1</v>
      </c>
      <c r="H582" s="3">
        <v>1</v>
      </c>
      <c r="I582" s="3">
        <v>0</v>
      </c>
      <c r="J582" s="3">
        <v>0</v>
      </c>
      <c r="K582" s="3">
        <v>0</v>
      </c>
      <c r="L582" s="3">
        <v>0</v>
      </c>
      <c r="M582" s="3">
        <v>0</v>
      </c>
      <c r="N582" s="3">
        <v>1</v>
      </c>
      <c r="O582" s="3">
        <v>0</v>
      </c>
      <c r="P582" s="3">
        <v>0</v>
      </c>
      <c r="Q582" s="3">
        <v>0</v>
      </c>
      <c r="R582" s="3">
        <v>82.1</v>
      </c>
      <c r="S582" s="2">
        <v>10.9</v>
      </c>
      <c r="T582" t="s">
        <v>28</v>
      </c>
      <c r="U582" s="3">
        <v>1</v>
      </c>
      <c r="V582" s="3">
        <v>1</v>
      </c>
      <c r="W582" s="3">
        <v>0</v>
      </c>
      <c r="X582" s="3">
        <v>1</v>
      </c>
      <c r="Y582" s="3">
        <v>0</v>
      </c>
      <c r="Z582" s="3">
        <v>1</v>
      </c>
      <c r="AA582" s="3">
        <v>0</v>
      </c>
    </row>
    <row r="583" spans="1:27">
      <c r="A583" t="s">
        <v>665</v>
      </c>
      <c r="B583" s="3">
        <v>3</v>
      </c>
      <c r="C583" s="3">
        <v>0</v>
      </c>
      <c r="D583" s="1">
        <v>37600</v>
      </c>
      <c r="E583" s="1">
        <v>39082</v>
      </c>
      <c r="F583" s="2">
        <f t="shared" si="9"/>
        <v>4.0574948665297743</v>
      </c>
      <c r="G583" s="3">
        <v>2</v>
      </c>
      <c r="H583" s="3">
        <v>1</v>
      </c>
      <c r="I583" s="3">
        <v>0</v>
      </c>
      <c r="J583" s="3">
        <v>1</v>
      </c>
      <c r="K583" s="3">
        <v>0</v>
      </c>
      <c r="L583" s="3">
        <v>0</v>
      </c>
      <c r="M583" s="3">
        <v>0</v>
      </c>
      <c r="N583" s="3">
        <v>0</v>
      </c>
      <c r="O583" s="3">
        <v>0</v>
      </c>
      <c r="P583" s="3">
        <v>1</v>
      </c>
      <c r="Q583" s="3">
        <v>0</v>
      </c>
      <c r="R583" s="3">
        <v>82.1</v>
      </c>
      <c r="S583" s="2">
        <v>10.7</v>
      </c>
      <c r="T583" t="s">
        <v>28</v>
      </c>
      <c r="U583" s="3">
        <v>1</v>
      </c>
      <c r="V583" s="3">
        <v>0</v>
      </c>
      <c r="W583" s="3">
        <v>1</v>
      </c>
      <c r="X583" s="3">
        <v>1</v>
      </c>
      <c r="Y583" s="3">
        <v>1</v>
      </c>
      <c r="Z583" s="3">
        <v>0</v>
      </c>
      <c r="AA583" s="3">
        <v>0</v>
      </c>
    </row>
    <row r="584" spans="1:27">
      <c r="A584" t="s">
        <v>666</v>
      </c>
      <c r="B584" s="3">
        <v>3</v>
      </c>
      <c r="C584" s="3">
        <v>0</v>
      </c>
      <c r="D584" s="1">
        <v>37323</v>
      </c>
      <c r="E584" s="1">
        <v>39082</v>
      </c>
      <c r="F584" s="2">
        <f t="shared" si="9"/>
        <v>4.815879534565366</v>
      </c>
      <c r="G584" s="3">
        <v>2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82.2</v>
      </c>
      <c r="S584" s="2">
        <v>11</v>
      </c>
      <c r="T584" t="s">
        <v>172</v>
      </c>
      <c r="U584" s="3">
        <v>0</v>
      </c>
      <c r="V584" s="3">
        <v>1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</row>
    <row r="585" spans="1:27">
      <c r="A585" t="s">
        <v>667</v>
      </c>
      <c r="B585" s="3">
        <v>2</v>
      </c>
      <c r="C585" s="3">
        <v>0</v>
      </c>
      <c r="D585" s="1">
        <v>37488</v>
      </c>
      <c r="E585" s="1">
        <v>39082</v>
      </c>
      <c r="F585" s="2">
        <f t="shared" si="9"/>
        <v>4.3641341546885695</v>
      </c>
      <c r="G585" s="3">
        <v>1</v>
      </c>
      <c r="H585" s="3">
        <v>1</v>
      </c>
      <c r="I585" s="3">
        <v>0</v>
      </c>
      <c r="J585" s="3">
        <v>0</v>
      </c>
      <c r="K585" s="3">
        <v>0</v>
      </c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82.2</v>
      </c>
      <c r="S585" s="2">
        <v>9.6999999999999993</v>
      </c>
      <c r="T585" t="s">
        <v>28</v>
      </c>
      <c r="U585" s="3">
        <v>1</v>
      </c>
      <c r="V585" s="3">
        <v>1</v>
      </c>
      <c r="W585" s="3">
        <v>1</v>
      </c>
      <c r="X585" s="3">
        <v>1</v>
      </c>
      <c r="Y585" s="3">
        <v>1</v>
      </c>
      <c r="Z585" s="3">
        <v>1</v>
      </c>
      <c r="AA585" s="3">
        <v>0</v>
      </c>
    </row>
    <row r="586" spans="1:27">
      <c r="A586" t="s">
        <v>668</v>
      </c>
      <c r="B586" s="3">
        <v>2</v>
      </c>
      <c r="C586" s="3">
        <v>0</v>
      </c>
      <c r="D586" s="1">
        <v>37950</v>
      </c>
      <c r="E586" s="1">
        <v>39082</v>
      </c>
      <c r="F586" s="2">
        <f t="shared" si="9"/>
        <v>3.0992470910335386</v>
      </c>
      <c r="G586" s="3">
        <v>1</v>
      </c>
      <c r="H586" s="3">
        <v>1</v>
      </c>
      <c r="I586" s="3">
        <v>0</v>
      </c>
      <c r="J586" s="3">
        <v>0</v>
      </c>
      <c r="K586" s="3">
        <v>0</v>
      </c>
      <c r="L586" s="3">
        <v>0</v>
      </c>
      <c r="M586" s="3">
        <v>0</v>
      </c>
      <c r="N586" s="3">
        <v>1</v>
      </c>
      <c r="O586" s="3">
        <v>0</v>
      </c>
      <c r="P586" s="3">
        <v>1</v>
      </c>
      <c r="Q586" s="3">
        <v>0</v>
      </c>
      <c r="R586" s="3">
        <v>82.2</v>
      </c>
      <c r="S586" s="2">
        <v>10</v>
      </c>
      <c r="T586" t="s">
        <v>28</v>
      </c>
      <c r="U586" s="3">
        <v>1</v>
      </c>
      <c r="V586" s="3">
        <v>1</v>
      </c>
      <c r="W586" s="3">
        <v>1</v>
      </c>
      <c r="X586" s="3">
        <v>1</v>
      </c>
      <c r="Y586" s="3">
        <v>1</v>
      </c>
      <c r="Z586" s="3">
        <v>1</v>
      </c>
      <c r="AA586" s="3">
        <v>0</v>
      </c>
    </row>
    <row r="587" spans="1:27">
      <c r="A587" t="s">
        <v>669</v>
      </c>
      <c r="B587" s="3">
        <v>3</v>
      </c>
      <c r="C587" s="3">
        <v>1</v>
      </c>
      <c r="D587" s="1">
        <v>38289</v>
      </c>
      <c r="E587" s="1">
        <v>39082</v>
      </c>
      <c r="F587" s="2">
        <f t="shared" si="9"/>
        <v>2.1711156741957565</v>
      </c>
      <c r="G587" s="3">
        <v>1</v>
      </c>
      <c r="H587" s="3">
        <v>1</v>
      </c>
      <c r="I587" s="3">
        <v>0</v>
      </c>
      <c r="J587" s="3">
        <v>0</v>
      </c>
      <c r="K587" s="3">
        <v>0</v>
      </c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82.2</v>
      </c>
      <c r="S587" s="2">
        <v>12.1</v>
      </c>
      <c r="T587" t="s">
        <v>670</v>
      </c>
      <c r="U587" s="3">
        <v>0</v>
      </c>
      <c r="V587" s="3">
        <v>0</v>
      </c>
      <c r="W587" s="3">
        <v>1</v>
      </c>
      <c r="X587" s="3">
        <v>0</v>
      </c>
      <c r="Y587" s="3">
        <v>0</v>
      </c>
      <c r="Z587" s="3">
        <v>1</v>
      </c>
      <c r="AA587" s="3">
        <v>0</v>
      </c>
    </row>
    <row r="588" spans="1:27">
      <c r="A588" t="s">
        <v>671</v>
      </c>
      <c r="B588" s="3">
        <v>3</v>
      </c>
      <c r="C588" s="3">
        <v>0</v>
      </c>
      <c r="D588" s="1">
        <v>37829</v>
      </c>
      <c r="E588" s="1">
        <v>39082</v>
      </c>
      <c r="F588" s="2">
        <f t="shared" si="9"/>
        <v>3.4305270362765228</v>
      </c>
      <c r="G588" s="3">
        <v>2</v>
      </c>
      <c r="H588" s="3">
        <v>1</v>
      </c>
      <c r="I588" s="3">
        <v>0</v>
      </c>
      <c r="J588" s="3">
        <v>0</v>
      </c>
      <c r="K588" s="3">
        <v>1</v>
      </c>
      <c r="L588" s="3">
        <v>0</v>
      </c>
      <c r="M588" s="3">
        <v>0</v>
      </c>
      <c r="N588" s="3">
        <v>1</v>
      </c>
      <c r="O588" s="3">
        <v>1</v>
      </c>
      <c r="P588" s="3">
        <v>1</v>
      </c>
      <c r="Q588" s="3">
        <v>0</v>
      </c>
      <c r="R588" s="3">
        <v>82.2</v>
      </c>
      <c r="S588" s="2">
        <v>11.5</v>
      </c>
      <c r="T588" t="s">
        <v>28</v>
      </c>
      <c r="U588" s="3">
        <v>0</v>
      </c>
      <c r="V588" s="3">
        <v>1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</row>
    <row r="589" spans="1:27">
      <c r="A589" t="s">
        <v>672</v>
      </c>
      <c r="B589" s="3">
        <v>3</v>
      </c>
      <c r="C589" s="3">
        <v>0</v>
      </c>
      <c r="D589" s="1">
        <v>38322</v>
      </c>
      <c r="E589" s="1">
        <v>39082</v>
      </c>
      <c r="F589" s="2">
        <f t="shared" si="9"/>
        <v>2.0807665982203969</v>
      </c>
      <c r="G589" s="3">
        <v>2</v>
      </c>
      <c r="H589" s="3">
        <v>1</v>
      </c>
      <c r="I589" s="3">
        <v>0</v>
      </c>
      <c r="J589" s="3">
        <v>1</v>
      </c>
      <c r="K589" s="3">
        <v>0</v>
      </c>
      <c r="L589" s="3">
        <v>0</v>
      </c>
      <c r="M589" s="3">
        <v>0</v>
      </c>
      <c r="N589" s="3">
        <v>1</v>
      </c>
      <c r="O589" s="3">
        <v>0</v>
      </c>
      <c r="P589" s="3">
        <v>1</v>
      </c>
      <c r="Q589" s="3">
        <v>0</v>
      </c>
      <c r="R589" s="3">
        <v>82.2</v>
      </c>
      <c r="S589" s="2">
        <v>11.8</v>
      </c>
      <c r="T589" t="s">
        <v>105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</row>
    <row r="590" spans="1:27">
      <c r="A590" t="s">
        <v>673</v>
      </c>
      <c r="B590" s="3">
        <v>3</v>
      </c>
      <c r="C590" s="3">
        <v>0</v>
      </c>
      <c r="D590" s="1">
        <v>38047</v>
      </c>
      <c r="E590" s="1">
        <v>39082</v>
      </c>
      <c r="F590" s="2">
        <f t="shared" si="9"/>
        <v>2.8336755646817249</v>
      </c>
      <c r="G590" s="3">
        <v>2</v>
      </c>
      <c r="H590" s="3">
        <v>1</v>
      </c>
      <c r="I590" s="3">
        <v>0</v>
      </c>
      <c r="J590" s="3">
        <v>1</v>
      </c>
      <c r="K590" s="3">
        <v>0</v>
      </c>
      <c r="L590" s="3">
        <v>0</v>
      </c>
      <c r="M590" s="3">
        <v>0</v>
      </c>
      <c r="N590" s="3">
        <v>0</v>
      </c>
      <c r="O590" s="3">
        <v>0</v>
      </c>
      <c r="P590" s="3">
        <v>1</v>
      </c>
      <c r="Q590" s="3">
        <v>0</v>
      </c>
      <c r="R590" s="3">
        <v>82.2</v>
      </c>
      <c r="S590" s="2">
        <v>11.4</v>
      </c>
      <c r="T590" t="s">
        <v>28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</row>
    <row r="591" spans="1:27">
      <c r="A591" t="s">
        <v>674</v>
      </c>
      <c r="B591" s="3">
        <v>1</v>
      </c>
      <c r="C591" s="3">
        <v>0</v>
      </c>
      <c r="D591" s="1">
        <v>38284</v>
      </c>
      <c r="E591" s="1">
        <v>39082</v>
      </c>
      <c r="F591" s="2">
        <f t="shared" si="9"/>
        <v>2.1848049281314168</v>
      </c>
      <c r="G591" s="3">
        <v>2</v>
      </c>
      <c r="H591" s="3">
        <v>1</v>
      </c>
      <c r="I591" s="3">
        <v>1</v>
      </c>
      <c r="J591" s="3">
        <v>0</v>
      </c>
      <c r="K591" s="3">
        <v>0</v>
      </c>
      <c r="L591" s="3">
        <v>1</v>
      </c>
      <c r="M591" s="3">
        <v>0</v>
      </c>
      <c r="N591" s="3">
        <v>1</v>
      </c>
      <c r="O591" s="3">
        <v>0</v>
      </c>
      <c r="P591" s="3">
        <v>0</v>
      </c>
      <c r="Q591" s="3">
        <v>0</v>
      </c>
      <c r="R591" s="3">
        <v>82.2</v>
      </c>
      <c r="S591" s="2">
        <v>10.199999999999999</v>
      </c>
      <c r="T591" t="s">
        <v>92</v>
      </c>
      <c r="U591" s="3">
        <v>1</v>
      </c>
      <c r="V591" s="3">
        <v>1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</row>
    <row r="592" spans="1:27">
      <c r="A592" t="s">
        <v>675</v>
      </c>
      <c r="B592" s="3">
        <v>1</v>
      </c>
      <c r="C592" s="3">
        <v>0</v>
      </c>
      <c r="D592" s="1">
        <v>37715</v>
      </c>
      <c r="E592" s="1">
        <v>39082</v>
      </c>
      <c r="F592" s="2">
        <f t="shared" si="9"/>
        <v>3.7426420260095825</v>
      </c>
      <c r="G592" s="3">
        <v>1</v>
      </c>
      <c r="H592" s="3">
        <v>1</v>
      </c>
      <c r="I592" s="3">
        <v>0</v>
      </c>
      <c r="J592" s="3">
        <v>0</v>
      </c>
      <c r="K592" s="3">
        <v>0</v>
      </c>
      <c r="L592" s="3">
        <v>0</v>
      </c>
      <c r="M592" s="3">
        <v>0</v>
      </c>
      <c r="N592" s="3">
        <v>1</v>
      </c>
      <c r="O592" s="3">
        <v>0</v>
      </c>
      <c r="P592" s="3">
        <v>1</v>
      </c>
      <c r="Q592" s="3">
        <v>0</v>
      </c>
      <c r="R592" s="3">
        <v>82.3</v>
      </c>
      <c r="S592" s="2">
        <v>10.4</v>
      </c>
      <c r="T592" t="s">
        <v>28</v>
      </c>
      <c r="U592" s="3">
        <v>1</v>
      </c>
      <c r="V592" s="3">
        <v>1</v>
      </c>
      <c r="W592" s="3">
        <v>1</v>
      </c>
      <c r="X592" s="3">
        <v>1</v>
      </c>
      <c r="Y592" s="3">
        <v>0</v>
      </c>
      <c r="Z592" s="3">
        <v>1</v>
      </c>
      <c r="AA592" s="3">
        <v>0</v>
      </c>
    </row>
    <row r="593" spans="1:27">
      <c r="A593" t="s">
        <v>676</v>
      </c>
      <c r="B593" s="3">
        <v>3</v>
      </c>
      <c r="C593" s="3">
        <v>0</v>
      </c>
      <c r="D593" s="1">
        <v>37295</v>
      </c>
      <c r="E593" s="1">
        <v>39082</v>
      </c>
      <c r="F593" s="2">
        <f t="shared" si="9"/>
        <v>4.8925393566050648</v>
      </c>
      <c r="G593" s="3">
        <v>2</v>
      </c>
      <c r="H593" s="3">
        <v>1</v>
      </c>
      <c r="I593" s="3">
        <v>0</v>
      </c>
      <c r="J593" s="3">
        <v>1</v>
      </c>
      <c r="K593" s="3">
        <v>0</v>
      </c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82.3</v>
      </c>
      <c r="S593" s="2">
        <v>10.9</v>
      </c>
      <c r="T593" t="s">
        <v>677</v>
      </c>
      <c r="U593" s="3">
        <v>0</v>
      </c>
      <c r="V593" s="3">
        <v>0</v>
      </c>
      <c r="W593" s="3">
        <v>0</v>
      </c>
      <c r="X593" s="3">
        <v>0</v>
      </c>
      <c r="Y593" s="3">
        <v>1</v>
      </c>
      <c r="Z593" s="3">
        <v>0</v>
      </c>
      <c r="AA593" s="3">
        <v>0</v>
      </c>
    </row>
    <row r="594" spans="1:27">
      <c r="A594" t="s">
        <v>678</v>
      </c>
      <c r="B594" s="3">
        <v>3</v>
      </c>
      <c r="C594" s="3">
        <v>1</v>
      </c>
      <c r="D594" s="1">
        <v>37266</v>
      </c>
      <c r="E594" s="1">
        <v>39082</v>
      </c>
      <c r="F594" s="2">
        <f t="shared" si="9"/>
        <v>4.9719370294318956</v>
      </c>
      <c r="G594" s="3">
        <v>1</v>
      </c>
      <c r="H594" s="3">
        <v>1</v>
      </c>
      <c r="I594" s="3">
        <v>1</v>
      </c>
      <c r="J594" s="3">
        <v>1</v>
      </c>
      <c r="K594" s="3">
        <v>0</v>
      </c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82.3</v>
      </c>
      <c r="S594" s="2">
        <v>10.9</v>
      </c>
      <c r="T594" t="s">
        <v>28</v>
      </c>
      <c r="U594" s="3">
        <v>1</v>
      </c>
      <c r="V594" s="3">
        <v>0</v>
      </c>
      <c r="W594" s="3">
        <v>1</v>
      </c>
      <c r="X594" s="3">
        <v>1</v>
      </c>
      <c r="Y594" s="3">
        <v>1</v>
      </c>
      <c r="Z594" s="3">
        <v>1</v>
      </c>
      <c r="AA594" s="3">
        <v>0</v>
      </c>
    </row>
    <row r="595" spans="1:27">
      <c r="A595" t="s">
        <v>679</v>
      </c>
      <c r="B595" s="3">
        <v>2</v>
      </c>
      <c r="C595" s="3">
        <v>0</v>
      </c>
      <c r="D595" s="1">
        <v>37775</v>
      </c>
      <c r="E595" s="1">
        <v>39082</v>
      </c>
      <c r="F595" s="2">
        <f t="shared" si="9"/>
        <v>3.5783709787816562</v>
      </c>
      <c r="G595" s="3">
        <v>2</v>
      </c>
      <c r="H595" s="3">
        <v>1</v>
      </c>
      <c r="I595" s="3">
        <v>0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82.4</v>
      </c>
      <c r="S595" s="2">
        <v>10.1</v>
      </c>
      <c r="T595" t="s">
        <v>66</v>
      </c>
      <c r="U595" s="3">
        <v>1</v>
      </c>
      <c r="V595" s="3">
        <v>1</v>
      </c>
      <c r="W595" s="3">
        <v>1</v>
      </c>
      <c r="X595" s="3">
        <v>1</v>
      </c>
      <c r="Y595" s="3">
        <v>0</v>
      </c>
      <c r="Z595" s="3">
        <v>0</v>
      </c>
      <c r="AA595" s="3">
        <v>0</v>
      </c>
    </row>
    <row r="596" spans="1:27">
      <c r="A596" t="s">
        <v>680</v>
      </c>
      <c r="B596" s="3">
        <v>1</v>
      </c>
      <c r="C596" s="3">
        <v>1</v>
      </c>
      <c r="D596" s="1">
        <v>37330</v>
      </c>
      <c r="E596" s="1">
        <v>39082</v>
      </c>
      <c r="F596" s="2">
        <f t="shared" si="9"/>
        <v>4.7967145790554415</v>
      </c>
      <c r="G596" s="3">
        <v>1</v>
      </c>
      <c r="H596" s="3">
        <v>0</v>
      </c>
      <c r="I596" s="3">
        <v>1</v>
      </c>
      <c r="J596" s="3">
        <v>0</v>
      </c>
      <c r="K596" s="3">
        <v>0</v>
      </c>
      <c r="L596" s="3">
        <v>0</v>
      </c>
      <c r="M596" s="3">
        <v>0</v>
      </c>
      <c r="N596" s="3">
        <v>1</v>
      </c>
      <c r="O596" s="3">
        <v>0</v>
      </c>
      <c r="P596" s="3">
        <v>1</v>
      </c>
      <c r="Q596" s="3">
        <v>0</v>
      </c>
      <c r="R596" s="3">
        <v>82.4</v>
      </c>
      <c r="S596" s="2">
        <v>9.9</v>
      </c>
      <c r="T596" t="s">
        <v>681</v>
      </c>
      <c r="U596" s="3">
        <v>0</v>
      </c>
      <c r="V596" s="3">
        <v>1</v>
      </c>
      <c r="W596" s="3">
        <v>0</v>
      </c>
      <c r="X596" s="3">
        <v>0</v>
      </c>
      <c r="Y596" s="3">
        <v>1</v>
      </c>
      <c r="Z596" s="3">
        <v>1</v>
      </c>
      <c r="AA596" s="3">
        <v>0</v>
      </c>
    </row>
    <row r="597" spans="1:27">
      <c r="A597" t="s">
        <v>682</v>
      </c>
      <c r="B597" s="3">
        <v>3</v>
      </c>
      <c r="C597" s="3">
        <v>0</v>
      </c>
      <c r="D597" s="1">
        <v>37610</v>
      </c>
      <c r="E597" s="1">
        <v>39082</v>
      </c>
      <c r="F597" s="2">
        <f t="shared" si="9"/>
        <v>4.0301163586584527</v>
      </c>
      <c r="G597" s="3">
        <v>2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  <c r="M597" s="3">
        <v>0</v>
      </c>
      <c r="N597" s="3">
        <v>1</v>
      </c>
      <c r="O597" s="3">
        <v>0</v>
      </c>
      <c r="P597" s="3">
        <v>1</v>
      </c>
      <c r="Q597" s="3">
        <v>0</v>
      </c>
      <c r="R597" s="3">
        <v>82.5</v>
      </c>
      <c r="S597" s="2">
        <v>11.9</v>
      </c>
      <c r="T597" t="s">
        <v>66</v>
      </c>
      <c r="U597" s="3">
        <v>1</v>
      </c>
      <c r="V597" s="3">
        <v>1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</row>
    <row r="598" spans="1:27">
      <c r="A598" t="s">
        <v>683</v>
      </c>
      <c r="B598" s="3">
        <v>3</v>
      </c>
      <c r="C598" s="3">
        <v>1</v>
      </c>
      <c r="D598" s="1">
        <v>38336</v>
      </c>
      <c r="E598" s="1">
        <v>39082</v>
      </c>
      <c r="F598" s="2">
        <f t="shared" si="9"/>
        <v>2.0424366872005475</v>
      </c>
      <c r="G598" s="3">
        <v>2</v>
      </c>
      <c r="H598" s="3">
        <v>1</v>
      </c>
      <c r="I598" s="3">
        <v>0</v>
      </c>
      <c r="J598" s="3">
        <v>0</v>
      </c>
      <c r="K598" s="3">
        <v>0</v>
      </c>
      <c r="L598" s="3">
        <v>0</v>
      </c>
      <c r="M598" s="3">
        <v>0</v>
      </c>
      <c r="N598" s="3">
        <v>1</v>
      </c>
      <c r="O598" s="3">
        <v>0</v>
      </c>
      <c r="P598" s="3">
        <v>0</v>
      </c>
      <c r="Q598" s="3">
        <v>0</v>
      </c>
      <c r="R598" s="3">
        <v>82.5</v>
      </c>
      <c r="S598" s="2">
        <v>11</v>
      </c>
      <c r="T598" t="s">
        <v>28</v>
      </c>
      <c r="U598" s="3">
        <v>1</v>
      </c>
      <c r="V598" s="3">
        <v>1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</row>
    <row r="599" spans="1:27">
      <c r="A599" t="s">
        <v>684</v>
      </c>
      <c r="B599" s="3">
        <v>3</v>
      </c>
      <c r="C599" s="3">
        <v>1</v>
      </c>
      <c r="D599" s="1">
        <v>38061</v>
      </c>
      <c r="E599" s="1">
        <v>39082</v>
      </c>
      <c r="F599" s="2">
        <f t="shared" si="9"/>
        <v>2.7953456536618755</v>
      </c>
      <c r="G599" s="3">
        <v>2</v>
      </c>
      <c r="H599" s="3">
        <v>1</v>
      </c>
      <c r="I599" s="3">
        <v>0</v>
      </c>
      <c r="J599" s="3">
        <v>0</v>
      </c>
      <c r="K599" s="3">
        <v>0</v>
      </c>
      <c r="L599" s="3">
        <v>0</v>
      </c>
      <c r="M599" s="3">
        <v>0</v>
      </c>
      <c r="N599" s="3">
        <v>0</v>
      </c>
      <c r="O599" s="3">
        <v>0</v>
      </c>
      <c r="P599" s="3">
        <v>1</v>
      </c>
      <c r="Q599" s="3">
        <v>0</v>
      </c>
      <c r="R599" s="3">
        <v>82.5</v>
      </c>
      <c r="S599" s="2">
        <v>10.9</v>
      </c>
      <c r="T599" t="s">
        <v>685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</row>
    <row r="600" spans="1:27">
      <c r="A600" t="s">
        <v>686</v>
      </c>
      <c r="B600" s="3">
        <v>3</v>
      </c>
      <c r="C600" s="3">
        <v>0</v>
      </c>
      <c r="D600" s="1">
        <v>37530</v>
      </c>
      <c r="E600" s="1">
        <v>39082</v>
      </c>
      <c r="F600" s="2">
        <f t="shared" si="9"/>
        <v>4.2491444216290208</v>
      </c>
      <c r="G600" s="3">
        <v>1</v>
      </c>
      <c r="H600" s="3">
        <v>1</v>
      </c>
      <c r="I600" s="3">
        <v>0</v>
      </c>
      <c r="J600" s="3">
        <v>1</v>
      </c>
      <c r="K600" s="3">
        <v>0</v>
      </c>
      <c r="L600" s="3">
        <v>0</v>
      </c>
      <c r="M600" s="3">
        <v>0</v>
      </c>
      <c r="N600" s="3">
        <v>1</v>
      </c>
      <c r="O600" s="3">
        <v>0</v>
      </c>
      <c r="P600" s="3">
        <v>1</v>
      </c>
      <c r="Q600" s="3">
        <v>0</v>
      </c>
      <c r="R600" s="3">
        <v>82.5</v>
      </c>
      <c r="S600" s="2">
        <v>11.2</v>
      </c>
      <c r="T600" t="s">
        <v>28</v>
      </c>
      <c r="U600" s="3">
        <v>1</v>
      </c>
      <c r="V600" s="3">
        <v>1</v>
      </c>
      <c r="W600" s="3">
        <v>1</v>
      </c>
      <c r="X600" s="3">
        <v>1</v>
      </c>
      <c r="Y600" s="3">
        <v>0</v>
      </c>
      <c r="Z600" s="3">
        <v>1</v>
      </c>
      <c r="AA600" s="3">
        <v>0</v>
      </c>
    </row>
    <row r="601" spans="1:27">
      <c r="A601" t="s">
        <v>687</v>
      </c>
      <c r="B601" s="3">
        <v>1</v>
      </c>
      <c r="C601" s="3">
        <v>0</v>
      </c>
      <c r="D601" s="1">
        <v>37748</v>
      </c>
      <c r="E601" s="1">
        <v>39082</v>
      </c>
      <c r="F601" s="2">
        <f t="shared" si="9"/>
        <v>3.6522929500342229</v>
      </c>
      <c r="G601" s="3">
        <v>1</v>
      </c>
      <c r="H601" s="3">
        <v>1</v>
      </c>
      <c r="I601" s="3">
        <v>1</v>
      </c>
      <c r="J601" s="3">
        <v>0</v>
      </c>
      <c r="K601" s="3">
        <v>0</v>
      </c>
      <c r="L601" s="3">
        <v>1</v>
      </c>
      <c r="M601" s="3">
        <v>0</v>
      </c>
      <c r="N601" s="3">
        <v>1</v>
      </c>
      <c r="O601" s="3">
        <v>1</v>
      </c>
      <c r="P601" s="3">
        <v>1</v>
      </c>
      <c r="Q601" s="3">
        <v>0</v>
      </c>
      <c r="R601" s="3">
        <v>82.5</v>
      </c>
      <c r="S601" s="2">
        <v>10.6</v>
      </c>
      <c r="T601" t="s">
        <v>44</v>
      </c>
      <c r="U601" s="3">
        <v>1</v>
      </c>
      <c r="V601" s="3">
        <v>1</v>
      </c>
      <c r="W601" s="3">
        <v>1</v>
      </c>
      <c r="X601" s="3">
        <v>1</v>
      </c>
      <c r="Y601" s="3">
        <v>0</v>
      </c>
      <c r="Z601" s="3">
        <v>1</v>
      </c>
      <c r="AA601" s="3">
        <v>0</v>
      </c>
    </row>
    <row r="602" spans="1:27">
      <c r="A602" t="s">
        <v>688</v>
      </c>
      <c r="B602" s="3">
        <v>1</v>
      </c>
      <c r="C602" s="3">
        <v>0</v>
      </c>
      <c r="D602" s="1">
        <v>37531</v>
      </c>
      <c r="E602" s="1">
        <v>39082</v>
      </c>
      <c r="F602" s="2">
        <f t="shared" si="9"/>
        <v>4.2464065708418888</v>
      </c>
      <c r="G602" s="3">
        <v>2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  <c r="M602" s="3">
        <v>0</v>
      </c>
      <c r="N602" s="3">
        <v>1</v>
      </c>
      <c r="O602" s="3">
        <v>0</v>
      </c>
      <c r="P602" s="3">
        <v>1</v>
      </c>
      <c r="Q602" s="3">
        <v>0</v>
      </c>
      <c r="R602" s="3">
        <v>82.6</v>
      </c>
      <c r="S602" s="2">
        <v>11.5</v>
      </c>
      <c r="T602" t="s">
        <v>689</v>
      </c>
      <c r="U602" s="3">
        <v>1</v>
      </c>
      <c r="V602" s="3">
        <v>1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</row>
    <row r="603" spans="1:27">
      <c r="A603" t="s">
        <v>119</v>
      </c>
      <c r="B603" s="3">
        <v>2</v>
      </c>
      <c r="C603" s="3">
        <v>1</v>
      </c>
      <c r="D603" s="1">
        <v>37694</v>
      </c>
      <c r="E603" s="1">
        <v>39082</v>
      </c>
      <c r="F603" s="2">
        <f t="shared" si="9"/>
        <v>3.8001368925393568</v>
      </c>
      <c r="G603" s="3">
        <v>1</v>
      </c>
      <c r="H603" s="3">
        <v>1</v>
      </c>
      <c r="I603" s="3">
        <v>0</v>
      </c>
      <c r="J603" s="3">
        <v>0</v>
      </c>
      <c r="K603" s="3">
        <v>0</v>
      </c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82.6</v>
      </c>
      <c r="S603" s="2">
        <v>9.4</v>
      </c>
      <c r="T603" t="s">
        <v>50</v>
      </c>
      <c r="U603" s="3">
        <v>0</v>
      </c>
      <c r="V603" s="3">
        <v>0</v>
      </c>
      <c r="W603" s="3">
        <v>1</v>
      </c>
      <c r="X603" s="3">
        <v>1</v>
      </c>
      <c r="Y603" s="3">
        <v>0</v>
      </c>
      <c r="Z603" s="3">
        <v>1</v>
      </c>
      <c r="AA603" s="3">
        <v>0</v>
      </c>
    </row>
    <row r="604" spans="1:27">
      <c r="A604" t="s">
        <v>690</v>
      </c>
      <c r="B604" s="3">
        <v>2</v>
      </c>
      <c r="C604" s="3">
        <v>1</v>
      </c>
      <c r="D604" s="1">
        <v>37444</v>
      </c>
      <c r="E604" s="1">
        <v>39082</v>
      </c>
      <c r="F604" s="2">
        <f t="shared" si="9"/>
        <v>4.4845995893223822</v>
      </c>
      <c r="G604" s="3">
        <v>2</v>
      </c>
      <c r="H604" s="3">
        <v>1</v>
      </c>
      <c r="I604" s="3">
        <v>1</v>
      </c>
      <c r="J604" s="3">
        <v>0</v>
      </c>
      <c r="K604" s="3">
        <v>0</v>
      </c>
      <c r="L604" s="3">
        <v>0</v>
      </c>
      <c r="M604" s="3">
        <v>0</v>
      </c>
      <c r="N604" s="3">
        <v>1</v>
      </c>
      <c r="O604" s="3">
        <v>1</v>
      </c>
      <c r="P604" s="3">
        <v>0</v>
      </c>
      <c r="Q604" s="3">
        <v>0</v>
      </c>
      <c r="R604" s="3">
        <v>82.6</v>
      </c>
      <c r="S604" s="2">
        <v>8.9</v>
      </c>
      <c r="T604" t="s">
        <v>28</v>
      </c>
      <c r="U604" s="3">
        <v>1</v>
      </c>
      <c r="V604" s="3">
        <v>1</v>
      </c>
      <c r="W604" s="3">
        <v>1</v>
      </c>
      <c r="X604" s="3">
        <v>0</v>
      </c>
      <c r="Y604" s="3">
        <v>1</v>
      </c>
      <c r="Z604" s="3">
        <v>0</v>
      </c>
      <c r="AA604" s="3">
        <v>0</v>
      </c>
    </row>
    <row r="605" spans="1:27">
      <c r="A605" t="s">
        <v>691</v>
      </c>
      <c r="B605" s="3">
        <v>2</v>
      </c>
      <c r="C605" s="3">
        <v>0</v>
      </c>
      <c r="D605" s="1">
        <v>37301</v>
      </c>
      <c r="E605" s="1">
        <v>39082</v>
      </c>
      <c r="F605" s="2">
        <f t="shared" si="9"/>
        <v>4.8761122518822724</v>
      </c>
      <c r="G605" s="3">
        <v>1</v>
      </c>
      <c r="H605" s="3">
        <v>1</v>
      </c>
      <c r="I605" s="3">
        <v>1</v>
      </c>
      <c r="J605" s="3">
        <v>0</v>
      </c>
      <c r="K605" s="3">
        <v>0</v>
      </c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82.7</v>
      </c>
      <c r="S605" s="2">
        <v>12.7</v>
      </c>
      <c r="T605" t="s">
        <v>401</v>
      </c>
      <c r="U605" s="3">
        <v>1</v>
      </c>
      <c r="V605" s="3">
        <v>1</v>
      </c>
      <c r="W605" s="3">
        <v>0</v>
      </c>
      <c r="X605" s="3">
        <v>0</v>
      </c>
      <c r="Y605" s="3">
        <v>0</v>
      </c>
      <c r="Z605" s="3">
        <v>1</v>
      </c>
      <c r="AA605" s="3">
        <v>0</v>
      </c>
    </row>
    <row r="606" spans="1:27">
      <c r="A606" t="s">
        <v>692</v>
      </c>
      <c r="B606" s="3">
        <v>1</v>
      </c>
      <c r="C606" s="3">
        <v>0</v>
      </c>
      <c r="D606" s="1">
        <v>37305</v>
      </c>
      <c r="E606" s="1">
        <v>39082</v>
      </c>
      <c r="F606" s="2">
        <f t="shared" si="9"/>
        <v>4.8651608487337441</v>
      </c>
      <c r="G606" s="3">
        <v>1</v>
      </c>
      <c r="H606" s="3">
        <v>0</v>
      </c>
      <c r="I606" s="3">
        <v>0</v>
      </c>
      <c r="J606" s="3">
        <v>0</v>
      </c>
      <c r="K606" s="3">
        <v>0</v>
      </c>
      <c r="L606" s="3">
        <v>1</v>
      </c>
      <c r="M606" s="3">
        <v>1</v>
      </c>
      <c r="N606" s="3">
        <v>1</v>
      </c>
      <c r="O606" s="3">
        <v>1</v>
      </c>
      <c r="P606" s="3">
        <v>1</v>
      </c>
      <c r="Q606" s="3">
        <v>0</v>
      </c>
      <c r="R606" s="3">
        <v>82.8</v>
      </c>
      <c r="S606" s="2">
        <v>11.6</v>
      </c>
      <c r="T606" t="s">
        <v>28</v>
      </c>
      <c r="U606" s="3">
        <v>1</v>
      </c>
      <c r="V606" s="3">
        <v>1</v>
      </c>
      <c r="W606" s="3">
        <v>1</v>
      </c>
      <c r="X606" s="3">
        <v>0</v>
      </c>
      <c r="Y606" s="3">
        <v>0</v>
      </c>
      <c r="Z606" s="3">
        <v>1</v>
      </c>
      <c r="AA606" s="3">
        <v>0</v>
      </c>
    </row>
    <row r="607" spans="1:27">
      <c r="A607" t="s">
        <v>693</v>
      </c>
      <c r="B607" s="3">
        <v>2</v>
      </c>
      <c r="C607" s="3">
        <v>0</v>
      </c>
      <c r="D607" s="1">
        <v>37695</v>
      </c>
      <c r="E607" s="1">
        <v>39082</v>
      </c>
      <c r="F607" s="2">
        <f t="shared" si="9"/>
        <v>3.7973990417522243</v>
      </c>
      <c r="G607" s="3">
        <v>1</v>
      </c>
      <c r="H607" s="3">
        <v>1</v>
      </c>
      <c r="I607" s="3">
        <v>0</v>
      </c>
      <c r="J607" s="3">
        <v>0</v>
      </c>
      <c r="K607" s="3">
        <v>0</v>
      </c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82.8</v>
      </c>
      <c r="S607" s="2">
        <v>10.6</v>
      </c>
      <c r="T607" t="s">
        <v>28</v>
      </c>
      <c r="U607" s="3">
        <v>1</v>
      </c>
      <c r="V607" s="3">
        <v>1</v>
      </c>
      <c r="W607" s="3">
        <v>0</v>
      </c>
      <c r="X607" s="3">
        <v>0</v>
      </c>
      <c r="Y607" s="3">
        <v>0</v>
      </c>
      <c r="Z607" s="3">
        <v>1</v>
      </c>
      <c r="AA607" s="3">
        <v>0</v>
      </c>
    </row>
    <row r="608" spans="1:27">
      <c r="A608" t="s">
        <v>694</v>
      </c>
      <c r="B608" s="3">
        <v>3</v>
      </c>
      <c r="C608" s="3">
        <v>0</v>
      </c>
      <c r="D608" s="1">
        <v>38007</v>
      </c>
      <c r="E608" s="1">
        <v>39082</v>
      </c>
      <c r="F608" s="2">
        <f t="shared" si="9"/>
        <v>2.9431895961670089</v>
      </c>
      <c r="G608" s="3">
        <v>1</v>
      </c>
      <c r="H608" s="3">
        <v>1</v>
      </c>
      <c r="I608" s="3">
        <v>0</v>
      </c>
      <c r="J608" s="3">
        <v>0</v>
      </c>
      <c r="K608" s="3">
        <v>0</v>
      </c>
      <c r="L608" s="3">
        <v>0</v>
      </c>
      <c r="M608" s="3">
        <v>0</v>
      </c>
      <c r="N608" s="3">
        <v>1</v>
      </c>
      <c r="O608" s="3">
        <v>0</v>
      </c>
      <c r="P608" s="3">
        <v>1</v>
      </c>
      <c r="Q608" s="3">
        <v>0</v>
      </c>
      <c r="R608" s="3">
        <v>82.8</v>
      </c>
      <c r="S608" s="2">
        <v>10.1</v>
      </c>
      <c r="T608" t="s">
        <v>28</v>
      </c>
      <c r="U608" s="3">
        <v>0</v>
      </c>
      <c r="V608" s="3">
        <v>1</v>
      </c>
      <c r="W608" s="3">
        <v>0</v>
      </c>
      <c r="X608" s="3">
        <v>0</v>
      </c>
      <c r="Y608" s="3">
        <v>1</v>
      </c>
      <c r="Z608" s="3">
        <v>1</v>
      </c>
      <c r="AA608" s="3">
        <v>0</v>
      </c>
    </row>
    <row r="609" spans="1:27">
      <c r="A609" t="s">
        <v>564</v>
      </c>
      <c r="B609" s="3">
        <v>3</v>
      </c>
      <c r="C609" s="3">
        <v>0</v>
      </c>
      <c r="D609" s="1">
        <v>37834</v>
      </c>
      <c r="E609" s="1">
        <v>39082</v>
      </c>
      <c r="F609" s="2">
        <f t="shared" si="9"/>
        <v>3.4168377823408624</v>
      </c>
      <c r="G609" s="3">
        <v>2</v>
      </c>
      <c r="H609" s="3">
        <v>1</v>
      </c>
      <c r="I609" s="3">
        <v>0</v>
      </c>
      <c r="J609" s="3">
        <v>0</v>
      </c>
      <c r="K609" s="3">
        <v>0</v>
      </c>
      <c r="L609" s="3">
        <v>0</v>
      </c>
      <c r="M609" s="3">
        <v>0</v>
      </c>
      <c r="N609" s="3">
        <v>0</v>
      </c>
      <c r="O609" s="3">
        <v>0</v>
      </c>
      <c r="P609" s="3">
        <v>1</v>
      </c>
      <c r="Q609" s="3">
        <v>0</v>
      </c>
      <c r="R609" s="3">
        <v>82.8</v>
      </c>
      <c r="S609" s="2">
        <v>11.4</v>
      </c>
      <c r="T609" t="s">
        <v>46</v>
      </c>
      <c r="U609" s="3">
        <v>1</v>
      </c>
      <c r="V609" s="3">
        <v>1</v>
      </c>
      <c r="W609" s="3">
        <v>0</v>
      </c>
      <c r="X609" s="3">
        <v>0</v>
      </c>
      <c r="Y609" s="3">
        <v>1</v>
      </c>
      <c r="Z609" s="3">
        <v>0</v>
      </c>
      <c r="AA609" s="3">
        <v>0</v>
      </c>
    </row>
    <row r="610" spans="1:27">
      <c r="A610" t="s">
        <v>695</v>
      </c>
      <c r="B610" s="3">
        <v>1</v>
      </c>
      <c r="C610" s="3">
        <v>0</v>
      </c>
      <c r="D610" s="1">
        <v>38311</v>
      </c>
      <c r="E610" s="1">
        <v>39082</v>
      </c>
      <c r="F610" s="2">
        <f t="shared" si="9"/>
        <v>2.1108829568788501</v>
      </c>
      <c r="G610" s="3">
        <v>2</v>
      </c>
      <c r="H610" s="3">
        <v>1</v>
      </c>
      <c r="I610" s="3">
        <v>1</v>
      </c>
      <c r="J610" s="3">
        <v>0</v>
      </c>
      <c r="K610" s="3">
        <v>0</v>
      </c>
      <c r="L610" s="3">
        <v>1</v>
      </c>
      <c r="M610" s="3">
        <v>0</v>
      </c>
      <c r="N610" s="3">
        <v>1</v>
      </c>
      <c r="O610" s="3">
        <v>0</v>
      </c>
      <c r="P610" s="3">
        <v>1</v>
      </c>
      <c r="Q610" s="3">
        <v>0</v>
      </c>
      <c r="R610" s="3">
        <v>82.8</v>
      </c>
      <c r="S610" s="2">
        <v>10.199999999999999</v>
      </c>
      <c r="T610" t="s">
        <v>28</v>
      </c>
      <c r="U610" s="3">
        <v>1</v>
      </c>
      <c r="V610" s="3">
        <v>1</v>
      </c>
      <c r="W610" s="3">
        <v>1</v>
      </c>
      <c r="X610" s="3">
        <v>1</v>
      </c>
      <c r="Y610" s="3">
        <v>0</v>
      </c>
      <c r="Z610" s="3">
        <v>0</v>
      </c>
      <c r="AA610" s="3">
        <v>0</v>
      </c>
    </row>
    <row r="611" spans="1:27">
      <c r="A611" t="s">
        <v>696</v>
      </c>
      <c r="B611" s="3">
        <v>2</v>
      </c>
      <c r="C611" s="3">
        <v>0</v>
      </c>
      <c r="D611" s="1">
        <v>37174</v>
      </c>
      <c r="E611" s="1">
        <v>39082</v>
      </c>
      <c r="F611" s="2">
        <f t="shared" si="9"/>
        <v>5.2238193018480494</v>
      </c>
      <c r="G611" s="3">
        <v>2</v>
      </c>
      <c r="H611" s="3">
        <v>1</v>
      </c>
      <c r="I611" s="3">
        <v>0</v>
      </c>
      <c r="J611" s="3">
        <v>0</v>
      </c>
      <c r="K611" s="3">
        <v>0</v>
      </c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82.9</v>
      </c>
      <c r="S611" s="2">
        <v>10.1</v>
      </c>
      <c r="T611" t="s">
        <v>28</v>
      </c>
      <c r="U611" s="3">
        <v>1</v>
      </c>
      <c r="V611" s="3">
        <v>1</v>
      </c>
      <c r="W611" s="3">
        <v>1</v>
      </c>
      <c r="X611" s="3">
        <v>0</v>
      </c>
      <c r="Y611" s="3">
        <v>0</v>
      </c>
      <c r="Z611" s="3">
        <v>0</v>
      </c>
      <c r="AA611" s="3">
        <v>0</v>
      </c>
    </row>
    <row r="612" spans="1:27">
      <c r="A612" t="s">
        <v>697</v>
      </c>
      <c r="B612" s="3">
        <v>2</v>
      </c>
      <c r="C612" s="3">
        <v>0</v>
      </c>
      <c r="D612" s="1">
        <v>37310</v>
      </c>
      <c r="E612" s="1">
        <v>39082</v>
      </c>
      <c r="F612" s="2">
        <f t="shared" si="9"/>
        <v>4.8514715947980838</v>
      </c>
      <c r="G612" s="3">
        <v>2</v>
      </c>
      <c r="H612" s="3">
        <v>1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82.9</v>
      </c>
      <c r="S612" s="2">
        <v>9.6</v>
      </c>
      <c r="T612" t="s">
        <v>28</v>
      </c>
      <c r="U612" s="3">
        <v>1</v>
      </c>
      <c r="V612" s="3">
        <v>1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</row>
    <row r="613" spans="1:27">
      <c r="A613" t="s">
        <v>698</v>
      </c>
      <c r="B613" s="3">
        <v>3</v>
      </c>
      <c r="C613" s="3">
        <v>1</v>
      </c>
      <c r="D613" s="1">
        <v>37248</v>
      </c>
      <c r="E613" s="1">
        <v>39082</v>
      </c>
      <c r="F613" s="2">
        <f t="shared" si="9"/>
        <v>5.0212183436002737</v>
      </c>
      <c r="G613" s="3">
        <v>2</v>
      </c>
      <c r="H613" s="3">
        <v>1</v>
      </c>
      <c r="I613" s="3">
        <v>0</v>
      </c>
      <c r="J613" s="3">
        <v>0</v>
      </c>
      <c r="K613" s="3">
        <v>0</v>
      </c>
      <c r="L613" s="3">
        <v>0</v>
      </c>
      <c r="M613" s="3">
        <v>0</v>
      </c>
      <c r="N613" s="3">
        <v>1</v>
      </c>
      <c r="O613" s="3">
        <v>0</v>
      </c>
      <c r="P613" s="3">
        <v>1</v>
      </c>
      <c r="Q613" s="3">
        <v>0</v>
      </c>
      <c r="R613" s="3">
        <v>82.9</v>
      </c>
      <c r="S613" s="2">
        <v>11.5</v>
      </c>
      <c r="T613" t="s">
        <v>28</v>
      </c>
      <c r="U613" s="3">
        <v>1</v>
      </c>
      <c r="V613" s="3">
        <v>1</v>
      </c>
      <c r="W613" s="3">
        <v>1</v>
      </c>
      <c r="X613" s="3">
        <v>1</v>
      </c>
      <c r="Y613" s="3">
        <v>0</v>
      </c>
      <c r="Z613" s="3">
        <v>0</v>
      </c>
      <c r="AA613" s="3">
        <v>0</v>
      </c>
    </row>
    <row r="614" spans="1:27">
      <c r="A614" t="s">
        <v>699</v>
      </c>
      <c r="B614" s="3">
        <v>3</v>
      </c>
      <c r="C614" s="3">
        <v>0</v>
      </c>
      <c r="D614" s="1">
        <v>38231</v>
      </c>
      <c r="E614" s="1">
        <v>39082</v>
      </c>
      <c r="F614" s="2">
        <f t="shared" si="9"/>
        <v>2.3299110198494182</v>
      </c>
      <c r="G614" s="3">
        <v>2</v>
      </c>
      <c r="H614" s="3">
        <v>1</v>
      </c>
      <c r="I614" s="3">
        <v>0</v>
      </c>
      <c r="J614" s="3">
        <v>1</v>
      </c>
      <c r="K614" s="3">
        <v>0</v>
      </c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82.9</v>
      </c>
      <c r="S614" s="2">
        <v>11</v>
      </c>
      <c r="T614" t="s">
        <v>28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</row>
    <row r="615" spans="1:27">
      <c r="A615" t="s">
        <v>700</v>
      </c>
      <c r="B615" s="3">
        <v>3</v>
      </c>
      <c r="C615" s="3">
        <v>0</v>
      </c>
      <c r="D615" s="1">
        <v>37349</v>
      </c>
      <c r="E615" s="1">
        <v>39082</v>
      </c>
      <c r="F615" s="2">
        <f t="shared" si="9"/>
        <v>4.7446954140999313</v>
      </c>
      <c r="G615" s="3">
        <v>1</v>
      </c>
      <c r="H615" s="3">
        <v>0</v>
      </c>
      <c r="I615" s="3">
        <v>1</v>
      </c>
      <c r="J615" s="3">
        <v>1</v>
      </c>
      <c r="K615" s="3">
        <v>0</v>
      </c>
      <c r="L615" s="3">
        <v>0</v>
      </c>
      <c r="M615" s="3">
        <v>0</v>
      </c>
      <c r="N615" s="3">
        <v>1</v>
      </c>
      <c r="O615" s="3">
        <v>0</v>
      </c>
      <c r="P615" s="3">
        <v>0</v>
      </c>
      <c r="Q615" s="3">
        <v>0</v>
      </c>
      <c r="R615" s="3">
        <v>82.9</v>
      </c>
      <c r="S615" s="2">
        <v>11</v>
      </c>
      <c r="T615" t="s">
        <v>172</v>
      </c>
      <c r="U615" s="3">
        <v>0</v>
      </c>
      <c r="V615" s="3">
        <v>1</v>
      </c>
      <c r="W615" s="3">
        <v>1</v>
      </c>
      <c r="X615" s="3">
        <v>1</v>
      </c>
      <c r="Y615" s="3">
        <v>0</v>
      </c>
      <c r="Z615" s="3">
        <v>1</v>
      </c>
      <c r="AA615" s="3">
        <v>0</v>
      </c>
    </row>
    <row r="616" spans="1:27">
      <c r="A616" t="s">
        <v>701</v>
      </c>
      <c r="B616" s="3">
        <v>2</v>
      </c>
      <c r="C616" s="3">
        <v>0</v>
      </c>
      <c r="D616" s="1">
        <v>37519</v>
      </c>
      <c r="E616" s="1">
        <v>39082</v>
      </c>
      <c r="F616" s="2">
        <f t="shared" si="9"/>
        <v>4.2792607802874745</v>
      </c>
      <c r="G616" s="3">
        <v>1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  <c r="M616" s="3">
        <v>0</v>
      </c>
      <c r="N616" s="3">
        <v>1</v>
      </c>
      <c r="O616" s="3">
        <v>0</v>
      </c>
      <c r="P616" s="3">
        <v>0</v>
      </c>
      <c r="Q616" s="3">
        <v>0</v>
      </c>
      <c r="R616" s="3">
        <v>83</v>
      </c>
      <c r="S616" s="2">
        <v>10.3</v>
      </c>
      <c r="T616" t="s">
        <v>28</v>
      </c>
      <c r="U616" s="3">
        <v>1</v>
      </c>
      <c r="V616" s="3">
        <v>1</v>
      </c>
      <c r="W616" s="3">
        <v>1</v>
      </c>
      <c r="X616" s="3">
        <v>1</v>
      </c>
      <c r="Y616" s="3">
        <v>1</v>
      </c>
      <c r="Z616" s="3">
        <v>1</v>
      </c>
      <c r="AA616" s="3">
        <v>0</v>
      </c>
    </row>
    <row r="617" spans="1:27">
      <c r="A617" t="s">
        <v>702</v>
      </c>
      <c r="B617" s="3">
        <v>1</v>
      </c>
      <c r="C617" s="3">
        <v>0</v>
      </c>
      <c r="D617" s="1">
        <v>37717</v>
      </c>
      <c r="E617" s="1">
        <v>39082</v>
      </c>
      <c r="F617" s="2">
        <f t="shared" si="9"/>
        <v>3.7371663244353184</v>
      </c>
      <c r="G617" s="3">
        <v>1</v>
      </c>
      <c r="H617" s="3">
        <v>1</v>
      </c>
      <c r="I617" s="3">
        <v>0</v>
      </c>
      <c r="J617" s="3">
        <v>0</v>
      </c>
      <c r="K617" s="3">
        <v>0</v>
      </c>
      <c r="L617" s="3">
        <v>0</v>
      </c>
      <c r="M617" s="3">
        <v>0</v>
      </c>
      <c r="N617" s="3">
        <v>1</v>
      </c>
      <c r="O617" s="3">
        <v>0</v>
      </c>
      <c r="P617" s="3">
        <v>1</v>
      </c>
      <c r="Q617" s="3">
        <v>0</v>
      </c>
      <c r="R617" s="3">
        <v>83</v>
      </c>
      <c r="S617" s="2">
        <v>10.4</v>
      </c>
      <c r="T617" t="s">
        <v>28</v>
      </c>
      <c r="U617" s="3">
        <v>1</v>
      </c>
      <c r="V617" s="3">
        <v>1</v>
      </c>
      <c r="W617" s="3">
        <v>0</v>
      </c>
      <c r="X617" s="3">
        <v>0</v>
      </c>
      <c r="Y617" s="3">
        <v>0</v>
      </c>
      <c r="Z617" s="3">
        <v>1</v>
      </c>
      <c r="AA617" s="3">
        <v>0</v>
      </c>
    </row>
    <row r="618" spans="1:27">
      <c r="A618" t="s">
        <v>703</v>
      </c>
      <c r="B618" s="3">
        <v>2</v>
      </c>
      <c r="C618" s="3">
        <v>0</v>
      </c>
      <c r="D618" s="1">
        <v>37585</v>
      </c>
      <c r="E618" s="1">
        <v>39082</v>
      </c>
      <c r="F618" s="2">
        <f t="shared" si="9"/>
        <v>4.0985626283367553</v>
      </c>
      <c r="G618" s="3">
        <v>2</v>
      </c>
      <c r="H618" s="3">
        <v>1</v>
      </c>
      <c r="I618" s="3">
        <v>0</v>
      </c>
      <c r="J618" s="3">
        <v>0</v>
      </c>
      <c r="K618" s="3">
        <v>0</v>
      </c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83</v>
      </c>
      <c r="S618" s="2">
        <v>8.6999999999999993</v>
      </c>
      <c r="T618" t="s">
        <v>123</v>
      </c>
      <c r="U618" s="3">
        <v>1</v>
      </c>
      <c r="V618" s="3">
        <v>1</v>
      </c>
      <c r="W618" s="3">
        <v>0</v>
      </c>
      <c r="X618" s="3">
        <v>0</v>
      </c>
      <c r="Y618" s="3">
        <v>1</v>
      </c>
      <c r="Z618" s="3">
        <v>0</v>
      </c>
      <c r="AA618" s="3">
        <v>0</v>
      </c>
    </row>
    <row r="619" spans="1:27">
      <c r="A619" t="s">
        <v>704</v>
      </c>
      <c r="B619" s="3">
        <v>1</v>
      </c>
      <c r="C619" s="3">
        <v>0</v>
      </c>
      <c r="D619" s="1">
        <v>37704</v>
      </c>
      <c r="E619" s="1">
        <v>39082</v>
      </c>
      <c r="F619" s="2">
        <f t="shared" si="9"/>
        <v>3.7727583846680357</v>
      </c>
      <c r="G619" s="3">
        <v>2</v>
      </c>
      <c r="H619" s="3">
        <v>1</v>
      </c>
      <c r="I619" s="3">
        <v>0</v>
      </c>
      <c r="J619" s="3">
        <v>1</v>
      </c>
      <c r="K619" s="3">
        <v>0</v>
      </c>
      <c r="L619" s="3">
        <v>0</v>
      </c>
      <c r="M619" s="3">
        <v>0</v>
      </c>
      <c r="N619" s="3">
        <v>1</v>
      </c>
      <c r="O619" s="3">
        <v>1</v>
      </c>
      <c r="P619" s="3">
        <v>1</v>
      </c>
      <c r="Q619" s="3">
        <v>0</v>
      </c>
      <c r="R619" s="3">
        <v>83</v>
      </c>
      <c r="S619" s="2">
        <v>10</v>
      </c>
      <c r="T619" t="s">
        <v>28</v>
      </c>
      <c r="U619" s="3">
        <v>1</v>
      </c>
      <c r="V619" s="3">
        <v>1</v>
      </c>
      <c r="W619" s="3">
        <v>1</v>
      </c>
      <c r="X619" s="3">
        <v>0</v>
      </c>
      <c r="Y619" s="3">
        <v>0</v>
      </c>
      <c r="Z619" s="3">
        <v>0</v>
      </c>
      <c r="AA619" s="3">
        <v>0</v>
      </c>
    </row>
    <row r="620" spans="1:27">
      <c r="A620" t="s">
        <v>705</v>
      </c>
      <c r="B620" s="3">
        <v>1</v>
      </c>
      <c r="C620" s="3">
        <v>0</v>
      </c>
      <c r="D620" s="1">
        <v>37636</v>
      </c>
      <c r="E620" s="1">
        <v>39082</v>
      </c>
      <c r="F620" s="2">
        <f t="shared" si="9"/>
        <v>3.9589322381930185</v>
      </c>
      <c r="G620" s="3">
        <v>1</v>
      </c>
      <c r="H620" s="3">
        <v>0</v>
      </c>
      <c r="I620" s="3">
        <v>1</v>
      </c>
      <c r="J620" s="3">
        <v>0</v>
      </c>
      <c r="K620" s="3">
        <v>0</v>
      </c>
      <c r="L620" s="3">
        <v>0</v>
      </c>
      <c r="M620" s="3">
        <v>0</v>
      </c>
      <c r="N620" s="3">
        <v>1</v>
      </c>
      <c r="O620" s="3">
        <v>0</v>
      </c>
      <c r="P620" s="3">
        <v>0</v>
      </c>
      <c r="Q620" s="3">
        <v>0</v>
      </c>
      <c r="R620" s="3">
        <v>83</v>
      </c>
      <c r="S620" s="2">
        <v>10.3</v>
      </c>
      <c r="T620" t="s">
        <v>28</v>
      </c>
      <c r="U620" s="3">
        <v>1</v>
      </c>
      <c r="V620" s="3">
        <v>1</v>
      </c>
      <c r="W620" s="3">
        <v>0</v>
      </c>
      <c r="X620" s="3">
        <v>0</v>
      </c>
      <c r="Y620" s="3">
        <v>0</v>
      </c>
      <c r="Z620" s="3">
        <v>1</v>
      </c>
      <c r="AA620" s="3">
        <v>0</v>
      </c>
    </row>
    <row r="621" spans="1:27">
      <c r="A621" t="s">
        <v>706</v>
      </c>
      <c r="B621" s="3">
        <v>1</v>
      </c>
      <c r="C621" s="3">
        <v>0</v>
      </c>
      <c r="D621" s="1">
        <v>37600</v>
      </c>
      <c r="E621" s="1">
        <v>39082</v>
      </c>
      <c r="F621" s="2">
        <f t="shared" si="9"/>
        <v>4.0574948665297743</v>
      </c>
      <c r="G621" s="3">
        <v>1</v>
      </c>
      <c r="H621" s="3">
        <v>1</v>
      </c>
      <c r="I621" s="3">
        <v>1</v>
      </c>
      <c r="J621" s="3">
        <v>0</v>
      </c>
      <c r="K621" s="3">
        <v>0</v>
      </c>
      <c r="L621" s="3">
        <v>0</v>
      </c>
      <c r="M621" s="3">
        <v>0</v>
      </c>
      <c r="N621" s="3">
        <v>1</v>
      </c>
      <c r="O621" s="3">
        <v>0</v>
      </c>
      <c r="P621" s="3">
        <v>1</v>
      </c>
      <c r="Q621" s="3">
        <v>0</v>
      </c>
      <c r="R621" s="3">
        <v>83</v>
      </c>
      <c r="S621" s="2">
        <v>10.4</v>
      </c>
      <c r="T621" t="s">
        <v>28</v>
      </c>
      <c r="U621" s="3">
        <v>1</v>
      </c>
      <c r="V621" s="3">
        <v>1</v>
      </c>
      <c r="W621" s="3">
        <v>0</v>
      </c>
      <c r="X621" s="3">
        <v>0</v>
      </c>
      <c r="Y621" s="3">
        <v>0</v>
      </c>
      <c r="Z621" s="3">
        <v>1</v>
      </c>
      <c r="AA621" s="3">
        <v>0</v>
      </c>
    </row>
    <row r="622" spans="1:27">
      <c r="A622" t="s">
        <v>707</v>
      </c>
      <c r="B622" s="3">
        <v>3</v>
      </c>
      <c r="C622" s="3">
        <v>1</v>
      </c>
      <c r="D622" s="1">
        <v>38346</v>
      </c>
      <c r="E622" s="1">
        <v>39082</v>
      </c>
      <c r="F622" s="2">
        <f t="shared" si="9"/>
        <v>2.0150581793292264</v>
      </c>
      <c r="G622" s="3">
        <v>1</v>
      </c>
      <c r="H622" s="3">
        <v>1</v>
      </c>
      <c r="I622" s="3">
        <v>1</v>
      </c>
      <c r="J622" s="3">
        <v>1</v>
      </c>
      <c r="K622" s="3">
        <v>0</v>
      </c>
      <c r="L622" s="3">
        <v>0</v>
      </c>
      <c r="M622" s="3">
        <v>0</v>
      </c>
      <c r="N622" s="3">
        <v>1</v>
      </c>
      <c r="O622" s="3">
        <v>0</v>
      </c>
      <c r="P622" s="3">
        <v>1</v>
      </c>
      <c r="Q622" s="3">
        <v>0</v>
      </c>
      <c r="R622" s="3">
        <v>83</v>
      </c>
      <c r="S622" s="2">
        <v>11.9</v>
      </c>
      <c r="T622" t="s">
        <v>28</v>
      </c>
      <c r="U622" s="3">
        <v>0</v>
      </c>
      <c r="V622" s="3">
        <v>0</v>
      </c>
      <c r="W622" s="3">
        <v>1</v>
      </c>
      <c r="X622" s="3">
        <v>0</v>
      </c>
      <c r="Y622" s="3">
        <v>0</v>
      </c>
      <c r="Z622" s="3">
        <v>1</v>
      </c>
      <c r="AA622" s="3">
        <v>0</v>
      </c>
    </row>
    <row r="623" spans="1:27">
      <c r="A623" t="s">
        <v>708</v>
      </c>
      <c r="B623" s="3">
        <v>1</v>
      </c>
      <c r="C623" s="3">
        <v>0</v>
      </c>
      <c r="D623" s="1">
        <v>37737</v>
      </c>
      <c r="E623" s="1">
        <v>39082</v>
      </c>
      <c r="F623" s="2">
        <f t="shared" si="9"/>
        <v>3.6824093086926761</v>
      </c>
      <c r="G623" s="3">
        <v>2</v>
      </c>
      <c r="H623" s="3">
        <v>0</v>
      </c>
      <c r="I623" s="3">
        <v>0</v>
      </c>
      <c r="J623" s="3">
        <v>0</v>
      </c>
      <c r="K623" s="3">
        <v>1</v>
      </c>
      <c r="L623" s="3">
        <v>1</v>
      </c>
      <c r="M623" s="3">
        <v>0</v>
      </c>
      <c r="N623" s="3">
        <v>1</v>
      </c>
      <c r="O623" s="3">
        <v>1</v>
      </c>
      <c r="P623" s="3">
        <v>1</v>
      </c>
      <c r="Q623" s="3">
        <v>0</v>
      </c>
      <c r="R623" s="3">
        <v>83.1</v>
      </c>
      <c r="S623" s="2">
        <v>11.2</v>
      </c>
      <c r="T623" t="s">
        <v>28</v>
      </c>
      <c r="U623" s="3">
        <v>1</v>
      </c>
      <c r="V623" s="3">
        <v>1</v>
      </c>
      <c r="W623" s="3">
        <v>1</v>
      </c>
      <c r="X623" s="3">
        <v>0</v>
      </c>
      <c r="Y623" s="3">
        <v>0</v>
      </c>
      <c r="Z623" s="3">
        <v>0</v>
      </c>
      <c r="AA623" s="3">
        <v>0</v>
      </c>
    </row>
    <row r="624" spans="1:27">
      <c r="A624" t="s">
        <v>709</v>
      </c>
      <c r="B624" s="3">
        <v>3</v>
      </c>
      <c r="C624" s="3">
        <v>0</v>
      </c>
      <c r="D624" s="1">
        <v>37629</v>
      </c>
      <c r="E624" s="1">
        <v>39082</v>
      </c>
      <c r="F624" s="2">
        <f t="shared" si="9"/>
        <v>3.978097193702943</v>
      </c>
      <c r="G624" s="3">
        <v>2</v>
      </c>
      <c r="H624" s="3">
        <v>1</v>
      </c>
      <c r="I624" s="3">
        <v>0</v>
      </c>
      <c r="J624" s="3">
        <v>1</v>
      </c>
      <c r="K624" s="3">
        <v>0</v>
      </c>
      <c r="L624" s="3">
        <v>1</v>
      </c>
      <c r="M624" s="3">
        <v>0</v>
      </c>
      <c r="N624" s="3">
        <v>1</v>
      </c>
      <c r="O624" s="3">
        <v>0</v>
      </c>
      <c r="P624" s="3">
        <v>0</v>
      </c>
      <c r="Q624" s="3">
        <v>0</v>
      </c>
      <c r="R624" s="3">
        <v>83.1</v>
      </c>
      <c r="S624" s="2">
        <v>9.3000000000000007</v>
      </c>
      <c r="T624" t="s">
        <v>44</v>
      </c>
      <c r="U624" s="3">
        <v>0</v>
      </c>
      <c r="V624" s="3">
        <v>0</v>
      </c>
      <c r="W624" s="3">
        <v>1</v>
      </c>
      <c r="X624" s="3">
        <v>0</v>
      </c>
      <c r="Y624" s="3">
        <v>0</v>
      </c>
      <c r="Z624" s="3">
        <v>0</v>
      </c>
      <c r="AA624" s="3">
        <v>0</v>
      </c>
    </row>
    <row r="625" spans="1:27">
      <c r="A625" t="s">
        <v>710</v>
      </c>
      <c r="B625" s="3">
        <v>1</v>
      </c>
      <c r="C625" s="3">
        <v>0</v>
      </c>
      <c r="D625" s="1">
        <v>36971</v>
      </c>
      <c r="E625" s="1">
        <v>39082</v>
      </c>
      <c r="F625" s="2">
        <f t="shared" si="9"/>
        <v>5.7796030116358654</v>
      </c>
      <c r="G625" s="3">
        <v>2</v>
      </c>
      <c r="H625" s="3">
        <v>1</v>
      </c>
      <c r="I625" s="3">
        <v>1</v>
      </c>
      <c r="J625" s="3">
        <v>0</v>
      </c>
      <c r="K625" s="3">
        <v>0</v>
      </c>
      <c r="L625" s="3">
        <v>0</v>
      </c>
      <c r="M625" s="3">
        <v>0</v>
      </c>
      <c r="N625" s="3">
        <v>1</v>
      </c>
      <c r="O625" s="3">
        <v>0</v>
      </c>
      <c r="P625" s="3">
        <v>1</v>
      </c>
      <c r="Q625" s="3">
        <v>0</v>
      </c>
      <c r="R625" s="3">
        <v>83.1</v>
      </c>
      <c r="S625" s="2">
        <v>10</v>
      </c>
      <c r="T625" t="s">
        <v>711</v>
      </c>
      <c r="U625" s="3">
        <v>0</v>
      </c>
      <c r="V625" s="3">
        <v>1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</row>
    <row r="626" spans="1:27">
      <c r="A626" t="s">
        <v>222</v>
      </c>
      <c r="B626" s="3">
        <v>2</v>
      </c>
      <c r="C626" s="3">
        <v>1</v>
      </c>
      <c r="D626" s="1">
        <v>38043</v>
      </c>
      <c r="E626" s="1">
        <v>39082</v>
      </c>
      <c r="F626" s="2">
        <f t="shared" si="9"/>
        <v>2.8446269678302532</v>
      </c>
      <c r="G626" s="3">
        <v>1</v>
      </c>
      <c r="H626" s="3">
        <v>1</v>
      </c>
      <c r="I626" s="3">
        <v>0</v>
      </c>
      <c r="J626" s="3">
        <v>0</v>
      </c>
      <c r="K626" s="3">
        <v>0</v>
      </c>
      <c r="L626" s="3">
        <v>0</v>
      </c>
      <c r="M626" s="3">
        <v>0</v>
      </c>
      <c r="N626" s="3">
        <v>1</v>
      </c>
      <c r="O626" s="3">
        <v>0</v>
      </c>
      <c r="P626" s="3">
        <v>1</v>
      </c>
      <c r="Q626" s="3">
        <v>0</v>
      </c>
      <c r="R626" s="3">
        <v>83.2</v>
      </c>
      <c r="S626" s="2">
        <v>9.6</v>
      </c>
      <c r="T626" t="s">
        <v>28</v>
      </c>
      <c r="U626" s="3">
        <v>1</v>
      </c>
      <c r="V626" s="3">
        <v>1</v>
      </c>
      <c r="W626" s="3">
        <v>0</v>
      </c>
      <c r="X626" s="3">
        <v>0</v>
      </c>
      <c r="Y626" s="3">
        <v>0</v>
      </c>
      <c r="Z626" s="3">
        <v>1</v>
      </c>
      <c r="AA626" s="3">
        <v>0</v>
      </c>
    </row>
    <row r="627" spans="1:27">
      <c r="A627" t="s">
        <v>712</v>
      </c>
      <c r="B627" s="3">
        <v>3</v>
      </c>
      <c r="C627" s="3">
        <v>0</v>
      </c>
      <c r="D627" s="1">
        <v>37165</v>
      </c>
      <c r="E627" s="1">
        <v>39082</v>
      </c>
      <c r="F627" s="2">
        <f t="shared" si="9"/>
        <v>5.248459958932238</v>
      </c>
      <c r="G627" s="3">
        <v>1</v>
      </c>
      <c r="H627" s="3">
        <v>1</v>
      </c>
      <c r="I627" s="3">
        <v>0</v>
      </c>
      <c r="J627" s="3">
        <v>1</v>
      </c>
      <c r="K627" s="3">
        <v>0</v>
      </c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83.2</v>
      </c>
      <c r="S627" s="2">
        <v>11.4</v>
      </c>
      <c r="T627" t="s">
        <v>713</v>
      </c>
      <c r="U627" s="3">
        <v>0</v>
      </c>
      <c r="V627" s="3">
        <v>0</v>
      </c>
      <c r="W627" s="3">
        <v>1</v>
      </c>
      <c r="X627" s="3">
        <v>1</v>
      </c>
      <c r="Y627" s="3">
        <v>0</v>
      </c>
      <c r="Z627" s="3">
        <v>1</v>
      </c>
      <c r="AA627" s="3">
        <v>0</v>
      </c>
    </row>
    <row r="628" spans="1:27">
      <c r="A628" t="s">
        <v>714</v>
      </c>
      <c r="B628" s="3">
        <v>1</v>
      </c>
      <c r="C628" s="3">
        <v>0</v>
      </c>
      <c r="D628" s="1">
        <v>37824</v>
      </c>
      <c r="E628" s="1">
        <v>39082</v>
      </c>
      <c r="F628" s="2">
        <f t="shared" si="9"/>
        <v>3.4442162902121836</v>
      </c>
      <c r="G628" s="3">
        <v>1</v>
      </c>
      <c r="H628" s="3">
        <v>0</v>
      </c>
      <c r="I628" s="3">
        <v>1</v>
      </c>
      <c r="J628" s="3">
        <v>0</v>
      </c>
      <c r="K628" s="3">
        <v>0</v>
      </c>
      <c r="L628" s="3">
        <v>0</v>
      </c>
      <c r="M628" s="3">
        <v>0</v>
      </c>
      <c r="N628" s="3">
        <v>1</v>
      </c>
      <c r="O628" s="3">
        <v>0</v>
      </c>
      <c r="P628" s="3">
        <v>1</v>
      </c>
      <c r="Q628" s="3">
        <v>0</v>
      </c>
      <c r="R628" s="3">
        <v>83.2</v>
      </c>
      <c r="S628" s="2">
        <v>11.5</v>
      </c>
      <c r="T628" t="s">
        <v>28</v>
      </c>
      <c r="U628" s="3">
        <v>1</v>
      </c>
      <c r="V628" s="3">
        <v>1</v>
      </c>
      <c r="W628" s="3">
        <v>1</v>
      </c>
      <c r="X628" s="3">
        <v>1</v>
      </c>
      <c r="Y628" s="3">
        <v>1</v>
      </c>
      <c r="Z628" s="3">
        <v>1</v>
      </c>
      <c r="AA628" s="3">
        <v>0</v>
      </c>
    </row>
    <row r="629" spans="1:27">
      <c r="A629" t="s">
        <v>715</v>
      </c>
      <c r="B629" s="3">
        <v>2</v>
      </c>
      <c r="C629" s="3">
        <v>0</v>
      </c>
      <c r="D629" s="1">
        <v>38307</v>
      </c>
      <c r="E629" s="1">
        <v>39082</v>
      </c>
      <c r="F629" s="2">
        <f t="shared" si="9"/>
        <v>2.1218343600273784</v>
      </c>
      <c r="G629" s="3">
        <v>2</v>
      </c>
      <c r="H629" s="3">
        <v>0</v>
      </c>
      <c r="I629" s="3">
        <v>1</v>
      </c>
      <c r="J629" s="3">
        <v>0</v>
      </c>
      <c r="K629" s="3">
        <v>0</v>
      </c>
      <c r="L629" s="3">
        <v>0</v>
      </c>
      <c r="M629" s="3">
        <v>0</v>
      </c>
      <c r="N629" s="3">
        <v>0</v>
      </c>
      <c r="O629" s="3">
        <v>0</v>
      </c>
      <c r="P629" s="3">
        <v>1</v>
      </c>
      <c r="Q629" s="3">
        <v>0</v>
      </c>
      <c r="R629" s="3">
        <v>83.2</v>
      </c>
      <c r="S629" s="2">
        <v>11</v>
      </c>
      <c r="T629" t="s">
        <v>716</v>
      </c>
      <c r="U629" s="3">
        <v>0</v>
      </c>
      <c r="V629" s="3">
        <v>1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</row>
    <row r="630" spans="1:27">
      <c r="A630" t="s">
        <v>717</v>
      </c>
      <c r="B630" s="3">
        <v>3</v>
      </c>
      <c r="C630" s="3">
        <v>0</v>
      </c>
      <c r="D630" s="1">
        <v>38318</v>
      </c>
      <c r="E630" s="1">
        <v>39082</v>
      </c>
      <c r="F630" s="2">
        <f t="shared" si="9"/>
        <v>2.0917180013689256</v>
      </c>
      <c r="G630" s="3">
        <v>1</v>
      </c>
      <c r="H630" s="3">
        <v>1</v>
      </c>
      <c r="I630" s="3">
        <v>0</v>
      </c>
      <c r="J630" s="3">
        <v>0</v>
      </c>
      <c r="K630" s="3">
        <v>0</v>
      </c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83.3</v>
      </c>
      <c r="S630" s="2">
        <v>11.8</v>
      </c>
      <c r="T630" t="s">
        <v>718</v>
      </c>
      <c r="U630" s="3">
        <v>0</v>
      </c>
      <c r="V630" s="3">
        <v>0</v>
      </c>
      <c r="W630" s="3">
        <v>1</v>
      </c>
      <c r="X630" s="3">
        <v>1</v>
      </c>
      <c r="Y630" s="3">
        <v>0</v>
      </c>
      <c r="Z630" s="3">
        <v>1</v>
      </c>
      <c r="AA630" s="3">
        <v>0</v>
      </c>
    </row>
    <row r="631" spans="1:27">
      <c r="A631" t="s">
        <v>719</v>
      </c>
      <c r="B631" s="3">
        <v>3</v>
      </c>
      <c r="C631" s="3">
        <v>1</v>
      </c>
      <c r="D631" s="1">
        <v>38300</v>
      </c>
      <c r="E631" s="1">
        <v>39082</v>
      </c>
      <c r="F631" s="2">
        <f t="shared" si="9"/>
        <v>2.1409993155373033</v>
      </c>
      <c r="G631" s="3">
        <v>2</v>
      </c>
      <c r="H631" s="3">
        <v>1</v>
      </c>
      <c r="I631" s="3">
        <v>0</v>
      </c>
      <c r="J631" s="3">
        <v>0</v>
      </c>
      <c r="K631" s="3">
        <v>0</v>
      </c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83.3</v>
      </c>
      <c r="S631" s="2">
        <v>10.9</v>
      </c>
      <c r="T631" t="s">
        <v>28</v>
      </c>
      <c r="U631" s="3">
        <v>0</v>
      </c>
      <c r="V631" s="3">
        <v>1</v>
      </c>
      <c r="W631" s="3">
        <v>0</v>
      </c>
      <c r="X631" s="3">
        <v>0</v>
      </c>
      <c r="Y631" s="3">
        <v>1</v>
      </c>
      <c r="Z631" s="3">
        <v>0</v>
      </c>
      <c r="AA631" s="3">
        <v>0</v>
      </c>
    </row>
    <row r="632" spans="1:27">
      <c r="A632" t="s">
        <v>720</v>
      </c>
      <c r="B632" s="3">
        <v>2</v>
      </c>
      <c r="C632" s="3">
        <v>1</v>
      </c>
      <c r="D632" s="1">
        <v>38191</v>
      </c>
      <c r="E632" s="1">
        <v>39082</v>
      </c>
      <c r="F632" s="2">
        <f t="shared" si="9"/>
        <v>2.4394250513347022</v>
      </c>
      <c r="G632" s="3">
        <v>2</v>
      </c>
      <c r="H632" s="3">
        <v>1</v>
      </c>
      <c r="I632" s="3">
        <v>1</v>
      </c>
      <c r="J632" s="3">
        <v>0</v>
      </c>
      <c r="K632" s="3">
        <v>0</v>
      </c>
      <c r="L632" s="3">
        <v>0</v>
      </c>
      <c r="M632" s="3">
        <v>0</v>
      </c>
      <c r="N632" s="3">
        <v>1</v>
      </c>
      <c r="O632" s="3">
        <v>0</v>
      </c>
      <c r="P632" s="3">
        <v>0</v>
      </c>
      <c r="Q632" s="3">
        <v>0</v>
      </c>
      <c r="R632" s="3">
        <v>83.3</v>
      </c>
      <c r="S632" s="2">
        <v>9.9</v>
      </c>
      <c r="T632" t="s">
        <v>44</v>
      </c>
      <c r="U632" s="3">
        <v>1</v>
      </c>
      <c r="V632" s="3">
        <v>1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</row>
    <row r="633" spans="1:27">
      <c r="A633" t="s">
        <v>326</v>
      </c>
      <c r="B633" s="3">
        <v>2</v>
      </c>
      <c r="C633" s="3">
        <v>1</v>
      </c>
      <c r="D633" s="1">
        <v>38332</v>
      </c>
      <c r="E633" s="1">
        <v>39082</v>
      </c>
      <c r="F633" s="2">
        <f t="shared" si="9"/>
        <v>2.0533880903490758</v>
      </c>
      <c r="G633" s="3">
        <v>2</v>
      </c>
      <c r="H633" s="3">
        <v>0</v>
      </c>
      <c r="I633" s="3">
        <v>0</v>
      </c>
      <c r="J633" s="3">
        <v>0</v>
      </c>
      <c r="K633" s="3">
        <v>0</v>
      </c>
      <c r="L633" s="3">
        <v>0</v>
      </c>
      <c r="M633" s="3">
        <v>0</v>
      </c>
      <c r="N633" s="3">
        <v>0</v>
      </c>
      <c r="O633" s="3">
        <v>0</v>
      </c>
      <c r="P633" s="3">
        <v>1</v>
      </c>
      <c r="Q633" s="3">
        <v>0</v>
      </c>
      <c r="R633" s="3">
        <v>83.4</v>
      </c>
      <c r="S633" s="2">
        <v>9.9</v>
      </c>
      <c r="T633" t="s">
        <v>66</v>
      </c>
      <c r="U633" s="3">
        <v>1</v>
      </c>
      <c r="V633" s="3">
        <v>1</v>
      </c>
      <c r="W633" s="3">
        <v>1</v>
      </c>
      <c r="X633" s="3">
        <v>1</v>
      </c>
      <c r="Y633" s="3">
        <v>0</v>
      </c>
      <c r="Z633" s="3">
        <v>0</v>
      </c>
      <c r="AA633" s="3">
        <v>0</v>
      </c>
    </row>
    <row r="634" spans="1:27">
      <c r="A634" t="s">
        <v>721</v>
      </c>
      <c r="B634" s="3">
        <v>3</v>
      </c>
      <c r="C634" s="3">
        <v>1</v>
      </c>
      <c r="D634" s="1">
        <v>37431</v>
      </c>
      <c r="E634" s="1">
        <v>39082</v>
      </c>
      <c r="F634" s="2">
        <f t="shared" si="9"/>
        <v>4.5201916495550991</v>
      </c>
      <c r="G634" s="3">
        <v>1</v>
      </c>
      <c r="H634" s="3">
        <v>1</v>
      </c>
      <c r="I634" s="3">
        <v>0</v>
      </c>
      <c r="J634" s="3">
        <v>1</v>
      </c>
      <c r="K634" s="3">
        <v>0</v>
      </c>
      <c r="L634" s="3">
        <v>0</v>
      </c>
      <c r="M634" s="3">
        <v>0</v>
      </c>
      <c r="N634" s="3">
        <v>0</v>
      </c>
      <c r="O634" s="3">
        <v>0</v>
      </c>
      <c r="P634" s="3">
        <v>1</v>
      </c>
      <c r="Q634" s="3">
        <v>0</v>
      </c>
      <c r="R634" s="3">
        <v>83.4</v>
      </c>
      <c r="S634" s="2">
        <v>11</v>
      </c>
      <c r="T634" t="s">
        <v>28</v>
      </c>
      <c r="U634" s="3">
        <v>0</v>
      </c>
      <c r="V634" s="3">
        <v>0</v>
      </c>
      <c r="W634" s="3">
        <v>1</v>
      </c>
      <c r="X634" s="3">
        <v>1</v>
      </c>
      <c r="Y634" s="3">
        <v>1</v>
      </c>
      <c r="Z634" s="3">
        <v>1</v>
      </c>
      <c r="AA634" s="3">
        <v>0</v>
      </c>
    </row>
    <row r="635" spans="1:27">
      <c r="A635" t="s">
        <v>722</v>
      </c>
      <c r="B635" s="3">
        <v>1</v>
      </c>
      <c r="C635" s="3">
        <v>0</v>
      </c>
      <c r="D635" s="1">
        <v>37488</v>
      </c>
      <c r="E635" s="1">
        <v>39082</v>
      </c>
      <c r="F635" s="2">
        <f t="shared" si="9"/>
        <v>4.3641341546885695</v>
      </c>
      <c r="G635" s="3">
        <v>1</v>
      </c>
      <c r="H635" s="3">
        <v>0</v>
      </c>
      <c r="I635" s="3">
        <v>0</v>
      </c>
      <c r="J635" s="3">
        <v>0</v>
      </c>
      <c r="K635" s="3">
        <v>0</v>
      </c>
      <c r="L635" s="3">
        <v>1</v>
      </c>
      <c r="M635" s="3">
        <v>0</v>
      </c>
      <c r="N635" s="3">
        <v>1</v>
      </c>
      <c r="O635" s="3">
        <v>0</v>
      </c>
      <c r="P635" s="3">
        <v>1</v>
      </c>
      <c r="Q635" s="3">
        <v>0</v>
      </c>
      <c r="R635" s="3">
        <v>83.5</v>
      </c>
      <c r="S635" s="2">
        <v>9.8000000000000007</v>
      </c>
      <c r="T635" t="s">
        <v>28</v>
      </c>
      <c r="U635" s="3">
        <v>1</v>
      </c>
      <c r="V635" s="3">
        <v>1</v>
      </c>
      <c r="W635" s="3">
        <v>1</v>
      </c>
      <c r="X635" s="3">
        <v>1</v>
      </c>
      <c r="Y635" s="3">
        <v>0</v>
      </c>
      <c r="Z635" s="3">
        <v>1</v>
      </c>
      <c r="AA635" s="3">
        <v>0</v>
      </c>
    </row>
    <row r="636" spans="1:27">
      <c r="A636" t="s">
        <v>723</v>
      </c>
      <c r="B636" s="3">
        <v>3</v>
      </c>
      <c r="C636" s="3">
        <v>1</v>
      </c>
      <c r="D636" s="1">
        <v>38101</v>
      </c>
      <c r="E636" s="1">
        <v>39082</v>
      </c>
      <c r="F636" s="2">
        <f t="shared" si="9"/>
        <v>2.6858316221765914</v>
      </c>
      <c r="G636" s="3">
        <v>1</v>
      </c>
      <c r="H636" s="3">
        <v>1</v>
      </c>
      <c r="I636" s="3">
        <v>0</v>
      </c>
      <c r="J636" s="3">
        <v>0</v>
      </c>
      <c r="K636" s="3">
        <v>0</v>
      </c>
      <c r="L636" s="3">
        <v>0</v>
      </c>
      <c r="M636" s="3">
        <v>0</v>
      </c>
      <c r="N636" s="3">
        <v>0</v>
      </c>
      <c r="O636" s="3">
        <v>0</v>
      </c>
      <c r="P636" s="3">
        <v>1</v>
      </c>
      <c r="Q636" s="3">
        <v>0</v>
      </c>
      <c r="R636" s="3">
        <v>83.5</v>
      </c>
      <c r="S636" s="2">
        <v>13.1</v>
      </c>
      <c r="T636" t="s">
        <v>66</v>
      </c>
      <c r="U636" s="3">
        <v>0</v>
      </c>
      <c r="V636" s="3">
        <v>1</v>
      </c>
      <c r="W636" s="3">
        <v>1</v>
      </c>
      <c r="X636" s="3">
        <v>1</v>
      </c>
      <c r="Y636" s="3">
        <v>1</v>
      </c>
      <c r="Z636" s="3">
        <v>1</v>
      </c>
      <c r="AA636" s="3">
        <v>0</v>
      </c>
    </row>
    <row r="637" spans="1:27">
      <c r="A637" t="s">
        <v>724</v>
      </c>
      <c r="B637" s="3">
        <v>3</v>
      </c>
      <c r="C637" s="3">
        <v>0</v>
      </c>
      <c r="D637" s="1">
        <v>38004</v>
      </c>
      <c r="E637" s="1">
        <v>39082</v>
      </c>
      <c r="F637" s="2">
        <f t="shared" si="9"/>
        <v>2.9514031485284051</v>
      </c>
      <c r="G637" s="3">
        <v>2</v>
      </c>
      <c r="H637" s="3">
        <v>1</v>
      </c>
      <c r="I637" s="3">
        <v>0</v>
      </c>
      <c r="J637" s="3">
        <v>1</v>
      </c>
      <c r="K637" s="3">
        <v>0</v>
      </c>
      <c r="L637" s="3">
        <v>0</v>
      </c>
      <c r="M637" s="3">
        <v>1</v>
      </c>
      <c r="N637" s="3">
        <v>1</v>
      </c>
      <c r="O637" s="3">
        <v>0</v>
      </c>
      <c r="P637" s="3">
        <v>0</v>
      </c>
      <c r="Q637" s="3">
        <v>0</v>
      </c>
      <c r="R637" s="3">
        <v>83.5</v>
      </c>
      <c r="S637" s="2">
        <v>11</v>
      </c>
      <c r="T637" t="s">
        <v>28</v>
      </c>
      <c r="U637" s="3">
        <v>1</v>
      </c>
      <c r="V637" s="3">
        <v>1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</row>
    <row r="638" spans="1:27">
      <c r="A638" t="s">
        <v>725</v>
      </c>
      <c r="B638" s="3">
        <v>3</v>
      </c>
      <c r="C638" s="3">
        <v>0</v>
      </c>
      <c r="D638" s="1">
        <v>37450</v>
      </c>
      <c r="E638" s="1">
        <v>39082</v>
      </c>
      <c r="F638" s="2">
        <f t="shared" si="9"/>
        <v>4.4681724845995889</v>
      </c>
      <c r="G638" s="3">
        <v>2</v>
      </c>
      <c r="H638" s="3">
        <v>1</v>
      </c>
      <c r="I638" s="3">
        <v>0</v>
      </c>
      <c r="J638" s="3">
        <v>1</v>
      </c>
      <c r="K638" s="3">
        <v>0</v>
      </c>
      <c r="L638" s="3">
        <v>0</v>
      </c>
      <c r="M638" s="3">
        <v>0</v>
      </c>
      <c r="N638" s="3">
        <v>1</v>
      </c>
      <c r="O638" s="3">
        <v>0</v>
      </c>
      <c r="P638" s="3">
        <v>1</v>
      </c>
      <c r="Q638" s="3">
        <v>0</v>
      </c>
      <c r="R638" s="3">
        <v>83.5</v>
      </c>
      <c r="S638" s="2">
        <v>11.4</v>
      </c>
      <c r="T638" t="s">
        <v>28</v>
      </c>
      <c r="U638" s="3">
        <v>1</v>
      </c>
      <c r="V638" s="3">
        <v>1</v>
      </c>
      <c r="W638" s="3">
        <v>0</v>
      </c>
      <c r="X638" s="3">
        <v>1</v>
      </c>
      <c r="Y638" s="3">
        <v>0</v>
      </c>
      <c r="Z638" s="3">
        <v>0</v>
      </c>
      <c r="AA638" s="3">
        <v>0</v>
      </c>
    </row>
    <row r="639" spans="1:27">
      <c r="A639" t="s">
        <v>726</v>
      </c>
      <c r="B639" s="3">
        <v>3</v>
      </c>
      <c r="C639" s="3">
        <v>0</v>
      </c>
      <c r="D639" s="1">
        <v>37988</v>
      </c>
      <c r="E639" s="1">
        <v>39082</v>
      </c>
      <c r="F639" s="2">
        <f t="shared" si="9"/>
        <v>2.9952087611225187</v>
      </c>
      <c r="G639" s="3">
        <v>2</v>
      </c>
      <c r="H639" s="3">
        <v>1</v>
      </c>
      <c r="I639" s="3">
        <v>0</v>
      </c>
      <c r="J639" s="3">
        <v>1</v>
      </c>
      <c r="K639" s="3">
        <v>0</v>
      </c>
      <c r="L639" s="3">
        <v>1</v>
      </c>
      <c r="M639" s="3">
        <v>1</v>
      </c>
      <c r="N639" s="3">
        <v>1</v>
      </c>
      <c r="O639" s="3">
        <v>1</v>
      </c>
      <c r="P639" s="3">
        <v>0</v>
      </c>
      <c r="Q639" s="3">
        <v>0</v>
      </c>
      <c r="R639" s="3">
        <v>83.5</v>
      </c>
      <c r="S639" s="2">
        <v>11.7</v>
      </c>
      <c r="T639" t="s">
        <v>40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</row>
    <row r="640" spans="1:27">
      <c r="A640" t="s">
        <v>192</v>
      </c>
      <c r="B640" s="3">
        <v>1</v>
      </c>
      <c r="C640" s="3">
        <v>1</v>
      </c>
      <c r="D640" s="1">
        <v>37603</v>
      </c>
      <c r="E640" s="1">
        <v>39082</v>
      </c>
      <c r="F640" s="2">
        <f t="shared" si="9"/>
        <v>4.0492813141683781</v>
      </c>
      <c r="G640" s="3">
        <v>2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  <c r="M640" s="3">
        <v>0</v>
      </c>
      <c r="N640" s="3">
        <v>1</v>
      </c>
      <c r="O640" s="3">
        <v>0</v>
      </c>
      <c r="P640" s="3">
        <v>0</v>
      </c>
      <c r="Q640" s="3">
        <v>0</v>
      </c>
      <c r="R640" s="3">
        <v>83.6</v>
      </c>
      <c r="S640" s="2">
        <v>11.4</v>
      </c>
      <c r="T640" t="s">
        <v>28</v>
      </c>
      <c r="U640" s="3">
        <v>1</v>
      </c>
      <c r="V640" s="3">
        <v>1</v>
      </c>
      <c r="W640" s="3">
        <v>1</v>
      </c>
      <c r="X640" s="3">
        <v>1</v>
      </c>
      <c r="Y640" s="3">
        <v>0</v>
      </c>
      <c r="Z640" s="3">
        <v>0</v>
      </c>
      <c r="AA640" s="3">
        <v>0</v>
      </c>
    </row>
    <row r="641" spans="1:27">
      <c r="A641" t="s">
        <v>727</v>
      </c>
      <c r="B641" s="3">
        <v>3</v>
      </c>
      <c r="C641" s="3">
        <v>0</v>
      </c>
      <c r="D641" s="1">
        <v>38329</v>
      </c>
      <c r="E641" s="1">
        <v>39082</v>
      </c>
      <c r="F641" s="2">
        <f t="shared" si="9"/>
        <v>2.0616016427104724</v>
      </c>
      <c r="G641" s="3">
        <v>2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  <c r="M641" s="3">
        <v>0</v>
      </c>
      <c r="N641" s="3">
        <v>1</v>
      </c>
      <c r="O641" s="3">
        <v>0</v>
      </c>
      <c r="P641" s="3">
        <v>0</v>
      </c>
      <c r="Q641" s="3">
        <v>0</v>
      </c>
      <c r="R641" s="3">
        <v>83.6</v>
      </c>
      <c r="S641" s="2">
        <v>10.8</v>
      </c>
      <c r="T641" t="s">
        <v>44</v>
      </c>
      <c r="U641" s="3">
        <v>0</v>
      </c>
      <c r="V641" s="3">
        <v>0</v>
      </c>
      <c r="W641" s="3">
        <v>1</v>
      </c>
      <c r="X641" s="3">
        <v>0</v>
      </c>
      <c r="Y641" s="3">
        <v>0</v>
      </c>
      <c r="Z641" s="3">
        <v>0</v>
      </c>
      <c r="AA641" s="3">
        <v>0</v>
      </c>
    </row>
    <row r="642" spans="1:27">
      <c r="A642" t="s">
        <v>728</v>
      </c>
      <c r="B642" s="3">
        <v>2</v>
      </c>
      <c r="C642" s="3">
        <v>0</v>
      </c>
      <c r="D642" s="1">
        <v>37751</v>
      </c>
      <c r="E642" s="1">
        <v>39082</v>
      </c>
      <c r="F642" s="2">
        <f t="shared" si="9"/>
        <v>3.6440793976728267</v>
      </c>
      <c r="G642" s="3">
        <v>1</v>
      </c>
      <c r="H642" s="3">
        <v>1</v>
      </c>
      <c r="I642" s="3">
        <v>0</v>
      </c>
      <c r="J642" s="3">
        <v>0</v>
      </c>
      <c r="K642" s="3">
        <v>0</v>
      </c>
      <c r="L642" s="3">
        <v>1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83.6</v>
      </c>
      <c r="S642" s="2">
        <v>10.9</v>
      </c>
      <c r="T642" t="s">
        <v>28</v>
      </c>
      <c r="U642" s="3">
        <v>1</v>
      </c>
      <c r="V642" s="3">
        <v>1</v>
      </c>
      <c r="W642" s="3">
        <v>0</v>
      </c>
      <c r="X642" s="3">
        <v>0</v>
      </c>
      <c r="Y642" s="3">
        <v>0</v>
      </c>
      <c r="Z642" s="3">
        <v>1</v>
      </c>
      <c r="AA642" s="3">
        <v>0</v>
      </c>
    </row>
    <row r="643" spans="1:27">
      <c r="A643" t="s">
        <v>729</v>
      </c>
      <c r="B643" s="3">
        <v>3</v>
      </c>
      <c r="C643" s="3">
        <v>0</v>
      </c>
      <c r="D643" s="1">
        <v>38079</v>
      </c>
      <c r="E643" s="1">
        <v>39082</v>
      </c>
      <c r="F643" s="2">
        <f t="shared" ref="F643:F706" si="10">(E643-D643)/365.25</f>
        <v>2.7460643394934978</v>
      </c>
      <c r="G643" s="3">
        <v>2</v>
      </c>
      <c r="H643" s="3">
        <v>1</v>
      </c>
      <c r="I643" s="3">
        <v>0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83.6</v>
      </c>
      <c r="S643" s="2">
        <v>11.6</v>
      </c>
      <c r="T643" t="s">
        <v>312</v>
      </c>
      <c r="U643" s="3">
        <v>1</v>
      </c>
      <c r="V643" s="3">
        <v>1</v>
      </c>
      <c r="W643" s="3">
        <v>1</v>
      </c>
      <c r="X643" s="3">
        <v>1</v>
      </c>
      <c r="Y643" s="3">
        <v>1</v>
      </c>
      <c r="Z643" s="3">
        <v>0</v>
      </c>
      <c r="AA643" s="3">
        <v>0</v>
      </c>
    </row>
    <row r="644" spans="1:27">
      <c r="A644" t="s">
        <v>730</v>
      </c>
      <c r="B644" s="3">
        <v>3</v>
      </c>
      <c r="C644" s="3">
        <v>0</v>
      </c>
      <c r="D644" s="1">
        <v>38314</v>
      </c>
      <c r="E644" s="1">
        <v>39082</v>
      </c>
      <c r="F644" s="2">
        <f t="shared" si="10"/>
        <v>2.1026694045174539</v>
      </c>
      <c r="G644" s="3">
        <v>1</v>
      </c>
      <c r="H644" s="3">
        <v>1</v>
      </c>
      <c r="I644" s="3">
        <v>0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83.7</v>
      </c>
      <c r="S644" s="2">
        <v>12.6</v>
      </c>
      <c r="T644" t="s">
        <v>731</v>
      </c>
      <c r="U644" s="3">
        <v>1</v>
      </c>
      <c r="V644" s="3">
        <v>1</v>
      </c>
      <c r="W644" s="3">
        <v>1</v>
      </c>
      <c r="X644" s="3">
        <v>1</v>
      </c>
      <c r="Y644" s="3">
        <v>0</v>
      </c>
      <c r="Z644" s="3">
        <v>1</v>
      </c>
      <c r="AA644" s="3">
        <v>0</v>
      </c>
    </row>
    <row r="645" spans="1:27">
      <c r="A645" t="s">
        <v>732</v>
      </c>
      <c r="B645" s="3">
        <v>3</v>
      </c>
      <c r="C645" s="3">
        <v>1</v>
      </c>
      <c r="D645" s="1">
        <v>37987</v>
      </c>
      <c r="E645" s="1">
        <v>39082</v>
      </c>
      <c r="F645" s="2">
        <f t="shared" si="10"/>
        <v>2.9979466119096507</v>
      </c>
      <c r="G645" s="3">
        <v>1</v>
      </c>
      <c r="H645" s="3">
        <v>1</v>
      </c>
      <c r="I645" s="3">
        <v>0</v>
      </c>
      <c r="J645" s="3">
        <v>1</v>
      </c>
      <c r="K645" s="3">
        <v>0</v>
      </c>
      <c r="L645" s="3">
        <v>0</v>
      </c>
      <c r="M645" s="3">
        <v>0</v>
      </c>
      <c r="N645" s="3">
        <v>1</v>
      </c>
      <c r="O645" s="3">
        <v>0</v>
      </c>
      <c r="P645" s="3">
        <v>1</v>
      </c>
      <c r="Q645" s="3">
        <v>0</v>
      </c>
      <c r="R645" s="3">
        <v>83.7</v>
      </c>
      <c r="S645" s="2">
        <v>12.2</v>
      </c>
      <c r="T645" t="s">
        <v>44</v>
      </c>
      <c r="U645" s="3">
        <v>0</v>
      </c>
      <c r="V645" s="3">
        <v>0</v>
      </c>
      <c r="W645" s="3">
        <v>1</v>
      </c>
      <c r="X645" s="3">
        <v>1</v>
      </c>
      <c r="Y645" s="3">
        <v>1</v>
      </c>
      <c r="Z645" s="3">
        <v>1</v>
      </c>
      <c r="AA645" s="3">
        <v>0</v>
      </c>
    </row>
    <row r="646" spans="1:27">
      <c r="A646" t="s">
        <v>733</v>
      </c>
      <c r="B646" s="3">
        <v>1</v>
      </c>
      <c r="C646" s="3">
        <v>1</v>
      </c>
      <c r="D646" s="1">
        <v>38256</v>
      </c>
      <c r="E646" s="1">
        <v>39082</v>
      </c>
      <c r="F646" s="2">
        <f t="shared" si="10"/>
        <v>2.2614647501711156</v>
      </c>
      <c r="G646" s="3">
        <v>2</v>
      </c>
      <c r="H646" s="3">
        <v>1</v>
      </c>
      <c r="I646" s="3">
        <v>0</v>
      </c>
      <c r="J646" s="3">
        <v>1</v>
      </c>
      <c r="K646" s="3">
        <v>0</v>
      </c>
      <c r="L646" s="3">
        <v>0</v>
      </c>
      <c r="M646" s="3">
        <v>0</v>
      </c>
      <c r="N646" s="3">
        <v>1</v>
      </c>
      <c r="O646" s="3">
        <v>0</v>
      </c>
      <c r="P646" s="3">
        <v>1</v>
      </c>
      <c r="Q646" s="3">
        <v>0</v>
      </c>
      <c r="R646" s="3">
        <v>83.7</v>
      </c>
      <c r="S646" s="2">
        <v>11.3</v>
      </c>
      <c r="T646" t="s">
        <v>28</v>
      </c>
      <c r="U646" s="3">
        <v>0</v>
      </c>
      <c r="V646" s="3">
        <v>1</v>
      </c>
      <c r="W646" s="3">
        <v>1</v>
      </c>
      <c r="X646" s="3">
        <v>0</v>
      </c>
      <c r="Y646" s="3">
        <v>0</v>
      </c>
      <c r="Z646" s="3">
        <v>0</v>
      </c>
      <c r="AA646" s="3">
        <v>0</v>
      </c>
    </row>
    <row r="647" spans="1:27">
      <c r="A647" t="s">
        <v>734</v>
      </c>
      <c r="B647" s="3">
        <v>1</v>
      </c>
      <c r="C647" s="3">
        <v>0</v>
      </c>
      <c r="D647" s="1">
        <v>37438</v>
      </c>
      <c r="E647" s="1">
        <v>39082</v>
      </c>
      <c r="F647" s="2">
        <f t="shared" si="10"/>
        <v>4.5010266940451746</v>
      </c>
      <c r="G647" s="3">
        <v>2</v>
      </c>
      <c r="H647" s="3">
        <v>1</v>
      </c>
      <c r="I647" s="3">
        <v>1</v>
      </c>
      <c r="J647" s="3">
        <v>0</v>
      </c>
      <c r="K647" s="3">
        <v>0</v>
      </c>
      <c r="L647" s="3">
        <v>1</v>
      </c>
      <c r="M647" s="3">
        <v>0</v>
      </c>
      <c r="N647" s="3">
        <v>1</v>
      </c>
      <c r="O647" s="3">
        <v>0</v>
      </c>
      <c r="P647" s="3">
        <v>1</v>
      </c>
      <c r="Q647" s="3">
        <v>0</v>
      </c>
      <c r="R647" s="3">
        <v>83.8</v>
      </c>
      <c r="S647" s="2">
        <v>10.5</v>
      </c>
      <c r="T647" t="s">
        <v>92</v>
      </c>
      <c r="U647" s="3">
        <v>1</v>
      </c>
      <c r="V647" s="3">
        <v>1</v>
      </c>
      <c r="W647" s="3">
        <v>1</v>
      </c>
      <c r="X647" s="3">
        <v>0</v>
      </c>
      <c r="Y647" s="3">
        <v>0</v>
      </c>
      <c r="Z647" s="3">
        <v>0</v>
      </c>
      <c r="AA647" s="3">
        <v>0</v>
      </c>
    </row>
    <row r="648" spans="1:27">
      <c r="A648" t="s">
        <v>735</v>
      </c>
      <c r="B648" s="3">
        <v>2</v>
      </c>
      <c r="C648" s="3">
        <v>0</v>
      </c>
      <c r="D648" s="1">
        <v>37725</v>
      </c>
      <c r="E648" s="1">
        <v>39082</v>
      </c>
      <c r="F648" s="2">
        <f t="shared" si="10"/>
        <v>3.7152635181382614</v>
      </c>
      <c r="G648" s="3">
        <v>1</v>
      </c>
      <c r="H648" s="3">
        <v>1</v>
      </c>
      <c r="I648" s="3">
        <v>0</v>
      </c>
      <c r="J648" s="3">
        <v>0</v>
      </c>
      <c r="K648" s="3">
        <v>0</v>
      </c>
      <c r="L648" s="3">
        <v>1</v>
      </c>
      <c r="M648" s="3">
        <v>0</v>
      </c>
      <c r="N648" s="3">
        <v>1</v>
      </c>
      <c r="O648" s="3">
        <v>0</v>
      </c>
      <c r="P648" s="3">
        <v>1</v>
      </c>
      <c r="Q648" s="3">
        <v>0</v>
      </c>
      <c r="R648" s="3">
        <v>83.9</v>
      </c>
      <c r="S648" s="2">
        <v>11.5</v>
      </c>
      <c r="T648" t="s">
        <v>44</v>
      </c>
      <c r="U648" s="3">
        <v>1</v>
      </c>
      <c r="V648" s="3">
        <v>1</v>
      </c>
      <c r="W648" s="3">
        <v>0</v>
      </c>
      <c r="X648" s="3">
        <v>0</v>
      </c>
      <c r="Y648" s="3">
        <v>0</v>
      </c>
      <c r="Z648" s="3">
        <v>1</v>
      </c>
      <c r="AA648" s="3">
        <v>0</v>
      </c>
    </row>
    <row r="649" spans="1:27">
      <c r="A649" t="s">
        <v>736</v>
      </c>
      <c r="B649" s="3">
        <v>3</v>
      </c>
      <c r="C649" s="3">
        <v>0</v>
      </c>
      <c r="D649" s="1">
        <v>38150</v>
      </c>
      <c r="E649" s="1">
        <v>39082</v>
      </c>
      <c r="F649" s="2">
        <f t="shared" si="10"/>
        <v>2.5516769336071183</v>
      </c>
      <c r="G649" s="3">
        <v>2</v>
      </c>
      <c r="H649" s="3">
        <v>1</v>
      </c>
      <c r="I649" s="3">
        <v>0</v>
      </c>
      <c r="J649" s="3">
        <v>0</v>
      </c>
      <c r="K649" s="3">
        <v>0</v>
      </c>
      <c r="L649" s="3">
        <v>0</v>
      </c>
      <c r="M649" s="3">
        <v>0</v>
      </c>
      <c r="N649" s="3">
        <v>1</v>
      </c>
      <c r="O649" s="3">
        <v>0</v>
      </c>
      <c r="P649" s="3">
        <v>1</v>
      </c>
      <c r="Q649" s="3">
        <v>0</v>
      </c>
      <c r="R649" s="3">
        <v>83.9</v>
      </c>
      <c r="S649" s="2">
        <v>10.6</v>
      </c>
      <c r="T649" t="s">
        <v>28</v>
      </c>
      <c r="U649" s="3">
        <v>0</v>
      </c>
      <c r="V649" s="3">
        <v>1</v>
      </c>
      <c r="W649" s="3">
        <v>1</v>
      </c>
      <c r="X649" s="3">
        <v>1</v>
      </c>
      <c r="Y649" s="3">
        <v>0</v>
      </c>
      <c r="Z649" s="3">
        <v>0</v>
      </c>
      <c r="AA649" s="3">
        <v>0</v>
      </c>
    </row>
    <row r="650" spans="1:27">
      <c r="A650" t="s">
        <v>737</v>
      </c>
      <c r="B650" s="3">
        <v>2</v>
      </c>
      <c r="C650" s="3">
        <v>0</v>
      </c>
      <c r="D650" s="1">
        <v>37706</v>
      </c>
      <c r="E650" s="1">
        <v>39082</v>
      </c>
      <c r="F650" s="2">
        <f t="shared" si="10"/>
        <v>3.7672826830937716</v>
      </c>
      <c r="G650" s="3">
        <v>2</v>
      </c>
      <c r="H650" s="3">
        <v>0</v>
      </c>
      <c r="I650" s="3">
        <v>1</v>
      </c>
      <c r="J650" s="3">
        <v>0</v>
      </c>
      <c r="K650" s="3">
        <v>0</v>
      </c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83.9</v>
      </c>
      <c r="S650" s="2">
        <v>10.3</v>
      </c>
      <c r="T650" t="s">
        <v>28</v>
      </c>
      <c r="U650" s="3">
        <v>1</v>
      </c>
      <c r="V650" s="3">
        <v>1</v>
      </c>
      <c r="W650" s="3">
        <v>1</v>
      </c>
      <c r="X650" s="3">
        <v>1</v>
      </c>
      <c r="Y650" s="3">
        <v>1</v>
      </c>
      <c r="Z650" s="3">
        <v>0</v>
      </c>
      <c r="AA650" s="3">
        <v>0</v>
      </c>
    </row>
    <row r="651" spans="1:27">
      <c r="A651" t="s">
        <v>738</v>
      </c>
      <c r="B651" s="3">
        <v>2</v>
      </c>
      <c r="C651" s="3">
        <v>0</v>
      </c>
      <c r="D651" s="1">
        <v>37654</v>
      </c>
      <c r="E651" s="1">
        <v>39082</v>
      </c>
      <c r="F651" s="2">
        <f t="shared" si="10"/>
        <v>3.9096509240246409</v>
      </c>
      <c r="G651" s="3">
        <v>1</v>
      </c>
      <c r="H651" s="3">
        <v>0</v>
      </c>
      <c r="I651" s="3">
        <v>0</v>
      </c>
      <c r="J651" s="3">
        <v>0</v>
      </c>
      <c r="K651" s="3">
        <v>0</v>
      </c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84</v>
      </c>
      <c r="S651" s="2">
        <v>10.9</v>
      </c>
      <c r="T651" t="s">
        <v>398</v>
      </c>
      <c r="U651" s="3">
        <v>1</v>
      </c>
      <c r="V651" s="3">
        <v>1</v>
      </c>
      <c r="W651" s="3">
        <v>1</v>
      </c>
      <c r="X651" s="3">
        <v>1</v>
      </c>
      <c r="Y651" s="3">
        <v>1</v>
      </c>
      <c r="Z651" s="3">
        <v>1</v>
      </c>
      <c r="AA651" s="3">
        <v>0</v>
      </c>
    </row>
    <row r="652" spans="1:27">
      <c r="A652" t="s">
        <v>739</v>
      </c>
      <c r="B652" s="3">
        <v>3</v>
      </c>
      <c r="C652" s="3">
        <v>0</v>
      </c>
      <c r="D652" s="1">
        <v>37514</v>
      </c>
      <c r="E652" s="1">
        <v>39082</v>
      </c>
      <c r="F652" s="2">
        <f t="shared" si="10"/>
        <v>4.2929500342231348</v>
      </c>
      <c r="G652" s="3">
        <v>1</v>
      </c>
      <c r="H652" s="3">
        <v>1</v>
      </c>
      <c r="I652" s="3">
        <v>0</v>
      </c>
      <c r="J652" s="3">
        <v>0</v>
      </c>
      <c r="K652" s="3">
        <v>0</v>
      </c>
      <c r="L652" s="3">
        <v>0</v>
      </c>
      <c r="M652" s="3">
        <v>0</v>
      </c>
      <c r="N652" s="3">
        <v>1</v>
      </c>
      <c r="O652" s="3">
        <v>0</v>
      </c>
      <c r="P652" s="3">
        <v>1</v>
      </c>
      <c r="Q652" s="3">
        <v>0</v>
      </c>
      <c r="R652" s="3">
        <v>84</v>
      </c>
      <c r="S652" s="2">
        <v>13.8</v>
      </c>
      <c r="T652" t="s">
        <v>28</v>
      </c>
      <c r="U652" s="3">
        <v>1</v>
      </c>
      <c r="V652" s="3">
        <v>1</v>
      </c>
      <c r="W652" s="3">
        <v>1</v>
      </c>
      <c r="X652" s="3">
        <v>0</v>
      </c>
      <c r="Y652" s="3">
        <v>1</v>
      </c>
      <c r="Z652" s="3">
        <v>1</v>
      </c>
      <c r="AA652" s="3">
        <v>0</v>
      </c>
    </row>
    <row r="653" spans="1:27">
      <c r="A653" t="s">
        <v>740</v>
      </c>
      <c r="B653" s="3">
        <v>2</v>
      </c>
      <c r="C653" s="3">
        <v>0</v>
      </c>
      <c r="D653" s="1">
        <v>37403</v>
      </c>
      <c r="E653" s="1">
        <v>39082</v>
      </c>
      <c r="F653" s="2">
        <f t="shared" si="10"/>
        <v>4.5968514715947979</v>
      </c>
      <c r="G653" s="3">
        <v>1</v>
      </c>
      <c r="H653" s="3">
        <v>1</v>
      </c>
      <c r="I653" s="3">
        <v>0</v>
      </c>
      <c r="J653" s="3">
        <v>1</v>
      </c>
      <c r="K653" s="3">
        <v>1</v>
      </c>
      <c r="L653" s="3">
        <v>0</v>
      </c>
      <c r="M653" s="3">
        <v>1</v>
      </c>
      <c r="N653" s="3">
        <v>1</v>
      </c>
      <c r="O653" s="3">
        <v>1</v>
      </c>
      <c r="P653" s="3">
        <v>1</v>
      </c>
      <c r="Q653" s="3">
        <v>0</v>
      </c>
      <c r="R653" s="3">
        <v>84</v>
      </c>
      <c r="S653" s="2">
        <v>12.7</v>
      </c>
      <c r="T653" t="s">
        <v>28</v>
      </c>
      <c r="U653" s="3">
        <v>1</v>
      </c>
      <c r="V653" s="3">
        <v>1</v>
      </c>
      <c r="W653" s="3">
        <v>0</v>
      </c>
      <c r="X653" s="3">
        <v>0</v>
      </c>
      <c r="Y653" s="3">
        <v>0</v>
      </c>
      <c r="Z653" s="3">
        <v>1</v>
      </c>
      <c r="AA653" s="3">
        <v>0</v>
      </c>
    </row>
    <row r="654" spans="1:27">
      <c r="A654" t="s">
        <v>741</v>
      </c>
      <c r="B654" s="3">
        <v>1</v>
      </c>
      <c r="C654" s="3">
        <v>0</v>
      </c>
      <c r="D654" s="1">
        <v>37769</v>
      </c>
      <c r="E654" s="1">
        <v>39082</v>
      </c>
      <c r="F654" s="2">
        <f t="shared" si="10"/>
        <v>3.5947980835044491</v>
      </c>
      <c r="G654" s="3">
        <v>2</v>
      </c>
      <c r="H654" s="3">
        <v>0</v>
      </c>
      <c r="I654" s="3">
        <v>0</v>
      </c>
      <c r="J654" s="3">
        <v>0</v>
      </c>
      <c r="K654" s="3">
        <v>0</v>
      </c>
      <c r="L654" s="3">
        <v>0</v>
      </c>
      <c r="M654" s="3">
        <v>0</v>
      </c>
      <c r="N654" s="3">
        <v>1</v>
      </c>
      <c r="O654" s="3">
        <v>1</v>
      </c>
      <c r="P654" s="3">
        <v>1</v>
      </c>
      <c r="Q654" s="3">
        <v>0</v>
      </c>
      <c r="R654" s="3">
        <v>84.1</v>
      </c>
      <c r="S654" s="2">
        <v>10.3</v>
      </c>
      <c r="T654" t="s">
        <v>28</v>
      </c>
      <c r="U654" s="3">
        <v>1</v>
      </c>
      <c r="V654" s="3">
        <v>1</v>
      </c>
      <c r="W654" s="3">
        <v>0</v>
      </c>
      <c r="X654" s="3">
        <v>1</v>
      </c>
      <c r="Y654" s="3">
        <v>0</v>
      </c>
      <c r="Z654" s="3">
        <v>0</v>
      </c>
      <c r="AA654" s="3">
        <v>0</v>
      </c>
    </row>
    <row r="655" spans="1:27">
      <c r="A655" t="s">
        <v>742</v>
      </c>
      <c r="B655" s="3">
        <v>3</v>
      </c>
      <c r="C655" s="3">
        <v>1</v>
      </c>
      <c r="D655" s="1">
        <v>38231</v>
      </c>
      <c r="E655" s="1">
        <v>39082</v>
      </c>
      <c r="F655" s="2">
        <f t="shared" si="10"/>
        <v>2.3299110198494182</v>
      </c>
      <c r="G655" s="3">
        <v>2</v>
      </c>
      <c r="H655" s="3">
        <v>1</v>
      </c>
      <c r="I655" s="3">
        <v>0</v>
      </c>
      <c r="J655" s="3">
        <v>1</v>
      </c>
      <c r="K655" s="3">
        <v>0</v>
      </c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84.1</v>
      </c>
      <c r="S655" s="2">
        <v>11.8</v>
      </c>
      <c r="T655" t="s">
        <v>40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</row>
    <row r="656" spans="1:27">
      <c r="A656" t="s">
        <v>743</v>
      </c>
      <c r="B656" s="3">
        <v>1</v>
      </c>
      <c r="C656" s="3">
        <v>0</v>
      </c>
      <c r="D656" s="1">
        <v>38231</v>
      </c>
      <c r="E656" s="1">
        <v>39082</v>
      </c>
      <c r="F656" s="2">
        <f t="shared" si="10"/>
        <v>2.3299110198494182</v>
      </c>
      <c r="G656" s="3">
        <v>1</v>
      </c>
      <c r="H656" s="3">
        <v>0</v>
      </c>
      <c r="I656" s="3">
        <v>0</v>
      </c>
      <c r="J656" s="3">
        <v>0</v>
      </c>
      <c r="K656" s="3">
        <v>0</v>
      </c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84.2</v>
      </c>
      <c r="S656" s="2">
        <v>10.9</v>
      </c>
      <c r="T656" t="s">
        <v>92</v>
      </c>
      <c r="U656" s="3">
        <v>0</v>
      </c>
      <c r="V656" s="3">
        <v>1</v>
      </c>
      <c r="W656" s="3">
        <v>1</v>
      </c>
      <c r="X656" s="3">
        <v>1</v>
      </c>
      <c r="Y656" s="3">
        <v>1</v>
      </c>
      <c r="Z656" s="3">
        <v>1</v>
      </c>
      <c r="AA656" s="3">
        <v>0</v>
      </c>
    </row>
    <row r="657" spans="1:27">
      <c r="A657" t="s">
        <v>744</v>
      </c>
      <c r="B657" s="3">
        <v>3</v>
      </c>
      <c r="C657" s="3">
        <v>0</v>
      </c>
      <c r="D657" s="1">
        <v>38281</v>
      </c>
      <c r="E657" s="1">
        <v>39082</v>
      </c>
      <c r="F657" s="2">
        <f t="shared" si="10"/>
        <v>2.193018480492813</v>
      </c>
      <c r="G657" s="3">
        <v>2</v>
      </c>
      <c r="H657" s="3">
        <v>0</v>
      </c>
      <c r="I657" s="3">
        <v>0</v>
      </c>
      <c r="J657" s="3">
        <v>1</v>
      </c>
      <c r="K657" s="3">
        <v>0</v>
      </c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84.2</v>
      </c>
      <c r="S657" s="2">
        <v>12</v>
      </c>
      <c r="T657" t="s">
        <v>40</v>
      </c>
      <c r="U657" s="3">
        <v>0</v>
      </c>
      <c r="V657" s="3">
        <v>0</v>
      </c>
      <c r="W657" s="3">
        <v>1</v>
      </c>
      <c r="X657" s="3">
        <v>1</v>
      </c>
      <c r="Y657" s="3">
        <v>0</v>
      </c>
      <c r="Z657" s="3">
        <v>0</v>
      </c>
      <c r="AA657" s="3">
        <v>0</v>
      </c>
    </row>
    <row r="658" spans="1:27">
      <c r="A658" t="s">
        <v>578</v>
      </c>
      <c r="B658" s="3">
        <v>1</v>
      </c>
      <c r="C658" s="3">
        <v>0</v>
      </c>
      <c r="D658" s="1">
        <v>37627</v>
      </c>
      <c r="E658" s="1">
        <v>39082</v>
      </c>
      <c r="F658" s="2">
        <f t="shared" si="10"/>
        <v>3.9835728952772076</v>
      </c>
      <c r="G658" s="3">
        <v>1</v>
      </c>
      <c r="H658" s="3">
        <v>0</v>
      </c>
      <c r="I658" s="3">
        <v>1</v>
      </c>
      <c r="J658" s="3">
        <v>0</v>
      </c>
      <c r="K658" s="3">
        <v>0</v>
      </c>
      <c r="L658" s="3">
        <v>0</v>
      </c>
      <c r="M658" s="3">
        <v>0</v>
      </c>
      <c r="N658" s="3">
        <v>1</v>
      </c>
      <c r="O658" s="3">
        <v>0</v>
      </c>
      <c r="P658" s="3">
        <v>1</v>
      </c>
      <c r="Q658" s="3">
        <v>0</v>
      </c>
      <c r="R658" s="3">
        <v>84.2</v>
      </c>
      <c r="S658" s="2">
        <v>10.6</v>
      </c>
      <c r="T658" t="s">
        <v>123</v>
      </c>
      <c r="U658" s="3">
        <v>1</v>
      </c>
      <c r="V658" s="3">
        <v>1</v>
      </c>
      <c r="W658" s="3">
        <v>0</v>
      </c>
      <c r="X658" s="3">
        <v>0</v>
      </c>
      <c r="Y658" s="3">
        <v>0</v>
      </c>
      <c r="Z658" s="3">
        <v>1</v>
      </c>
      <c r="AA658" s="3">
        <v>0</v>
      </c>
    </row>
    <row r="659" spans="1:27">
      <c r="A659" t="s">
        <v>745</v>
      </c>
      <c r="B659" s="3">
        <v>1</v>
      </c>
      <c r="C659" s="3">
        <v>0</v>
      </c>
      <c r="D659" s="1">
        <v>37652</v>
      </c>
      <c r="E659" s="1">
        <v>39082</v>
      </c>
      <c r="F659" s="2">
        <f t="shared" si="10"/>
        <v>3.915126625598905</v>
      </c>
      <c r="G659" s="3">
        <v>1</v>
      </c>
      <c r="H659" s="3">
        <v>1</v>
      </c>
      <c r="I659" s="3">
        <v>0</v>
      </c>
      <c r="J659" s="3">
        <v>0</v>
      </c>
      <c r="K659" s="3">
        <v>0</v>
      </c>
      <c r="L659" s="3">
        <v>0</v>
      </c>
      <c r="M659" s="3">
        <v>0</v>
      </c>
      <c r="N659" s="3">
        <v>1</v>
      </c>
      <c r="O659" s="3">
        <v>0</v>
      </c>
      <c r="P659" s="3">
        <v>0</v>
      </c>
      <c r="Q659" s="3">
        <v>0</v>
      </c>
      <c r="R659" s="3">
        <v>84.3</v>
      </c>
      <c r="S659" s="2">
        <v>10.9</v>
      </c>
      <c r="T659" t="s">
        <v>449</v>
      </c>
      <c r="U659" s="3">
        <v>1</v>
      </c>
      <c r="V659" s="3">
        <v>1</v>
      </c>
      <c r="W659" s="3">
        <v>1</v>
      </c>
      <c r="X659" s="3">
        <v>1</v>
      </c>
      <c r="Y659" s="3">
        <v>0</v>
      </c>
      <c r="Z659" s="3">
        <v>1</v>
      </c>
      <c r="AA659" s="3">
        <v>0</v>
      </c>
    </row>
    <row r="660" spans="1:27">
      <c r="A660" t="s">
        <v>746</v>
      </c>
      <c r="B660" s="3">
        <v>3</v>
      </c>
      <c r="C660" s="3">
        <v>0</v>
      </c>
      <c r="D660" s="1">
        <v>38322</v>
      </c>
      <c r="E660" s="1">
        <v>39082</v>
      </c>
      <c r="F660" s="2">
        <f t="shared" si="10"/>
        <v>2.0807665982203969</v>
      </c>
      <c r="G660" s="3">
        <v>2</v>
      </c>
      <c r="H660" s="3">
        <v>1</v>
      </c>
      <c r="I660" s="3">
        <v>0</v>
      </c>
      <c r="J660" s="3">
        <v>1</v>
      </c>
      <c r="K660" s="3">
        <v>0</v>
      </c>
      <c r="L660" s="3">
        <v>0</v>
      </c>
      <c r="M660" s="3">
        <v>0</v>
      </c>
      <c r="N660" s="3">
        <v>0</v>
      </c>
      <c r="O660" s="3">
        <v>0</v>
      </c>
      <c r="P660" s="3">
        <v>1</v>
      </c>
      <c r="Q660" s="3">
        <v>0</v>
      </c>
      <c r="R660" s="3">
        <v>84.3</v>
      </c>
      <c r="S660" s="2">
        <v>11.8</v>
      </c>
      <c r="T660" t="s">
        <v>28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</row>
    <row r="661" spans="1:27">
      <c r="A661" t="s">
        <v>747</v>
      </c>
      <c r="B661" s="3">
        <v>1</v>
      </c>
      <c r="C661" s="3">
        <v>0</v>
      </c>
      <c r="D661" s="1">
        <v>38150</v>
      </c>
      <c r="E661" s="1">
        <v>39082</v>
      </c>
      <c r="F661" s="2">
        <f t="shared" si="10"/>
        <v>2.5516769336071183</v>
      </c>
      <c r="G661" s="3">
        <v>1</v>
      </c>
      <c r="H661" s="3">
        <v>0</v>
      </c>
      <c r="I661" s="3">
        <v>1</v>
      </c>
      <c r="J661" s="3">
        <v>0</v>
      </c>
      <c r="K661" s="3">
        <v>0</v>
      </c>
      <c r="L661" s="3">
        <v>1</v>
      </c>
      <c r="M661" s="3">
        <v>0</v>
      </c>
      <c r="N661" s="3">
        <v>1</v>
      </c>
      <c r="O661" s="3">
        <v>0</v>
      </c>
      <c r="P661" s="3">
        <v>0</v>
      </c>
      <c r="Q661" s="3">
        <v>0</v>
      </c>
      <c r="R661" s="3">
        <v>84.3</v>
      </c>
      <c r="S661" s="2">
        <v>10.6</v>
      </c>
      <c r="T661" t="s">
        <v>398</v>
      </c>
      <c r="U661" s="3">
        <v>1</v>
      </c>
      <c r="V661" s="3">
        <v>1</v>
      </c>
      <c r="W661" s="3">
        <v>1</v>
      </c>
      <c r="X661" s="3">
        <v>1</v>
      </c>
      <c r="Y661" s="3">
        <v>0</v>
      </c>
      <c r="Z661" s="3">
        <v>1</v>
      </c>
      <c r="AA661" s="3">
        <v>0</v>
      </c>
    </row>
    <row r="662" spans="1:27">
      <c r="A662" t="s">
        <v>748</v>
      </c>
      <c r="B662" s="3">
        <v>2</v>
      </c>
      <c r="C662" s="3">
        <v>0</v>
      </c>
      <c r="D662" s="1">
        <v>36952</v>
      </c>
      <c r="E662" s="1">
        <v>39082</v>
      </c>
      <c r="F662" s="2">
        <f t="shared" si="10"/>
        <v>5.8316221765913756</v>
      </c>
      <c r="G662" s="3">
        <v>2</v>
      </c>
      <c r="H662" s="3">
        <v>1</v>
      </c>
      <c r="I662" s="3">
        <v>1</v>
      </c>
      <c r="J662" s="3">
        <v>1</v>
      </c>
      <c r="K662" s="3">
        <v>1</v>
      </c>
      <c r="L662" s="3">
        <v>1</v>
      </c>
      <c r="M662" s="3">
        <v>0</v>
      </c>
      <c r="N662" s="3">
        <v>1</v>
      </c>
      <c r="O662" s="3">
        <v>0</v>
      </c>
      <c r="P662" s="3">
        <v>1</v>
      </c>
      <c r="Q662" s="3">
        <v>0</v>
      </c>
      <c r="R662" s="3">
        <v>84.3</v>
      </c>
      <c r="S662" s="2">
        <v>11.5</v>
      </c>
      <c r="T662" t="s">
        <v>66</v>
      </c>
      <c r="U662" s="5" t="e">
        <v>#NULL!</v>
      </c>
      <c r="V662" s="3">
        <v>1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</row>
    <row r="663" spans="1:27">
      <c r="A663" t="s">
        <v>749</v>
      </c>
      <c r="B663" s="3">
        <v>3</v>
      </c>
      <c r="C663" s="3">
        <v>0</v>
      </c>
      <c r="D663" s="1">
        <v>37989</v>
      </c>
      <c r="E663" s="1">
        <v>39082</v>
      </c>
      <c r="F663" s="2">
        <f t="shared" si="10"/>
        <v>2.9924709103353866</v>
      </c>
      <c r="G663" s="3">
        <v>2</v>
      </c>
      <c r="H663" s="3">
        <v>1</v>
      </c>
      <c r="I663" s="3">
        <v>0</v>
      </c>
      <c r="J663" s="3">
        <v>0</v>
      </c>
      <c r="K663" s="3">
        <v>0</v>
      </c>
      <c r="L663" s="3">
        <v>0</v>
      </c>
      <c r="M663" s="3">
        <v>0</v>
      </c>
      <c r="N663" s="3">
        <v>1</v>
      </c>
      <c r="O663" s="3">
        <v>0</v>
      </c>
      <c r="P663" s="3">
        <v>0</v>
      </c>
      <c r="Q663" s="3">
        <v>0</v>
      </c>
      <c r="R663" s="3">
        <v>84.4</v>
      </c>
      <c r="S663" s="2">
        <v>11.2</v>
      </c>
      <c r="T663" t="s">
        <v>750</v>
      </c>
      <c r="U663" s="3">
        <v>0</v>
      </c>
      <c r="V663" s="3">
        <v>1</v>
      </c>
      <c r="W663" s="3">
        <v>1</v>
      </c>
      <c r="X663" s="3">
        <v>1</v>
      </c>
      <c r="Y663" s="3">
        <v>1</v>
      </c>
      <c r="Z663" s="3">
        <v>0</v>
      </c>
      <c r="AA663" s="3">
        <v>0</v>
      </c>
    </row>
    <row r="664" spans="1:27">
      <c r="A664" t="s">
        <v>751</v>
      </c>
      <c r="B664" s="3">
        <v>1</v>
      </c>
      <c r="C664" s="3">
        <v>0</v>
      </c>
      <c r="D664" s="1">
        <v>37501</v>
      </c>
      <c r="E664" s="1">
        <v>39082</v>
      </c>
      <c r="F664" s="2">
        <f t="shared" si="10"/>
        <v>4.3285420944558526</v>
      </c>
      <c r="G664" s="3">
        <v>2</v>
      </c>
      <c r="H664" s="3">
        <v>0</v>
      </c>
      <c r="I664" s="3">
        <v>0</v>
      </c>
      <c r="J664" s="3">
        <v>0</v>
      </c>
      <c r="K664" s="3">
        <v>0</v>
      </c>
      <c r="L664" s="3">
        <v>0</v>
      </c>
      <c r="M664" s="3">
        <v>0</v>
      </c>
      <c r="N664" s="3">
        <v>1</v>
      </c>
      <c r="O664" s="3">
        <v>0</v>
      </c>
      <c r="P664" s="3">
        <v>1</v>
      </c>
      <c r="Q664" s="3">
        <v>0</v>
      </c>
      <c r="R664" s="3">
        <v>84.5</v>
      </c>
      <c r="S664" s="2">
        <v>11.3</v>
      </c>
      <c r="T664" t="s">
        <v>752</v>
      </c>
      <c r="U664" s="3">
        <v>1</v>
      </c>
      <c r="V664" s="3">
        <v>1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</row>
    <row r="665" spans="1:27">
      <c r="A665" t="s">
        <v>100</v>
      </c>
      <c r="B665" s="3">
        <v>2</v>
      </c>
      <c r="C665" s="3">
        <v>0</v>
      </c>
      <c r="D665" s="1">
        <v>37756</v>
      </c>
      <c r="E665" s="1">
        <v>39082</v>
      </c>
      <c r="F665" s="2">
        <f t="shared" si="10"/>
        <v>3.6303901437371664</v>
      </c>
      <c r="G665" s="3">
        <v>1</v>
      </c>
      <c r="H665" s="3">
        <v>1</v>
      </c>
      <c r="I665" s="3">
        <v>0</v>
      </c>
      <c r="J665" s="3">
        <v>0</v>
      </c>
      <c r="K665" s="3">
        <v>0</v>
      </c>
      <c r="L665" s="3">
        <v>0</v>
      </c>
      <c r="M665" s="3">
        <v>0</v>
      </c>
      <c r="N665" s="3">
        <v>1</v>
      </c>
      <c r="O665" s="3">
        <v>0</v>
      </c>
      <c r="P665" s="3">
        <v>1</v>
      </c>
      <c r="Q665" s="3">
        <v>0</v>
      </c>
      <c r="R665" s="3">
        <v>84.5</v>
      </c>
      <c r="S665" s="2">
        <v>10.7</v>
      </c>
      <c r="T665" t="s">
        <v>28</v>
      </c>
      <c r="U665" s="3">
        <v>1</v>
      </c>
      <c r="V665" s="3">
        <v>1</v>
      </c>
      <c r="W665" s="3">
        <v>1</v>
      </c>
      <c r="X665" s="3">
        <v>1</v>
      </c>
      <c r="Y665" s="3">
        <v>0</v>
      </c>
      <c r="Z665" s="3">
        <v>1</v>
      </c>
      <c r="AA665" s="3">
        <v>0</v>
      </c>
    </row>
    <row r="666" spans="1:27">
      <c r="A666" t="s">
        <v>753</v>
      </c>
      <c r="B666" s="3">
        <v>2</v>
      </c>
      <c r="C666" s="3">
        <v>0</v>
      </c>
      <c r="D666" s="1">
        <v>38160</v>
      </c>
      <c r="E666" s="1">
        <v>39082</v>
      </c>
      <c r="F666" s="2">
        <f t="shared" si="10"/>
        <v>2.5242984257357972</v>
      </c>
      <c r="G666" s="3">
        <v>1</v>
      </c>
      <c r="H666" s="3">
        <v>1</v>
      </c>
      <c r="I666" s="3">
        <v>0</v>
      </c>
      <c r="J666" s="3">
        <v>1</v>
      </c>
      <c r="K666" s="3">
        <v>0</v>
      </c>
      <c r="L666" s="3">
        <v>0</v>
      </c>
      <c r="M666" s="3">
        <v>0</v>
      </c>
      <c r="N666" s="3">
        <v>1</v>
      </c>
      <c r="O666" s="3">
        <v>0</v>
      </c>
      <c r="P666" s="3">
        <v>1</v>
      </c>
      <c r="Q666" s="3">
        <v>0</v>
      </c>
      <c r="R666" s="3">
        <v>84.5</v>
      </c>
      <c r="S666" s="2">
        <v>11.6</v>
      </c>
      <c r="T666" t="s">
        <v>44</v>
      </c>
      <c r="U666" s="3">
        <v>1</v>
      </c>
      <c r="V666" s="3">
        <v>1</v>
      </c>
      <c r="W666" s="3">
        <v>1</v>
      </c>
      <c r="X666" s="3">
        <v>1</v>
      </c>
      <c r="Y666" s="3">
        <v>0</v>
      </c>
      <c r="Z666" s="3">
        <v>1</v>
      </c>
      <c r="AA666" s="3">
        <v>0</v>
      </c>
    </row>
    <row r="667" spans="1:27">
      <c r="A667" t="s">
        <v>754</v>
      </c>
      <c r="B667" s="3">
        <v>3</v>
      </c>
      <c r="C667" s="3">
        <v>1</v>
      </c>
      <c r="D667" s="1">
        <v>37347</v>
      </c>
      <c r="E667" s="1">
        <v>39082</v>
      </c>
      <c r="F667" s="2">
        <f t="shared" si="10"/>
        <v>4.7501711156741955</v>
      </c>
      <c r="G667" s="3">
        <v>1</v>
      </c>
      <c r="H667" s="3">
        <v>1</v>
      </c>
      <c r="I667" s="3">
        <v>0</v>
      </c>
      <c r="J667" s="3">
        <v>1</v>
      </c>
      <c r="K667" s="3">
        <v>0</v>
      </c>
      <c r="L667" s="3">
        <v>0</v>
      </c>
      <c r="M667" s="3">
        <v>0</v>
      </c>
      <c r="N667" s="3">
        <v>1</v>
      </c>
      <c r="O667" s="3">
        <v>0</v>
      </c>
      <c r="P667" s="3">
        <v>0</v>
      </c>
      <c r="Q667" s="3">
        <v>0</v>
      </c>
      <c r="R667" s="3">
        <v>84.5</v>
      </c>
      <c r="S667" s="2">
        <v>10.8</v>
      </c>
      <c r="T667" t="s">
        <v>28</v>
      </c>
      <c r="U667" s="3">
        <v>0</v>
      </c>
      <c r="V667" s="3">
        <v>0</v>
      </c>
      <c r="W667" s="3">
        <v>1</v>
      </c>
      <c r="X667" s="3">
        <v>1</v>
      </c>
      <c r="Y667" s="3">
        <v>1</v>
      </c>
      <c r="Z667" s="3">
        <v>1</v>
      </c>
      <c r="AA667" s="3">
        <v>0</v>
      </c>
    </row>
    <row r="668" spans="1:27">
      <c r="A668" t="s">
        <v>755</v>
      </c>
      <c r="B668" s="3">
        <v>1</v>
      </c>
      <c r="C668" s="3">
        <v>0</v>
      </c>
      <c r="D668" s="1">
        <v>37445</v>
      </c>
      <c r="E668" s="1">
        <v>39082</v>
      </c>
      <c r="F668" s="2">
        <f t="shared" si="10"/>
        <v>4.4818617385352502</v>
      </c>
      <c r="G668" s="3">
        <v>1</v>
      </c>
      <c r="H668" s="3">
        <v>1</v>
      </c>
      <c r="I668" s="3">
        <v>1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84.5</v>
      </c>
      <c r="S668" s="2">
        <v>11</v>
      </c>
      <c r="T668" t="s">
        <v>28</v>
      </c>
      <c r="U668" s="3">
        <v>1</v>
      </c>
      <c r="V668" s="3">
        <v>0</v>
      </c>
      <c r="W668" s="3">
        <v>1</v>
      </c>
      <c r="X668" s="3">
        <v>1</v>
      </c>
      <c r="Y668" s="3">
        <v>0</v>
      </c>
      <c r="Z668" s="3">
        <v>1</v>
      </c>
      <c r="AA668" s="3">
        <v>0</v>
      </c>
    </row>
    <row r="669" spans="1:27">
      <c r="A669" t="s">
        <v>756</v>
      </c>
      <c r="B669" s="3">
        <v>2</v>
      </c>
      <c r="C669" s="3">
        <v>1</v>
      </c>
      <c r="D669" s="1">
        <v>37473</v>
      </c>
      <c r="E669" s="1">
        <v>39082</v>
      </c>
      <c r="F669" s="2">
        <f t="shared" si="10"/>
        <v>4.4052019164955514</v>
      </c>
      <c r="G669" s="3">
        <v>1</v>
      </c>
      <c r="H669" s="3">
        <v>1</v>
      </c>
      <c r="I669" s="3">
        <v>0</v>
      </c>
      <c r="J669" s="3">
        <v>0</v>
      </c>
      <c r="K669" s="3">
        <v>0</v>
      </c>
      <c r="L669" s="3">
        <v>0</v>
      </c>
      <c r="M669" s="3">
        <v>0</v>
      </c>
      <c r="N669" s="3">
        <v>1</v>
      </c>
      <c r="O669" s="3">
        <v>0</v>
      </c>
      <c r="P669" s="3">
        <v>0</v>
      </c>
      <c r="Q669" s="3">
        <v>0</v>
      </c>
      <c r="R669" s="3">
        <v>84.6</v>
      </c>
      <c r="S669" s="2">
        <v>11.1</v>
      </c>
      <c r="T669" t="s">
        <v>66</v>
      </c>
      <c r="U669" s="3">
        <v>1</v>
      </c>
      <c r="V669" s="3">
        <v>1</v>
      </c>
      <c r="W669" s="3">
        <v>1</v>
      </c>
      <c r="X669" s="3">
        <v>0</v>
      </c>
      <c r="Y669" s="3">
        <v>0</v>
      </c>
      <c r="Z669" s="3">
        <v>1</v>
      </c>
      <c r="AA669" s="3">
        <v>0</v>
      </c>
    </row>
    <row r="670" spans="1:27">
      <c r="A670" t="s">
        <v>757</v>
      </c>
      <c r="B670" s="3">
        <v>1</v>
      </c>
      <c r="C670" s="3">
        <v>0</v>
      </c>
      <c r="D670" s="1">
        <v>37546</v>
      </c>
      <c r="E670" s="1">
        <v>39082</v>
      </c>
      <c r="F670" s="2">
        <f t="shared" si="10"/>
        <v>4.2053388090349078</v>
      </c>
      <c r="G670" s="3">
        <v>2</v>
      </c>
      <c r="H670" s="3">
        <v>1</v>
      </c>
      <c r="I670" s="3">
        <v>0</v>
      </c>
      <c r="J670" s="3">
        <v>0</v>
      </c>
      <c r="K670" s="3">
        <v>1</v>
      </c>
      <c r="L670" s="3">
        <v>0</v>
      </c>
      <c r="M670" s="3">
        <v>1</v>
      </c>
      <c r="N670" s="3">
        <v>1</v>
      </c>
      <c r="O670" s="3">
        <v>1</v>
      </c>
      <c r="P670" s="3">
        <v>1</v>
      </c>
      <c r="Q670" s="3">
        <v>0</v>
      </c>
      <c r="R670" s="3">
        <v>84.6</v>
      </c>
      <c r="S670" s="2">
        <v>9.9</v>
      </c>
      <c r="T670" t="s">
        <v>336</v>
      </c>
      <c r="U670" s="3">
        <v>1</v>
      </c>
      <c r="V670" s="3">
        <v>1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</row>
    <row r="671" spans="1:27">
      <c r="A671" t="s">
        <v>337</v>
      </c>
      <c r="B671" s="3">
        <v>2</v>
      </c>
      <c r="C671" s="3">
        <v>0</v>
      </c>
      <c r="D671" s="1">
        <v>38263</v>
      </c>
      <c r="E671" s="1">
        <v>39082</v>
      </c>
      <c r="F671" s="2">
        <f t="shared" si="10"/>
        <v>2.2422997946611911</v>
      </c>
      <c r="G671" s="3">
        <v>1</v>
      </c>
      <c r="H671" s="3">
        <v>0</v>
      </c>
      <c r="I671" s="3">
        <v>0</v>
      </c>
      <c r="J671" s="3">
        <v>0</v>
      </c>
      <c r="K671" s="3">
        <v>0</v>
      </c>
      <c r="L671" s="3">
        <v>1</v>
      </c>
      <c r="M671" s="3">
        <v>0</v>
      </c>
      <c r="N671" s="3">
        <v>1</v>
      </c>
      <c r="O671" s="3">
        <v>0</v>
      </c>
      <c r="P671" s="3">
        <v>1</v>
      </c>
      <c r="Q671" s="3">
        <v>0</v>
      </c>
      <c r="R671" s="3">
        <v>84.7</v>
      </c>
      <c r="S671" s="2">
        <v>9.6</v>
      </c>
      <c r="T671" t="s">
        <v>69</v>
      </c>
      <c r="U671" s="3">
        <v>1</v>
      </c>
      <c r="V671" s="3">
        <v>1</v>
      </c>
      <c r="W671" s="3">
        <v>1</v>
      </c>
      <c r="X671" s="3">
        <v>0</v>
      </c>
      <c r="Y671" s="3">
        <v>0</v>
      </c>
      <c r="Z671" s="3">
        <v>1</v>
      </c>
      <c r="AA671" s="3">
        <v>0</v>
      </c>
    </row>
    <row r="672" spans="1:27">
      <c r="A672" t="s">
        <v>758</v>
      </c>
      <c r="B672" s="3">
        <v>3</v>
      </c>
      <c r="C672" s="3">
        <v>0</v>
      </c>
      <c r="D672" s="1">
        <v>38292</v>
      </c>
      <c r="E672" s="1">
        <v>39082</v>
      </c>
      <c r="F672" s="2">
        <f t="shared" si="10"/>
        <v>2.1629021218343598</v>
      </c>
      <c r="G672" s="3">
        <v>1</v>
      </c>
      <c r="H672" s="3">
        <v>0</v>
      </c>
      <c r="I672" s="3">
        <v>0</v>
      </c>
      <c r="J672" s="3">
        <v>0</v>
      </c>
      <c r="K672" s="3">
        <v>0</v>
      </c>
      <c r="L672" s="3">
        <v>0</v>
      </c>
      <c r="M672" s="3">
        <v>0</v>
      </c>
      <c r="N672" s="3">
        <v>1</v>
      </c>
      <c r="O672" s="3">
        <v>0</v>
      </c>
      <c r="P672" s="3">
        <v>0</v>
      </c>
      <c r="Q672" s="3">
        <v>0</v>
      </c>
      <c r="R672" s="3">
        <v>84.7</v>
      </c>
      <c r="S672" s="2">
        <v>12.7</v>
      </c>
      <c r="T672" t="s">
        <v>759</v>
      </c>
      <c r="U672" s="3">
        <v>1</v>
      </c>
      <c r="V672" s="3">
        <v>1</v>
      </c>
      <c r="W672" s="3">
        <v>0</v>
      </c>
      <c r="X672" s="3">
        <v>0</v>
      </c>
      <c r="Y672" s="3">
        <v>0</v>
      </c>
      <c r="Z672" s="3">
        <v>1</v>
      </c>
      <c r="AA672" s="3">
        <v>0</v>
      </c>
    </row>
    <row r="673" spans="1:27">
      <c r="A673" t="s">
        <v>760</v>
      </c>
      <c r="B673" s="3">
        <v>2</v>
      </c>
      <c r="C673" s="3">
        <v>0</v>
      </c>
      <c r="D673" s="1">
        <v>37519</v>
      </c>
      <c r="E673" s="1">
        <v>39082</v>
      </c>
      <c r="F673" s="2">
        <f t="shared" si="10"/>
        <v>4.2792607802874745</v>
      </c>
      <c r="G673" s="3">
        <v>1</v>
      </c>
      <c r="H673" s="3">
        <v>1</v>
      </c>
      <c r="I673" s="3">
        <v>0</v>
      </c>
      <c r="J673" s="3">
        <v>0</v>
      </c>
      <c r="K673" s="3">
        <v>0</v>
      </c>
      <c r="L673" s="3">
        <v>0</v>
      </c>
      <c r="M673" s="3">
        <v>0</v>
      </c>
      <c r="N673" s="3">
        <v>1</v>
      </c>
      <c r="O673" s="3">
        <v>0</v>
      </c>
      <c r="P673" s="3">
        <v>0</v>
      </c>
      <c r="Q673" s="3">
        <v>0</v>
      </c>
      <c r="R673" s="3">
        <v>84.7</v>
      </c>
      <c r="S673" s="2">
        <v>11.2</v>
      </c>
      <c r="T673" t="s">
        <v>251</v>
      </c>
      <c r="U673" s="3">
        <v>1</v>
      </c>
      <c r="V673" s="3">
        <v>1</v>
      </c>
      <c r="W673" s="3">
        <v>0</v>
      </c>
      <c r="X673" s="3">
        <v>0</v>
      </c>
      <c r="Y673" s="3">
        <v>0</v>
      </c>
      <c r="Z673" s="3">
        <v>1</v>
      </c>
      <c r="AA673" s="3">
        <v>0</v>
      </c>
    </row>
    <row r="674" spans="1:27">
      <c r="A674" t="s">
        <v>761</v>
      </c>
      <c r="B674" s="3">
        <v>2</v>
      </c>
      <c r="C674" s="3">
        <v>0</v>
      </c>
      <c r="D674" s="1">
        <v>37539</v>
      </c>
      <c r="E674" s="1">
        <v>39082</v>
      </c>
      <c r="F674" s="2">
        <f t="shared" si="10"/>
        <v>4.2245037645448322</v>
      </c>
      <c r="G674" s="3">
        <v>2</v>
      </c>
      <c r="H674" s="3">
        <v>1</v>
      </c>
      <c r="I674" s="3">
        <v>0</v>
      </c>
      <c r="J674" s="3">
        <v>0</v>
      </c>
      <c r="K674" s="3">
        <v>0</v>
      </c>
      <c r="L674" s="3">
        <v>0</v>
      </c>
      <c r="M674" s="3">
        <v>0</v>
      </c>
      <c r="N674" s="3">
        <v>1</v>
      </c>
      <c r="O674" s="3">
        <v>0</v>
      </c>
      <c r="P674" s="3">
        <v>0</v>
      </c>
      <c r="Q674" s="3">
        <v>0</v>
      </c>
      <c r="R674" s="3">
        <v>84.8</v>
      </c>
      <c r="S674" s="2">
        <v>10.7</v>
      </c>
      <c r="T674" t="s">
        <v>28</v>
      </c>
      <c r="U674" s="3">
        <v>1</v>
      </c>
      <c r="V674" s="3">
        <v>1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</row>
    <row r="675" spans="1:27">
      <c r="A675" t="s">
        <v>762</v>
      </c>
      <c r="B675" s="3">
        <v>1</v>
      </c>
      <c r="C675" s="3">
        <v>0</v>
      </c>
      <c r="D675" s="1">
        <v>37534</v>
      </c>
      <c r="E675" s="1">
        <v>39082</v>
      </c>
      <c r="F675" s="2">
        <f t="shared" si="10"/>
        <v>4.2381930184804926</v>
      </c>
      <c r="G675" s="3">
        <v>2</v>
      </c>
      <c r="H675" s="3">
        <v>1</v>
      </c>
      <c r="I675" s="3">
        <v>0</v>
      </c>
      <c r="J675" s="3">
        <v>1</v>
      </c>
      <c r="K675" s="3">
        <v>0</v>
      </c>
      <c r="L675" s="3">
        <v>0</v>
      </c>
      <c r="M675" s="3">
        <v>0</v>
      </c>
      <c r="N675" s="3">
        <v>1</v>
      </c>
      <c r="O675" s="3">
        <v>0</v>
      </c>
      <c r="P675" s="3">
        <v>1</v>
      </c>
      <c r="Q675" s="3">
        <v>0</v>
      </c>
      <c r="R675" s="3">
        <v>84.8</v>
      </c>
      <c r="S675" s="2">
        <v>12.4</v>
      </c>
      <c r="T675" t="s">
        <v>28</v>
      </c>
      <c r="U675" s="3">
        <v>0</v>
      </c>
      <c r="V675" s="3">
        <v>1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</row>
    <row r="676" spans="1:27">
      <c r="A676" t="s">
        <v>763</v>
      </c>
      <c r="B676" s="3">
        <v>2</v>
      </c>
      <c r="C676" s="3">
        <v>0</v>
      </c>
      <c r="D676" s="1">
        <v>37163</v>
      </c>
      <c r="E676" s="1">
        <v>39082</v>
      </c>
      <c r="F676" s="2">
        <f t="shared" si="10"/>
        <v>5.2539356605065022</v>
      </c>
      <c r="G676" s="3">
        <v>1</v>
      </c>
      <c r="H676" s="3">
        <v>1</v>
      </c>
      <c r="I676" s="3">
        <v>0</v>
      </c>
      <c r="J676" s="3">
        <v>0</v>
      </c>
      <c r="K676" s="3">
        <v>0</v>
      </c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85</v>
      </c>
      <c r="S676" s="2">
        <v>12.4</v>
      </c>
      <c r="T676" t="s">
        <v>28</v>
      </c>
      <c r="U676" s="3">
        <v>1</v>
      </c>
      <c r="V676" s="3">
        <v>1</v>
      </c>
      <c r="W676" s="3">
        <v>1</v>
      </c>
      <c r="X676" s="3">
        <v>1</v>
      </c>
      <c r="Y676" s="3">
        <v>0</v>
      </c>
      <c r="Z676" s="3">
        <v>1</v>
      </c>
      <c r="AA676" s="3">
        <v>0</v>
      </c>
    </row>
    <row r="677" spans="1:27">
      <c r="A677" t="s">
        <v>764</v>
      </c>
      <c r="B677" s="3">
        <v>3</v>
      </c>
      <c r="C677" s="3">
        <v>0</v>
      </c>
      <c r="D677" s="1">
        <v>37165</v>
      </c>
      <c r="E677" s="1">
        <v>39082</v>
      </c>
      <c r="F677" s="2">
        <f t="shared" si="10"/>
        <v>5.248459958932238</v>
      </c>
      <c r="G677" s="3">
        <v>1</v>
      </c>
      <c r="H677" s="3">
        <v>1</v>
      </c>
      <c r="I677" s="3">
        <v>0</v>
      </c>
      <c r="J677" s="3">
        <v>1</v>
      </c>
      <c r="K677" s="3">
        <v>0</v>
      </c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85</v>
      </c>
      <c r="S677" s="2">
        <v>11.6</v>
      </c>
      <c r="T677" t="s">
        <v>28</v>
      </c>
      <c r="U677" s="3">
        <v>0</v>
      </c>
      <c r="V677" s="3">
        <v>0</v>
      </c>
      <c r="W677" s="3">
        <v>1</v>
      </c>
      <c r="X677" s="3">
        <v>1</v>
      </c>
      <c r="Y677" s="3">
        <v>1</v>
      </c>
      <c r="Z677" s="3">
        <v>1</v>
      </c>
      <c r="AA677" s="3">
        <v>0</v>
      </c>
    </row>
    <row r="678" spans="1:27">
      <c r="A678" t="s">
        <v>765</v>
      </c>
      <c r="B678" s="3">
        <v>1</v>
      </c>
      <c r="C678" s="3">
        <v>0</v>
      </c>
      <c r="D678" s="1">
        <v>37565</v>
      </c>
      <c r="E678" s="1">
        <v>39082</v>
      </c>
      <c r="F678" s="2">
        <f t="shared" si="10"/>
        <v>4.1533196440793976</v>
      </c>
      <c r="G678" s="3">
        <v>2</v>
      </c>
      <c r="H678" s="3">
        <v>0</v>
      </c>
      <c r="I678" s="3">
        <v>1</v>
      </c>
      <c r="J678" s="3">
        <v>0</v>
      </c>
      <c r="K678" s="3">
        <v>0</v>
      </c>
      <c r="L678" s="3">
        <v>0</v>
      </c>
      <c r="M678" s="3">
        <v>0</v>
      </c>
      <c r="N678" s="3">
        <v>1</v>
      </c>
      <c r="O678" s="3">
        <v>0</v>
      </c>
      <c r="P678" s="3">
        <v>0</v>
      </c>
      <c r="Q678" s="3">
        <v>0</v>
      </c>
      <c r="R678" s="3">
        <v>85</v>
      </c>
      <c r="S678" s="2">
        <v>10.8</v>
      </c>
      <c r="T678" t="s">
        <v>28</v>
      </c>
      <c r="U678" s="3">
        <v>1</v>
      </c>
      <c r="V678" s="3">
        <v>1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</row>
    <row r="679" spans="1:27">
      <c r="A679" t="s">
        <v>766</v>
      </c>
      <c r="B679" s="3">
        <v>1</v>
      </c>
      <c r="C679" s="3">
        <v>0</v>
      </c>
      <c r="D679" s="1">
        <v>37565</v>
      </c>
      <c r="E679" s="1">
        <v>39082</v>
      </c>
      <c r="F679" s="2">
        <f t="shared" si="10"/>
        <v>4.1533196440793976</v>
      </c>
      <c r="G679" s="3">
        <v>2</v>
      </c>
      <c r="H679" s="3">
        <v>0</v>
      </c>
      <c r="I679" s="3">
        <v>1</v>
      </c>
      <c r="J679" s="3">
        <v>0</v>
      </c>
      <c r="K679" s="3">
        <v>0</v>
      </c>
      <c r="L679" s="3">
        <v>1</v>
      </c>
      <c r="M679" s="3">
        <v>0</v>
      </c>
      <c r="N679" s="3">
        <v>1</v>
      </c>
      <c r="O679" s="3">
        <v>0</v>
      </c>
      <c r="P679" s="3">
        <v>0</v>
      </c>
      <c r="Q679" s="3">
        <v>0</v>
      </c>
      <c r="R679" s="3">
        <v>85</v>
      </c>
      <c r="S679" s="2">
        <v>10.6</v>
      </c>
      <c r="T679" t="s">
        <v>92</v>
      </c>
      <c r="U679" s="3">
        <v>1</v>
      </c>
      <c r="V679" s="3">
        <v>1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</row>
    <row r="680" spans="1:27">
      <c r="A680" t="s">
        <v>767</v>
      </c>
      <c r="B680" s="3">
        <v>2</v>
      </c>
      <c r="C680" s="3">
        <v>0</v>
      </c>
      <c r="D680" s="1">
        <v>38240</v>
      </c>
      <c r="E680" s="1">
        <v>39082</v>
      </c>
      <c r="F680" s="2">
        <f t="shared" si="10"/>
        <v>2.3052703627652291</v>
      </c>
      <c r="G680" s="3">
        <v>1</v>
      </c>
      <c r="H680" s="3">
        <v>0</v>
      </c>
      <c r="I680" s="3">
        <v>1</v>
      </c>
      <c r="J680" s="3">
        <v>1</v>
      </c>
      <c r="K680" s="3">
        <v>0</v>
      </c>
      <c r="L680" s="3">
        <v>0</v>
      </c>
      <c r="M680" s="3">
        <v>0</v>
      </c>
      <c r="N680" s="3">
        <v>1</v>
      </c>
      <c r="O680" s="3">
        <v>0</v>
      </c>
      <c r="P680" s="3">
        <v>1</v>
      </c>
      <c r="Q680" s="3">
        <v>0</v>
      </c>
      <c r="R680" s="3">
        <v>85</v>
      </c>
      <c r="S680" s="2">
        <v>10.3</v>
      </c>
      <c r="T680" t="s">
        <v>28</v>
      </c>
      <c r="U680" s="3">
        <v>1</v>
      </c>
      <c r="V680" s="3">
        <v>1</v>
      </c>
      <c r="W680" s="3">
        <v>1</v>
      </c>
      <c r="X680" s="3">
        <v>0</v>
      </c>
      <c r="Y680" s="3">
        <v>1</v>
      </c>
      <c r="Z680" s="3">
        <v>1</v>
      </c>
      <c r="AA680" s="3">
        <v>0</v>
      </c>
    </row>
    <row r="681" spans="1:27">
      <c r="A681" t="s">
        <v>768</v>
      </c>
      <c r="B681" s="3">
        <v>1</v>
      </c>
      <c r="C681" s="3">
        <v>0</v>
      </c>
      <c r="D681" s="1">
        <v>37389</v>
      </c>
      <c r="E681" s="1">
        <v>39082</v>
      </c>
      <c r="F681" s="2">
        <f t="shared" si="10"/>
        <v>4.6351813826146477</v>
      </c>
      <c r="G681" s="3">
        <v>2</v>
      </c>
      <c r="H681" s="3">
        <v>0</v>
      </c>
      <c r="I681" s="3">
        <v>0</v>
      </c>
      <c r="J681" s="3">
        <v>0</v>
      </c>
      <c r="K681" s="3">
        <v>0</v>
      </c>
      <c r="L681" s="3">
        <v>0</v>
      </c>
      <c r="M681" s="3">
        <v>0</v>
      </c>
      <c r="N681" s="3">
        <v>1</v>
      </c>
      <c r="O681" s="3">
        <v>0</v>
      </c>
      <c r="P681" s="3">
        <v>1</v>
      </c>
      <c r="Q681" s="3">
        <v>0</v>
      </c>
      <c r="R681" s="3">
        <v>85.1</v>
      </c>
      <c r="S681" s="2">
        <v>10.3</v>
      </c>
      <c r="T681" t="s">
        <v>28</v>
      </c>
      <c r="U681" s="3">
        <v>0</v>
      </c>
      <c r="V681" s="3">
        <v>1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</row>
    <row r="682" spans="1:27">
      <c r="A682" t="s">
        <v>769</v>
      </c>
      <c r="B682" s="3">
        <v>2</v>
      </c>
      <c r="C682" s="3">
        <v>1</v>
      </c>
      <c r="D682" s="1">
        <v>37483</v>
      </c>
      <c r="E682" s="1">
        <v>39082</v>
      </c>
      <c r="F682" s="2">
        <f t="shared" si="10"/>
        <v>4.3778234086242298</v>
      </c>
      <c r="G682" s="3">
        <v>1</v>
      </c>
      <c r="H682" s="3">
        <v>1</v>
      </c>
      <c r="I682" s="3">
        <v>0</v>
      </c>
      <c r="J682" s="3">
        <v>0</v>
      </c>
      <c r="K682" s="3">
        <v>0</v>
      </c>
      <c r="L682" s="3">
        <v>0</v>
      </c>
      <c r="M682" s="3">
        <v>0</v>
      </c>
      <c r="N682" s="3">
        <v>1</v>
      </c>
      <c r="O682" s="3">
        <v>0</v>
      </c>
      <c r="P682" s="3">
        <v>0</v>
      </c>
      <c r="Q682" s="3">
        <v>0</v>
      </c>
      <c r="R682" s="3">
        <v>85.1</v>
      </c>
      <c r="S682" s="2">
        <v>11.6</v>
      </c>
      <c r="T682" t="s">
        <v>66</v>
      </c>
      <c r="U682" s="3">
        <v>1</v>
      </c>
      <c r="V682" s="3">
        <v>1</v>
      </c>
      <c r="W682" s="3">
        <v>1</v>
      </c>
      <c r="X682" s="3">
        <v>1</v>
      </c>
      <c r="Y682" s="3">
        <v>0</v>
      </c>
      <c r="Z682" s="3">
        <v>1</v>
      </c>
      <c r="AA682" s="3">
        <v>0</v>
      </c>
    </row>
    <row r="683" spans="1:27">
      <c r="A683" t="s">
        <v>770</v>
      </c>
      <c r="B683" s="3">
        <v>3</v>
      </c>
      <c r="C683" s="3">
        <v>0</v>
      </c>
      <c r="D683" s="1">
        <v>37347</v>
      </c>
      <c r="E683" s="1">
        <v>39082</v>
      </c>
      <c r="F683" s="2">
        <f t="shared" si="10"/>
        <v>4.7501711156741955</v>
      </c>
      <c r="G683" s="3">
        <v>1</v>
      </c>
      <c r="H683" s="3">
        <v>1</v>
      </c>
      <c r="I683" s="3">
        <v>0</v>
      </c>
      <c r="J683" s="3">
        <v>1</v>
      </c>
      <c r="K683" s="3">
        <v>0</v>
      </c>
      <c r="L683" s="3">
        <v>0</v>
      </c>
      <c r="M683" s="3">
        <v>0</v>
      </c>
      <c r="N683" s="3">
        <v>1</v>
      </c>
      <c r="O683" s="3">
        <v>0</v>
      </c>
      <c r="P683" s="3">
        <v>0</v>
      </c>
      <c r="Q683" s="3">
        <v>0</v>
      </c>
      <c r="R683" s="3">
        <v>85.1</v>
      </c>
      <c r="S683" s="2">
        <v>11.5</v>
      </c>
      <c r="T683" t="s">
        <v>646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1</v>
      </c>
      <c r="AA683" s="3">
        <v>0</v>
      </c>
    </row>
    <row r="684" spans="1:27">
      <c r="A684" t="s">
        <v>771</v>
      </c>
      <c r="B684" s="3">
        <v>1</v>
      </c>
      <c r="C684" s="3">
        <v>0</v>
      </c>
      <c r="D684" s="1">
        <v>38349</v>
      </c>
      <c r="E684" s="1">
        <v>39082</v>
      </c>
      <c r="F684" s="2">
        <f t="shared" si="10"/>
        <v>2.0068446269678302</v>
      </c>
      <c r="G684" s="3">
        <v>2</v>
      </c>
      <c r="H684" s="3">
        <v>1</v>
      </c>
      <c r="I684" s="3">
        <v>1</v>
      </c>
      <c r="J684" s="3">
        <v>0</v>
      </c>
      <c r="K684" s="3">
        <v>0</v>
      </c>
      <c r="L684" s="3">
        <v>0</v>
      </c>
      <c r="M684" s="3">
        <v>0</v>
      </c>
      <c r="N684" s="3">
        <v>1</v>
      </c>
      <c r="O684" s="3">
        <v>0</v>
      </c>
      <c r="P684" s="3">
        <v>0</v>
      </c>
      <c r="Q684" s="3">
        <v>0</v>
      </c>
      <c r="R684" s="3">
        <v>85.1</v>
      </c>
      <c r="S684" s="2">
        <v>9.6</v>
      </c>
      <c r="T684" t="s">
        <v>336</v>
      </c>
      <c r="U684" s="3">
        <v>1</v>
      </c>
      <c r="V684" s="3">
        <v>1</v>
      </c>
      <c r="W684" s="3">
        <v>1</v>
      </c>
      <c r="X684" s="3">
        <v>1</v>
      </c>
      <c r="Y684" s="3">
        <v>0</v>
      </c>
      <c r="Z684" s="3">
        <v>0</v>
      </c>
      <c r="AA684" s="3">
        <v>0</v>
      </c>
    </row>
    <row r="685" spans="1:27">
      <c r="A685" t="s">
        <v>772</v>
      </c>
      <c r="B685" s="3">
        <v>1</v>
      </c>
      <c r="C685" s="3">
        <v>0</v>
      </c>
      <c r="D685" s="1">
        <v>37363</v>
      </c>
      <c r="E685" s="1">
        <v>39082</v>
      </c>
      <c r="F685" s="2">
        <f t="shared" si="10"/>
        <v>4.7063655030800824</v>
      </c>
      <c r="G685" s="3">
        <v>1</v>
      </c>
      <c r="H685" s="3">
        <v>0</v>
      </c>
      <c r="I685" s="3">
        <v>0</v>
      </c>
      <c r="J685" s="3">
        <v>0</v>
      </c>
      <c r="K685" s="3">
        <v>1</v>
      </c>
      <c r="L685" s="3">
        <v>0</v>
      </c>
      <c r="M685" s="3">
        <v>0</v>
      </c>
      <c r="N685" s="3">
        <v>1</v>
      </c>
      <c r="O685" s="3">
        <v>1</v>
      </c>
      <c r="P685" s="3">
        <v>1</v>
      </c>
      <c r="Q685" s="3">
        <v>0</v>
      </c>
      <c r="R685" s="3">
        <v>85.2</v>
      </c>
      <c r="S685" s="2">
        <v>11.6</v>
      </c>
      <c r="T685" t="s">
        <v>82</v>
      </c>
      <c r="U685" s="3">
        <v>1</v>
      </c>
      <c r="V685" s="3">
        <v>1</v>
      </c>
      <c r="W685" s="3">
        <v>0</v>
      </c>
      <c r="X685" s="3">
        <v>0</v>
      </c>
      <c r="Y685" s="3">
        <v>1</v>
      </c>
      <c r="Z685" s="3">
        <v>1</v>
      </c>
      <c r="AA685" s="3">
        <v>0</v>
      </c>
    </row>
    <row r="686" spans="1:27">
      <c r="A686" t="s">
        <v>406</v>
      </c>
      <c r="B686" s="3">
        <v>1</v>
      </c>
      <c r="C686" s="3">
        <v>0</v>
      </c>
      <c r="D686" s="1">
        <v>37529</v>
      </c>
      <c r="E686" s="1">
        <v>39082</v>
      </c>
      <c r="F686" s="2">
        <f t="shared" si="10"/>
        <v>4.2518822724161529</v>
      </c>
      <c r="G686" s="3">
        <v>1</v>
      </c>
      <c r="H686" s="3">
        <v>1</v>
      </c>
      <c r="I686" s="3">
        <v>0</v>
      </c>
      <c r="J686" s="3">
        <v>0</v>
      </c>
      <c r="K686" s="3">
        <v>1</v>
      </c>
      <c r="L686" s="3">
        <v>0</v>
      </c>
      <c r="M686" s="3">
        <v>0</v>
      </c>
      <c r="N686" s="3">
        <v>1</v>
      </c>
      <c r="O686" s="3">
        <v>0</v>
      </c>
      <c r="P686" s="3">
        <v>0</v>
      </c>
      <c r="Q686" s="3">
        <v>0</v>
      </c>
      <c r="R686" s="3">
        <v>85.2</v>
      </c>
      <c r="S686" s="2">
        <v>9.8000000000000007</v>
      </c>
      <c r="T686" t="s">
        <v>28</v>
      </c>
      <c r="U686" s="3">
        <v>1</v>
      </c>
      <c r="V686" s="3">
        <v>1</v>
      </c>
      <c r="W686" s="3">
        <v>1</v>
      </c>
      <c r="X686" s="3">
        <v>1</v>
      </c>
      <c r="Y686" s="3">
        <v>0</v>
      </c>
      <c r="Z686" s="3">
        <v>1</v>
      </c>
      <c r="AA686" s="3">
        <v>0</v>
      </c>
    </row>
    <row r="687" spans="1:27">
      <c r="A687" t="s">
        <v>773</v>
      </c>
      <c r="B687" s="3">
        <v>2</v>
      </c>
      <c r="C687" s="3">
        <v>1</v>
      </c>
      <c r="D687" s="1">
        <v>37768</v>
      </c>
      <c r="E687" s="1">
        <v>39082</v>
      </c>
      <c r="F687" s="2">
        <f t="shared" si="10"/>
        <v>3.5975359342915811</v>
      </c>
      <c r="G687" s="3">
        <v>1</v>
      </c>
      <c r="H687" s="3">
        <v>1</v>
      </c>
      <c r="I687" s="3">
        <v>0</v>
      </c>
      <c r="J687" s="3">
        <v>0</v>
      </c>
      <c r="K687" s="3">
        <v>1</v>
      </c>
      <c r="L687" s="3">
        <v>0</v>
      </c>
      <c r="M687" s="3">
        <v>0</v>
      </c>
      <c r="N687" s="3">
        <v>1</v>
      </c>
      <c r="O687" s="3">
        <v>0</v>
      </c>
      <c r="P687" s="3">
        <v>1</v>
      </c>
      <c r="Q687" s="3">
        <v>0</v>
      </c>
      <c r="R687" s="3">
        <v>85.2</v>
      </c>
      <c r="S687" s="2">
        <v>12.4</v>
      </c>
      <c r="T687" t="s">
        <v>28</v>
      </c>
      <c r="U687" s="3">
        <v>1</v>
      </c>
      <c r="V687" s="3">
        <v>1</v>
      </c>
      <c r="W687" s="3">
        <v>0</v>
      </c>
      <c r="X687" s="3">
        <v>0</v>
      </c>
      <c r="Y687" s="3">
        <v>0</v>
      </c>
      <c r="Z687" s="3">
        <v>1</v>
      </c>
      <c r="AA687" s="3">
        <v>0</v>
      </c>
    </row>
    <row r="688" spans="1:27">
      <c r="A688" t="s">
        <v>774</v>
      </c>
      <c r="B688" s="3">
        <v>1</v>
      </c>
      <c r="C688" s="3">
        <v>0</v>
      </c>
      <c r="D688" s="1">
        <v>37307</v>
      </c>
      <c r="E688" s="1">
        <v>39082</v>
      </c>
      <c r="F688" s="2">
        <f t="shared" si="10"/>
        <v>4.85968514715948</v>
      </c>
      <c r="G688" s="3">
        <v>1</v>
      </c>
      <c r="H688" s="3">
        <v>0</v>
      </c>
      <c r="I688" s="3">
        <v>0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85.3</v>
      </c>
      <c r="S688" s="2">
        <v>12</v>
      </c>
      <c r="T688" t="s">
        <v>66</v>
      </c>
      <c r="U688" s="3">
        <v>0</v>
      </c>
      <c r="V688" s="3">
        <v>1</v>
      </c>
      <c r="W688" s="3">
        <v>0</v>
      </c>
      <c r="X688" s="3">
        <v>0</v>
      </c>
      <c r="Y688" s="3">
        <v>0</v>
      </c>
      <c r="Z688" s="3">
        <v>1</v>
      </c>
      <c r="AA688" s="3">
        <v>0</v>
      </c>
    </row>
    <row r="689" spans="1:27">
      <c r="A689" t="s">
        <v>775</v>
      </c>
      <c r="B689" s="3">
        <v>3</v>
      </c>
      <c r="C689" s="3">
        <v>0</v>
      </c>
      <c r="D689" s="1">
        <v>37737</v>
      </c>
      <c r="E689" s="1">
        <v>39082</v>
      </c>
      <c r="F689" s="2">
        <f t="shared" si="10"/>
        <v>3.6824093086926761</v>
      </c>
      <c r="G689" s="3">
        <v>1</v>
      </c>
      <c r="H689" s="3">
        <v>0</v>
      </c>
      <c r="I689" s="3">
        <v>0</v>
      </c>
      <c r="J689" s="3">
        <v>0</v>
      </c>
      <c r="K689" s="3">
        <v>0</v>
      </c>
      <c r="L689" s="3">
        <v>0</v>
      </c>
      <c r="M689" s="3">
        <v>0</v>
      </c>
      <c r="N689" s="3">
        <v>1</v>
      </c>
      <c r="O689" s="3">
        <v>0</v>
      </c>
      <c r="P689" s="3">
        <v>0</v>
      </c>
      <c r="Q689" s="3">
        <v>0</v>
      </c>
      <c r="R689" s="3">
        <v>85.4</v>
      </c>
      <c r="S689" s="2">
        <v>12.7</v>
      </c>
      <c r="T689" t="s">
        <v>28</v>
      </c>
      <c r="U689" s="3">
        <v>1</v>
      </c>
      <c r="V689" s="3">
        <v>1</v>
      </c>
      <c r="W689" s="3">
        <v>1</v>
      </c>
      <c r="X689" s="3">
        <v>1</v>
      </c>
      <c r="Y689" s="3">
        <v>0</v>
      </c>
      <c r="Z689" s="3">
        <v>1</v>
      </c>
      <c r="AA689" s="3">
        <v>0</v>
      </c>
    </row>
    <row r="690" spans="1:27">
      <c r="A690" t="s">
        <v>776</v>
      </c>
      <c r="B690" s="3">
        <v>2</v>
      </c>
      <c r="C690" s="3">
        <v>0</v>
      </c>
      <c r="D690" s="1">
        <v>37509</v>
      </c>
      <c r="E690" s="1">
        <v>39082</v>
      </c>
      <c r="F690" s="2">
        <f t="shared" si="10"/>
        <v>4.3066392881587952</v>
      </c>
      <c r="G690" s="3">
        <v>1</v>
      </c>
      <c r="H690" s="3">
        <v>0</v>
      </c>
      <c r="I690" s="3">
        <v>1</v>
      </c>
      <c r="J690" s="3">
        <v>0</v>
      </c>
      <c r="K690" s="3">
        <v>0</v>
      </c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85.4</v>
      </c>
      <c r="S690" s="2">
        <v>11.6</v>
      </c>
      <c r="T690" t="s">
        <v>105</v>
      </c>
      <c r="U690" s="3">
        <v>1</v>
      </c>
      <c r="V690" s="3">
        <v>1</v>
      </c>
      <c r="W690" s="3">
        <v>1</v>
      </c>
      <c r="X690" s="3">
        <v>0</v>
      </c>
      <c r="Y690" s="3">
        <v>1</v>
      </c>
      <c r="Z690" s="3">
        <v>1</v>
      </c>
      <c r="AA690" s="3">
        <v>0</v>
      </c>
    </row>
    <row r="691" spans="1:27">
      <c r="A691" t="s">
        <v>777</v>
      </c>
      <c r="B691" s="3">
        <v>3</v>
      </c>
      <c r="C691" s="3">
        <v>0</v>
      </c>
      <c r="D691" s="1">
        <v>38093</v>
      </c>
      <c r="E691" s="1">
        <v>39082</v>
      </c>
      <c r="F691" s="2">
        <f t="shared" si="10"/>
        <v>2.707734428473648</v>
      </c>
      <c r="G691" s="3">
        <v>2</v>
      </c>
      <c r="H691" s="3">
        <v>1</v>
      </c>
      <c r="I691" s="3">
        <v>1</v>
      </c>
      <c r="J691" s="3">
        <v>0</v>
      </c>
      <c r="K691" s="3">
        <v>0</v>
      </c>
      <c r="L691" s="3">
        <v>0</v>
      </c>
      <c r="M691" s="3">
        <v>0</v>
      </c>
      <c r="N691" s="3">
        <v>1</v>
      </c>
      <c r="O691" s="3">
        <v>0</v>
      </c>
      <c r="P691" s="3">
        <v>0</v>
      </c>
      <c r="Q691" s="3">
        <v>0</v>
      </c>
      <c r="R691" s="3">
        <v>85.4</v>
      </c>
      <c r="S691" s="2">
        <v>13.1</v>
      </c>
      <c r="T691" t="s">
        <v>28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</row>
    <row r="692" spans="1:27">
      <c r="A692" t="s">
        <v>778</v>
      </c>
      <c r="B692" s="3">
        <v>1</v>
      </c>
      <c r="C692" s="3">
        <v>0</v>
      </c>
      <c r="D692" s="1">
        <v>38278</v>
      </c>
      <c r="E692" s="1">
        <v>39082</v>
      </c>
      <c r="F692" s="2">
        <f t="shared" si="10"/>
        <v>2.2012320328542097</v>
      </c>
      <c r="G692" s="3">
        <v>1</v>
      </c>
      <c r="H692" s="3">
        <v>0</v>
      </c>
      <c r="I692" s="3">
        <v>0</v>
      </c>
      <c r="J692" s="3">
        <v>0</v>
      </c>
      <c r="K692" s="3">
        <v>0</v>
      </c>
      <c r="L692" s="3">
        <v>0</v>
      </c>
      <c r="M692" s="3">
        <v>0</v>
      </c>
      <c r="N692" s="3">
        <v>1</v>
      </c>
      <c r="O692" s="3">
        <v>0</v>
      </c>
      <c r="P692" s="3">
        <v>1</v>
      </c>
      <c r="Q692" s="3">
        <v>0</v>
      </c>
      <c r="R692" s="3">
        <v>85.5</v>
      </c>
      <c r="S692" s="2">
        <v>12</v>
      </c>
      <c r="T692" t="s">
        <v>28</v>
      </c>
      <c r="U692" s="3">
        <v>0</v>
      </c>
      <c r="V692" s="3">
        <v>1</v>
      </c>
      <c r="W692" s="3">
        <v>0</v>
      </c>
      <c r="X692" s="3">
        <v>0</v>
      </c>
      <c r="Y692" s="3">
        <v>0</v>
      </c>
      <c r="Z692" s="3">
        <v>1</v>
      </c>
      <c r="AA692" s="3">
        <v>0</v>
      </c>
    </row>
    <row r="693" spans="1:27">
      <c r="A693" t="s">
        <v>779</v>
      </c>
      <c r="B693" s="3">
        <v>1</v>
      </c>
      <c r="C693" s="3">
        <v>0</v>
      </c>
      <c r="D693" s="1">
        <v>37147</v>
      </c>
      <c r="E693" s="1">
        <v>39082</v>
      </c>
      <c r="F693" s="2">
        <f t="shared" si="10"/>
        <v>5.2977412731006162</v>
      </c>
      <c r="G693" s="3">
        <v>1</v>
      </c>
      <c r="H693" s="3">
        <v>1</v>
      </c>
      <c r="I693" s="3">
        <v>0</v>
      </c>
      <c r="J693" s="3">
        <v>0</v>
      </c>
      <c r="K693" s="3">
        <v>0</v>
      </c>
      <c r="L693" s="3">
        <v>0</v>
      </c>
      <c r="M693" s="3">
        <v>0</v>
      </c>
      <c r="N693" s="3">
        <v>1</v>
      </c>
      <c r="O693" s="3">
        <v>0</v>
      </c>
      <c r="P693" s="3">
        <v>1</v>
      </c>
      <c r="Q693" s="3">
        <v>0</v>
      </c>
      <c r="R693" s="3">
        <v>85.5</v>
      </c>
      <c r="S693" s="2">
        <v>13.8</v>
      </c>
      <c r="T693" t="s">
        <v>28</v>
      </c>
      <c r="U693" s="3">
        <v>0</v>
      </c>
      <c r="V693" s="3">
        <v>1</v>
      </c>
      <c r="W693" s="3">
        <v>0</v>
      </c>
      <c r="X693" s="3">
        <v>0</v>
      </c>
      <c r="Y693" s="3">
        <v>0</v>
      </c>
      <c r="Z693" s="3">
        <v>1</v>
      </c>
      <c r="AA693" s="3">
        <v>0</v>
      </c>
    </row>
    <row r="694" spans="1:27">
      <c r="A694" t="s">
        <v>780</v>
      </c>
      <c r="B694" s="3">
        <v>2</v>
      </c>
      <c r="C694" s="3">
        <v>1</v>
      </c>
      <c r="D694" s="1">
        <v>37097</v>
      </c>
      <c r="E694" s="1">
        <v>39082</v>
      </c>
      <c r="F694" s="2">
        <f t="shared" si="10"/>
        <v>5.4346338124572213</v>
      </c>
      <c r="G694" s="3">
        <v>2</v>
      </c>
      <c r="H694" s="3">
        <v>1</v>
      </c>
      <c r="I694" s="3">
        <v>0</v>
      </c>
      <c r="J694" s="3">
        <v>0</v>
      </c>
      <c r="K694" s="3">
        <v>0</v>
      </c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85.5</v>
      </c>
      <c r="S694" s="2">
        <v>10.9</v>
      </c>
      <c r="T694" t="s">
        <v>105</v>
      </c>
      <c r="U694" s="3">
        <v>1</v>
      </c>
      <c r="V694" s="3">
        <v>1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</row>
    <row r="695" spans="1:27">
      <c r="A695" t="s">
        <v>781</v>
      </c>
      <c r="B695" s="3">
        <v>1</v>
      </c>
      <c r="C695" s="3">
        <v>0</v>
      </c>
      <c r="D695" s="1">
        <v>37444</v>
      </c>
      <c r="E695" s="1">
        <v>39082</v>
      </c>
      <c r="F695" s="2">
        <f t="shared" si="10"/>
        <v>4.4845995893223822</v>
      </c>
      <c r="G695" s="3">
        <v>2</v>
      </c>
      <c r="H695" s="3">
        <v>0</v>
      </c>
      <c r="I695" s="3">
        <v>1</v>
      </c>
      <c r="J695" s="3">
        <v>0</v>
      </c>
      <c r="K695" s="3">
        <v>0</v>
      </c>
      <c r="L695" s="3">
        <v>1</v>
      </c>
      <c r="M695" s="3">
        <v>0</v>
      </c>
      <c r="N695" s="3">
        <v>1</v>
      </c>
      <c r="O695" s="3">
        <v>1</v>
      </c>
      <c r="P695" s="3">
        <v>0</v>
      </c>
      <c r="Q695" s="3">
        <v>0</v>
      </c>
      <c r="R695" s="3">
        <v>85.5</v>
      </c>
      <c r="S695" s="2">
        <v>10.4</v>
      </c>
      <c r="T695" t="s">
        <v>92</v>
      </c>
      <c r="U695" s="3">
        <v>1</v>
      </c>
      <c r="V695" s="3">
        <v>1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</row>
    <row r="696" spans="1:27">
      <c r="A696" t="s">
        <v>782</v>
      </c>
      <c r="B696" s="3">
        <v>1</v>
      </c>
      <c r="C696" s="3">
        <v>0</v>
      </c>
      <c r="D696" s="1">
        <v>38225</v>
      </c>
      <c r="E696" s="1">
        <v>39082</v>
      </c>
      <c r="F696" s="2">
        <f t="shared" si="10"/>
        <v>2.346338124572211</v>
      </c>
      <c r="G696" s="3">
        <v>1</v>
      </c>
      <c r="H696" s="3">
        <v>1</v>
      </c>
      <c r="I696" s="3">
        <v>0</v>
      </c>
      <c r="J696" s="3">
        <v>1</v>
      </c>
      <c r="K696" s="3">
        <v>0</v>
      </c>
      <c r="L696" s="3">
        <v>0</v>
      </c>
      <c r="M696" s="3">
        <v>0</v>
      </c>
      <c r="N696" s="3">
        <v>1</v>
      </c>
      <c r="O696" s="3">
        <v>0</v>
      </c>
      <c r="P696" s="3">
        <v>1</v>
      </c>
      <c r="Q696" s="3">
        <v>0</v>
      </c>
      <c r="R696" s="3">
        <v>85.6</v>
      </c>
      <c r="S696" s="2">
        <v>10.8</v>
      </c>
      <c r="T696" t="s">
        <v>105</v>
      </c>
      <c r="U696" s="3">
        <v>0</v>
      </c>
      <c r="V696" s="3">
        <v>1</v>
      </c>
      <c r="W696" s="3">
        <v>0</v>
      </c>
      <c r="X696" s="3">
        <v>0</v>
      </c>
      <c r="Y696" s="3">
        <v>0</v>
      </c>
      <c r="Z696" s="3">
        <v>1</v>
      </c>
      <c r="AA696" s="3">
        <v>0</v>
      </c>
    </row>
    <row r="697" spans="1:27">
      <c r="A697" t="s">
        <v>783</v>
      </c>
      <c r="B697" s="3">
        <v>3</v>
      </c>
      <c r="C697" s="3">
        <v>0</v>
      </c>
      <c r="D697" s="1">
        <v>38276</v>
      </c>
      <c r="E697" s="1">
        <v>39082</v>
      </c>
      <c r="F697" s="2">
        <f t="shared" si="10"/>
        <v>2.2067077344284738</v>
      </c>
      <c r="G697" s="3">
        <v>2</v>
      </c>
      <c r="H697" s="3">
        <v>1</v>
      </c>
      <c r="I697" s="3">
        <v>0</v>
      </c>
      <c r="J697" s="3">
        <v>1</v>
      </c>
      <c r="K697" s="3">
        <v>0</v>
      </c>
      <c r="L697" s="3">
        <v>0</v>
      </c>
      <c r="M697" s="3">
        <v>0</v>
      </c>
      <c r="N697" s="3">
        <v>0</v>
      </c>
      <c r="O697" s="3">
        <v>0</v>
      </c>
      <c r="P697" s="3">
        <v>1</v>
      </c>
      <c r="Q697" s="3">
        <v>0</v>
      </c>
      <c r="R697" s="3">
        <v>85.6</v>
      </c>
      <c r="S697" s="2">
        <v>12.7</v>
      </c>
      <c r="T697" t="s">
        <v>784</v>
      </c>
      <c r="U697" s="3">
        <v>0</v>
      </c>
      <c r="V697" s="3">
        <v>0</v>
      </c>
      <c r="W697" s="3">
        <v>1</v>
      </c>
      <c r="X697" s="3">
        <v>0</v>
      </c>
      <c r="Y697" s="3">
        <v>0</v>
      </c>
      <c r="Z697" s="3">
        <v>0</v>
      </c>
      <c r="AA697" s="3">
        <v>0</v>
      </c>
    </row>
    <row r="698" spans="1:27">
      <c r="A698" t="s">
        <v>785</v>
      </c>
      <c r="B698" s="3">
        <v>3</v>
      </c>
      <c r="C698" s="3">
        <v>1</v>
      </c>
      <c r="D698" s="1">
        <v>38047</v>
      </c>
      <c r="E698" s="1">
        <v>39082</v>
      </c>
      <c r="F698" s="2">
        <f t="shared" si="10"/>
        <v>2.8336755646817249</v>
      </c>
      <c r="G698" s="3">
        <v>2</v>
      </c>
      <c r="H698" s="3">
        <v>1</v>
      </c>
      <c r="I698" s="3">
        <v>0</v>
      </c>
      <c r="J698" s="3">
        <v>1</v>
      </c>
      <c r="K698" s="3">
        <v>0</v>
      </c>
      <c r="L698" s="3">
        <v>0</v>
      </c>
      <c r="M698" s="3">
        <v>0</v>
      </c>
      <c r="N698" s="3">
        <v>0</v>
      </c>
      <c r="O698" s="3">
        <v>0</v>
      </c>
      <c r="P698" s="3">
        <v>1</v>
      </c>
      <c r="Q698" s="3">
        <v>0</v>
      </c>
      <c r="R698" s="3">
        <v>85.6</v>
      </c>
      <c r="S698" s="2">
        <v>12.6</v>
      </c>
      <c r="T698" t="s">
        <v>28</v>
      </c>
      <c r="U698" s="3">
        <v>0</v>
      </c>
      <c r="V698" s="3">
        <v>0</v>
      </c>
      <c r="W698" s="3">
        <v>1</v>
      </c>
      <c r="X698" s="3">
        <v>0</v>
      </c>
      <c r="Y698" s="3">
        <v>0</v>
      </c>
      <c r="Z698" s="3">
        <v>0</v>
      </c>
      <c r="AA698" s="3">
        <v>0</v>
      </c>
    </row>
    <row r="699" spans="1:27">
      <c r="A699" t="s">
        <v>786</v>
      </c>
      <c r="B699" s="3">
        <v>3</v>
      </c>
      <c r="C699" s="3">
        <v>0</v>
      </c>
      <c r="D699" s="1">
        <v>38261</v>
      </c>
      <c r="E699" s="1">
        <v>39082</v>
      </c>
      <c r="F699" s="2">
        <f t="shared" si="10"/>
        <v>2.2477754962354553</v>
      </c>
      <c r="G699" s="3">
        <v>1</v>
      </c>
      <c r="H699" s="3">
        <v>1</v>
      </c>
      <c r="I699" s="3">
        <v>1</v>
      </c>
      <c r="J699" s="3">
        <v>1</v>
      </c>
      <c r="K699" s="3">
        <v>0</v>
      </c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85.6</v>
      </c>
      <c r="S699" s="2">
        <v>11.2</v>
      </c>
      <c r="T699" t="s">
        <v>40</v>
      </c>
      <c r="U699" s="3">
        <v>0</v>
      </c>
      <c r="V699" s="3">
        <v>0</v>
      </c>
      <c r="W699" s="3">
        <v>1</v>
      </c>
      <c r="X699" s="3">
        <v>1</v>
      </c>
      <c r="Y699" s="3">
        <v>0</v>
      </c>
      <c r="Z699" s="3">
        <v>1</v>
      </c>
      <c r="AA699" s="3">
        <v>0</v>
      </c>
    </row>
    <row r="700" spans="1:27">
      <c r="A700" t="s">
        <v>787</v>
      </c>
      <c r="B700" s="3">
        <v>2</v>
      </c>
      <c r="C700" s="3">
        <v>1</v>
      </c>
      <c r="D700" s="1">
        <v>37525</v>
      </c>
      <c r="E700" s="1">
        <v>39082</v>
      </c>
      <c r="F700" s="2">
        <f t="shared" si="10"/>
        <v>4.2628336755646821</v>
      </c>
      <c r="G700" s="3">
        <v>2</v>
      </c>
      <c r="H700" s="3">
        <v>0</v>
      </c>
      <c r="I700" s="3">
        <v>0</v>
      </c>
      <c r="J700" s="3">
        <v>0</v>
      </c>
      <c r="K700" s="3">
        <v>0</v>
      </c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85.7</v>
      </c>
      <c r="S700" s="2">
        <v>11.1</v>
      </c>
      <c r="T700" t="s">
        <v>105</v>
      </c>
      <c r="U700" s="3">
        <v>1</v>
      </c>
      <c r="V700" s="3">
        <v>1</v>
      </c>
      <c r="W700" s="3">
        <v>1</v>
      </c>
      <c r="X700" s="3">
        <v>1</v>
      </c>
      <c r="Y700" s="3">
        <v>1</v>
      </c>
      <c r="Z700" s="3">
        <v>0</v>
      </c>
      <c r="AA700" s="3">
        <v>0</v>
      </c>
    </row>
    <row r="701" spans="1:27">
      <c r="A701" t="s">
        <v>788</v>
      </c>
      <c r="B701" s="3">
        <v>2</v>
      </c>
      <c r="C701" s="3">
        <v>1</v>
      </c>
      <c r="D701" s="1">
        <v>37602</v>
      </c>
      <c r="E701" s="1">
        <v>39082</v>
      </c>
      <c r="F701" s="2">
        <f t="shared" si="10"/>
        <v>4.0520191649555102</v>
      </c>
      <c r="G701" s="3">
        <v>2</v>
      </c>
      <c r="H701" s="3">
        <v>1</v>
      </c>
      <c r="I701" s="3">
        <v>0</v>
      </c>
      <c r="J701" s="3">
        <v>0</v>
      </c>
      <c r="K701" s="3">
        <v>0</v>
      </c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85.7</v>
      </c>
      <c r="S701" s="2">
        <v>11.2</v>
      </c>
      <c r="T701" t="s">
        <v>789</v>
      </c>
      <c r="U701" s="3">
        <v>0</v>
      </c>
      <c r="V701" s="3">
        <v>1</v>
      </c>
      <c r="W701" s="3">
        <v>1</v>
      </c>
      <c r="X701" s="3">
        <v>1</v>
      </c>
      <c r="Y701" s="3">
        <v>1</v>
      </c>
      <c r="Z701" s="3">
        <v>0</v>
      </c>
      <c r="AA701" s="3">
        <v>0</v>
      </c>
    </row>
    <row r="702" spans="1:27">
      <c r="A702" t="s">
        <v>790</v>
      </c>
      <c r="B702" s="3">
        <v>3</v>
      </c>
      <c r="C702" s="3">
        <v>1</v>
      </c>
      <c r="D702" s="1">
        <v>38086</v>
      </c>
      <c r="E702" s="1">
        <v>39082</v>
      </c>
      <c r="F702" s="2">
        <f t="shared" si="10"/>
        <v>2.7268993839835729</v>
      </c>
      <c r="G702" s="3">
        <v>2</v>
      </c>
      <c r="H702" s="3">
        <v>1</v>
      </c>
      <c r="I702" s="3">
        <v>0</v>
      </c>
      <c r="J702" s="3">
        <v>0</v>
      </c>
      <c r="K702" s="3">
        <v>0</v>
      </c>
      <c r="L702" s="3">
        <v>0</v>
      </c>
      <c r="M702" s="3">
        <v>0</v>
      </c>
      <c r="N702" s="3">
        <v>1</v>
      </c>
      <c r="O702" s="3">
        <v>0</v>
      </c>
      <c r="P702" s="3">
        <v>0</v>
      </c>
      <c r="Q702" s="3">
        <v>0</v>
      </c>
      <c r="R702" s="3">
        <v>85.7</v>
      </c>
      <c r="S702" s="2">
        <v>11.2</v>
      </c>
      <c r="T702" t="s">
        <v>46</v>
      </c>
      <c r="U702" s="3">
        <v>0</v>
      </c>
      <c r="V702" s="3">
        <v>1</v>
      </c>
      <c r="W702" s="3">
        <v>1</v>
      </c>
      <c r="X702" s="3">
        <v>0</v>
      </c>
      <c r="Y702" s="3">
        <v>0</v>
      </c>
      <c r="Z702" s="3">
        <v>0</v>
      </c>
      <c r="AA702" s="3">
        <v>0</v>
      </c>
    </row>
    <row r="703" spans="1:27">
      <c r="A703" t="s">
        <v>791</v>
      </c>
      <c r="B703" s="3">
        <v>1</v>
      </c>
      <c r="C703" s="3">
        <v>0</v>
      </c>
      <c r="D703" s="1">
        <v>38266</v>
      </c>
      <c r="E703" s="1">
        <v>39082</v>
      </c>
      <c r="F703" s="2">
        <f t="shared" si="10"/>
        <v>2.2340862422997945</v>
      </c>
      <c r="G703" s="3">
        <v>2</v>
      </c>
      <c r="H703" s="3">
        <v>1</v>
      </c>
      <c r="I703" s="3">
        <v>1</v>
      </c>
      <c r="J703" s="3">
        <v>0</v>
      </c>
      <c r="K703" s="3">
        <v>0</v>
      </c>
      <c r="L703" s="3">
        <v>1</v>
      </c>
      <c r="M703" s="3">
        <v>0</v>
      </c>
      <c r="N703" s="3">
        <v>1</v>
      </c>
      <c r="O703" s="3">
        <v>0</v>
      </c>
      <c r="P703" s="3">
        <v>0</v>
      </c>
      <c r="Q703" s="3">
        <v>0</v>
      </c>
      <c r="R703" s="3">
        <v>85.7</v>
      </c>
      <c r="S703" s="2">
        <v>11.3</v>
      </c>
      <c r="T703" t="s">
        <v>92</v>
      </c>
      <c r="U703" s="3">
        <v>1</v>
      </c>
      <c r="V703" s="3">
        <v>1</v>
      </c>
      <c r="W703" s="3">
        <v>1</v>
      </c>
      <c r="X703" s="3">
        <v>1</v>
      </c>
      <c r="Y703" s="3">
        <v>0</v>
      </c>
      <c r="Z703" s="3">
        <v>0</v>
      </c>
      <c r="AA703" s="3">
        <v>0</v>
      </c>
    </row>
    <row r="704" spans="1:27">
      <c r="A704" t="s">
        <v>792</v>
      </c>
      <c r="B704" s="3">
        <v>2</v>
      </c>
      <c r="C704" s="3">
        <v>0</v>
      </c>
      <c r="D704" s="1">
        <v>37514</v>
      </c>
      <c r="E704" s="1">
        <v>39082</v>
      </c>
      <c r="F704" s="2">
        <f t="shared" si="10"/>
        <v>4.2929500342231348</v>
      </c>
      <c r="G704" s="3">
        <v>1</v>
      </c>
      <c r="H704" s="3">
        <v>1</v>
      </c>
      <c r="I704" s="3">
        <v>0</v>
      </c>
      <c r="J704" s="3">
        <v>0</v>
      </c>
      <c r="K704" s="3">
        <v>0</v>
      </c>
      <c r="L704" s="3">
        <v>0</v>
      </c>
      <c r="M704" s="3">
        <v>0</v>
      </c>
      <c r="N704" s="3">
        <v>1</v>
      </c>
      <c r="O704" s="3">
        <v>1</v>
      </c>
      <c r="P704" s="3">
        <v>1</v>
      </c>
      <c r="Q704" s="3">
        <v>0</v>
      </c>
      <c r="R704" s="3">
        <v>85.8</v>
      </c>
      <c r="S704" s="2">
        <v>11.3</v>
      </c>
      <c r="T704" t="s">
        <v>105</v>
      </c>
      <c r="U704" s="3">
        <v>1</v>
      </c>
      <c r="V704" s="3">
        <v>1</v>
      </c>
      <c r="W704" s="3">
        <v>0</v>
      </c>
      <c r="X704" s="3">
        <v>0</v>
      </c>
      <c r="Y704" s="3">
        <v>0</v>
      </c>
      <c r="Z704" s="3">
        <v>1</v>
      </c>
      <c r="AA704" s="3">
        <v>0</v>
      </c>
    </row>
    <row r="705" spans="1:27">
      <c r="A705" t="s">
        <v>793</v>
      </c>
      <c r="B705" s="3">
        <v>2</v>
      </c>
      <c r="C705" s="3">
        <v>0</v>
      </c>
      <c r="D705" s="1">
        <v>37463</v>
      </c>
      <c r="E705" s="1">
        <v>39082</v>
      </c>
      <c r="F705" s="2">
        <f t="shared" si="10"/>
        <v>4.4325804243668721</v>
      </c>
      <c r="G705" s="3">
        <v>1</v>
      </c>
      <c r="H705" s="3">
        <v>1</v>
      </c>
      <c r="I705" s="3">
        <v>0</v>
      </c>
      <c r="J705" s="3">
        <v>0</v>
      </c>
      <c r="K705" s="3">
        <v>0</v>
      </c>
      <c r="L705" s="3">
        <v>0</v>
      </c>
      <c r="M705" s="3">
        <v>0</v>
      </c>
      <c r="N705" s="3">
        <v>1</v>
      </c>
      <c r="O705" s="3">
        <v>0</v>
      </c>
      <c r="P705" s="3">
        <v>0</v>
      </c>
      <c r="Q705" s="3">
        <v>0</v>
      </c>
      <c r="R705" s="3">
        <v>85.9</v>
      </c>
      <c r="S705" s="2">
        <v>11.3</v>
      </c>
      <c r="T705" t="s">
        <v>28</v>
      </c>
      <c r="U705" s="3">
        <v>1</v>
      </c>
      <c r="V705" s="3">
        <v>1</v>
      </c>
      <c r="W705" s="3">
        <v>0</v>
      </c>
      <c r="X705" s="3">
        <v>0</v>
      </c>
      <c r="Y705" s="3">
        <v>0</v>
      </c>
      <c r="Z705" s="3">
        <v>1</v>
      </c>
      <c r="AA705" s="3">
        <v>0</v>
      </c>
    </row>
    <row r="706" spans="1:27">
      <c r="A706" t="s">
        <v>794</v>
      </c>
      <c r="B706" s="3">
        <v>2</v>
      </c>
      <c r="C706" s="3">
        <v>0</v>
      </c>
      <c r="D706" s="1">
        <v>37549</v>
      </c>
      <c r="E706" s="1">
        <v>39082</v>
      </c>
      <c r="F706" s="2">
        <f t="shared" si="10"/>
        <v>4.1971252566735116</v>
      </c>
      <c r="G706" s="3">
        <v>2</v>
      </c>
      <c r="H706" s="3">
        <v>1</v>
      </c>
      <c r="I706" s="3">
        <v>0</v>
      </c>
      <c r="J706" s="3">
        <v>0</v>
      </c>
      <c r="K706" s="3">
        <v>0</v>
      </c>
      <c r="L706" s="3">
        <v>0</v>
      </c>
      <c r="M706" s="3">
        <v>0</v>
      </c>
      <c r="N706" s="3">
        <v>1</v>
      </c>
      <c r="O706" s="3">
        <v>0</v>
      </c>
      <c r="P706" s="3">
        <v>0</v>
      </c>
      <c r="Q706" s="3">
        <v>0</v>
      </c>
      <c r="R706" s="3">
        <v>85.9</v>
      </c>
      <c r="S706" s="2">
        <v>9.5</v>
      </c>
      <c r="T706" t="s">
        <v>28</v>
      </c>
      <c r="U706" s="3">
        <v>1</v>
      </c>
      <c r="V706" s="3">
        <v>1</v>
      </c>
      <c r="W706" s="3">
        <v>1</v>
      </c>
      <c r="X706" s="3">
        <v>1</v>
      </c>
      <c r="Y706" s="3">
        <v>1</v>
      </c>
      <c r="Z706" s="3">
        <v>0</v>
      </c>
      <c r="AA706" s="3">
        <v>0</v>
      </c>
    </row>
    <row r="707" spans="1:27">
      <c r="A707" t="s">
        <v>795</v>
      </c>
      <c r="B707" s="3">
        <v>1</v>
      </c>
      <c r="C707" s="3">
        <v>0</v>
      </c>
      <c r="D707" s="1">
        <v>37541</v>
      </c>
      <c r="E707" s="1">
        <v>39082</v>
      </c>
      <c r="F707" s="2">
        <f t="shared" ref="F707:F770" si="11">(E707-D707)/365.25</f>
        <v>4.2190280629705681</v>
      </c>
      <c r="G707" s="3">
        <v>1</v>
      </c>
      <c r="H707" s="3">
        <v>0</v>
      </c>
      <c r="I707" s="3">
        <v>0</v>
      </c>
      <c r="J707" s="3">
        <v>0</v>
      </c>
      <c r="K707" s="3">
        <v>0</v>
      </c>
      <c r="L707" s="3">
        <v>0</v>
      </c>
      <c r="M707" s="3">
        <v>1</v>
      </c>
      <c r="N707" s="3">
        <v>1</v>
      </c>
      <c r="O707" s="3">
        <v>0</v>
      </c>
      <c r="P707" s="3">
        <v>1</v>
      </c>
      <c r="Q707" s="3">
        <v>0</v>
      </c>
      <c r="R707" s="3">
        <v>86</v>
      </c>
      <c r="S707" s="2">
        <v>11.7</v>
      </c>
      <c r="T707" t="s">
        <v>28</v>
      </c>
      <c r="U707" s="3">
        <v>1</v>
      </c>
      <c r="V707" s="3">
        <v>1</v>
      </c>
      <c r="W707" s="3">
        <v>0</v>
      </c>
      <c r="X707" s="3">
        <v>0</v>
      </c>
      <c r="Y707" s="3">
        <v>0</v>
      </c>
      <c r="Z707" s="3">
        <v>1</v>
      </c>
      <c r="AA707" s="3">
        <v>0</v>
      </c>
    </row>
    <row r="708" spans="1:27">
      <c r="A708" t="s">
        <v>796</v>
      </c>
      <c r="B708" s="3">
        <v>1</v>
      </c>
      <c r="C708" s="3">
        <v>0</v>
      </c>
      <c r="D708" s="1">
        <v>37154</v>
      </c>
      <c r="E708" s="1">
        <v>39082</v>
      </c>
      <c r="F708" s="2">
        <f t="shared" si="11"/>
        <v>5.2785763175906917</v>
      </c>
      <c r="G708" s="3">
        <v>1</v>
      </c>
      <c r="H708" s="3">
        <v>0</v>
      </c>
      <c r="I708" s="3">
        <v>0</v>
      </c>
      <c r="J708" s="3">
        <v>0</v>
      </c>
      <c r="K708" s="3">
        <v>0</v>
      </c>
      <c r="L708" s="3">
        <v>1</v>
      </c>
      <c r="M708" s="3">
        <v>0</v>
      </c>
      <c r="N708" s="3">
        <v>1</v>
      </c>
      <c r="O708" s="3">
        <v>0</v>
      </c>
      <c r="P708" s="3">
        <v>1</v>
      </c>
      <c r="Q708" s="3">
        <v>0</v>
      </c>
      <c r="R708" s="3">
        <v>86</v>
      </c>
      <c r="S708" s="2">
        <v>9.8000000000000007</v>
      </c>
      <c r="T708" t="s">
        <v>28</v>
      </c>
      <c r="U708" s="3">
        <v>1</v>
      </c>
      <c r="V708" s="3">
        <v>1</v>
      </c>
      <c r="W708" s="3">
        <v>1</v>
      </c>
      <c r="X708" s="3">
        <v>1</v>
      </c>
      <c r="Y708" s="3">
        <v>0</v>
      </c>
      <c r="Z708" s="3">
        <v>1</v>
      </c>
      <c r="AA708" s="3">
        <v>0</v>
      </c>
    </row>
    <row r="709" spans="1:27">
      <c r="A709" t="s">
        <v>137</v>
      </c>
      <c r="B709" s="3">
        <v>2</v>
      </c>
      <c r="C709" s="3">
        <v>1</v>
      </c>
      <c r="D709" s="1">
        <v>37302</v>
      </c>
      <c r="E709" s="1">
        <v>39082</v>
      </c>
      <c r="F709" s="2">
        <f t="shared" si="11"/>
        <v>4.8733744010951403</v>
      </c>
      <c r="G709" s="3">
        <v>1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1</v>
      </c>
      <c r="O709" s="3">
        <v>0</v>
      </c>
      <c r="P709" s="3">
        <v>1</v>
      </c>
      <c r="Q709" s="3">
        <v>0</v>
      </c>
      <c r="R709" s="3">
        <v>86</v>
      </c>
      <c r="S709" s="2">
        <v>9.1</v>
      </c>
      <c r="T709" t="s">
        <v>797</v>
      </c>
      <c r="U709" s="3">
        <v>1</v>
      </c>
      <c r="V709" s="3">
        <v>1</v>
      </c>
      <c r="W709" s="3">
        <v>1</v>
      </c>
      <c r="X709" s="3">
        <v>1</v>
      </c>
      <c r="Y709" s="3">
        <v>0</v>
      </c>
      <c r="Z709" s="3">
        <v>1</v>
      </c>
      <c r="AA709" s="3">
        <v>0</v>
      </c>
    </row>
    <row r="710" spans="1:27">
      <c r="A710" t="s">
        <v>798</v>
      </c>
      <c r="B710" s="3">
        <v>3</v>
      </c>
      <c r="C710" s="3">
        <v>0</v>
      </c>
      <c r="D710" s="1">
        <v>38047</v>
      </c>
      <c r="E710" s="1">
        <v>39082</v>
      </c>
      <c r="F710" s="2">
        <f t="shared" si="11"/>
        <v>2.8336755646817249</v>
      </c>
      <c r="G710" s="3">
        <v>2</v>
      </c>
      <c r="H710" s="3">
        <v>1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3">
        <v>0</v>
      </c>
      <c r="Q710" s="3">
        <v>0</v>
      </c>
      <c r="R710" s="3">
        <v>86</v>
      </c>
      <c r="S710" s="2">
        <v>12</v>
      </c>
      <c r="T710" t="s">
        <v>40</v>
      </c>
      <c r="U710" s="3">
        <v>0</v>
      </c>
      <c r="V710" s="3">
        <v>0</v>
      </c>
      <c r="W710" s="3">
        <v>1</v>
      </c>
      <c r="X710" s="3">
        <v>0</v>
      </c>
      <c r="Y710" s="3">
        <v>0</v>
      </c>
      <c r="Z710" s="3">
        <v>0</v>
      </c>
      <c r="AA710" s="3">
        <v>0</v>
      </c>
    </row>
    <row r="711" spans="1:27">
      <c r="A711" t="s">
        <v>799</v>
      </c>
      <c r="B711" s="3">
        <v>1</v>
      </c>
      <c r="C711" s="3">
        <v>1</v>
      </c>
      <c r="D711" s="1">
        <v>37279</v>
      </c>
      <c r="E711" s="1">
        <v>39082</v>
      </c>
      <c r="F711" s="2">
        <f t="shared" si="11"/>
        <v>4.9363449691991788</v>
      </c>
      <c r="G711" s="3">
        <v>2</v>
      </c>
      <c r="H711" s="3">
        <v>1</v>
      </c>
      <c r="I711" s="3">
        <v>0</v>
      </c>
      <c r="J711" s="3">
        <v>0</v>
      </c>
      <c r="K711" s="3">
        <v>0</v>
      </c>
      <c r="L711" s="3">
        <v>0</v>
      </c>
      <c r="M711" s="3">
        <v>0</v>
      </c>
      <c r="N711" s="3">
        <v>0</v>
      </c>
      <c r="O711" s="3">
        <v>0</v>
      </c>
      <c r="P711" s="3">
        <v>0</v>
      </c>
      <c r="Q711" s="3">
        <v>0</v>
      </c>
      <c r="R711" s="3">
        <v>86</v>
      </c>
      <c r="S711" s="2">
        <v>10.7</v>
      </c>
      <c r="T711" t="s">
        <v>92</v>
      </c>
      <c r="U711" s="3">
        <v>1</v>
      </c>
      <c r="V711" s="3">
        <v>1</v>
      </c>
      <c r="W711" s="3">
        <v>0</v>
      </c>
      <c r="X711" s="3">
        <v>1</v>
      </c>
      <c r="Y711" s="3">
        <v>1</v>
      </c>
      <c r="Z711" s="3">
        <v>0</v>
      </c>
      <c r="AA711" s="3">
        <v>0</v>
      </c>
    </row>
    <row r="712" spans="1:27">
      <c r="A712" t="s">
        <v>800</v>
      </c>
      <c r="B712" s="3">
        <v>2</v>
      </c>
      <c r="C712" s="3">
        <v>1</v>
      </c>
      <c r="D712" s="1">
        <v>37537</v>
      </c>
      <c r="E712" s="1">
        <v>39082</v>
      </c>
      <c r="F712" s="2">
        <f t="shared" si="11"/>
        <v>4.2299794661190964</v>
      </c>
      <c r="G712" s="3">
        <v>2</v>
      </c>
      <c r="H712" s="3">
        <v>1</v>
      </c>
      <c r="I712" s="3">
        <v>0</v>
      </c>
      <c r="J712" s="3">
        <v>0</v>
      </c>
      <c r="K712" s="3">
        <v>0</v>
      </c>
      <c r="L712" s="3">
        <v>0</v>
      </c>
      <c r="M712" s="3">
        <v>0</v>
      </c>
      <c r="N712" s="3">
        <v>0</v>
      </c>
      <c r="O712" s="3">
        <v>0</v>
      </c>
      <c r="P712" s="3">
        <v>0</v>
      </c>
      <c r="Q712" s="3">
        <v>0</v>
      </c>
      <c r="R712" s="3">
        <v>86</v>
      </c>
      <c r="S712" s="2">
        <v>10.8</v>
      </c>
      <c r="T712" t="s">
        <v>59</v>
      </c>
      <c r="U712" s="3">
        <v>0</v>
      </c>
      <c r="V712" s="3">
        <v>0</v>
      </c>
      <c r="W712" s="3">
        <v>1</v>
      </c>
      <c r="X712" s="3">
        <v>1</v>
      </c>
      <c r="Y712" s="3">
        <v>1</v>
      </c>
      <c r="Z712" s="3">
        <v>0</v>
      </c>
      <c r="AA712" s="3">
        <v>0</v>
      </c>
    </row>
    <row r="713" spans="1:27">
      <c r="A713" t="s">
        <v>801</v>
      </c>
      <c r="B713" s="3">
        <v>1</v>
      </c>
      <c r="C713" s="3">
        <v>0</v>
      </c>
      <c r="D713" s="1">
        <v>37427</v>
      </c>
      <c r="E713" s="1">
        <v>39082</v>
      </c>
      <c r="F713" s="2">
        <f t="shared" si="11"/>
        <v>4.5311430527036274</v>
      </c>
      <c r="G713" s="3">
        <v>2</v>
      </c>
      <c r="H713" s="3">
        <v>1</v>
      </c>
      <c r="I713" s="3">
        <v>1</v>
      </c>
      <c r="J713" s="3">
        <v>0</v>
      </c>
      <c r="K713" s="3">
        <v>0</v>
      </c>
      <c r="L713" s="3">
        <v>0</v>
      </c>
      <c r="M713" s="3">
        <v>1</v>
      </c>
      <c r="N713" s="3">
        <v>1</v>
      </c>
      <c r="O713" s="3">
        <v>0</v>
      </c>
      <c r="P713" s="3">
        <v>1</v>
      </c>
      <c r="Q713" s="3">
        <v>0</v>
      </c>
      <c r="R713" s="3">
        <v>86</v>
      </c>
      <c r="S713" s="2">
        <v>11.6</v>
      </c>
      <c r="T713" t="s">
        <v>28</v>
      </c>
      <c r="U713" s="3">
        <v>1</v>
      </c>
      <c r="V713" s="3">
        <v>1</v>
      </c>
      <c r="W713" s="3">
        <v>1</v>
      </c>
      <c r="X713" s="3">
        <v>1</v>
      </c>
      <c r="Y713" s="3">
        <v>0</v>
      </c>
      <c r="Z713" s="3">
        <v>0</v>
      </c>
      <c r="AA713" s="3">
        <v>0</v>
      </c>
    </row>
    <row r="714" spans="1:27">
      <c r="A714" t="s">
        <v>802</v>
      </c>
      <c r="B714" s="3">
        <v>3</v>
      </c>
      <c r="C714" s="3">
        <v>0</v>
      </c>
      <c r="D714" s="1">
        <v>38231</v>
      </c>
      <c r="E714" s="1">
        <v>39082</v>
      </c>
      <c r="F714" s="2">
        <f t="shared" si="11"/>
        <v>2.3299110198494182</v>
      </c>
      <c r="G714" s="3">
        <v>2</v>
      </c>
      <c r="H714" s="3">
        <v>0</v>
      </c>
      <c r="I714" s="3">
        <v>0</v>
      </c>
      <c r="J714" s="3">
        <v>0</v>
      </c>
      <c r="K714" s="3">
        <v>0</v>
      </c>
      <c r="L714" s="3">
        <v>0</v>
      </c>
      <c r="M714" s="3">
        <v>0</v>
      </c>
      <c r="N714" s="3">
        <v>0</v>
      </c>
      <c r="O714" s="3">
        <v>0</v>
      </c>
      <c r="P714" s="3">
        <v>0</v>
      </c>
      <c r="Q714" s="3">
        <v>0</v>
      </c>
      <c r="R714" s="3">
        <v>86.1</v>
      </c>
      <c r="S714" s="2">
        <v>11.4</v>
      </c>
      <c r="T714" t="s">
        <v>28</v>
      </c>
      <c r="U714" s="3">
        <v>0</v>
      </c>
      <c r="V714" s="3">
        <v>0</v>
      </c>
      <c r="W714" s="3">
        <v>0</v>
      </c>
      <c r="X714" s="3">
        <v>0</v>
      </c>
      <c r="Y714" s="3">
        <v>0</v>
      </c>
      <c r="Z714" s="3">
        <v>0</v>
      </c>
      <c r="AA714" s="3">
        <v>0</v>
      </c>
    </row>
    <row r="715" spans="1:27">
      <c r="A715" t="s">
        <v>803</v>
      </c>
      <c r="B715" s="3">
        <v>3</v>
      </c>
      <c r="C715" s="3">
        <v>0</v>
      </c>
      <c r="D715" s="1">
        <v>38172</v>
      </c>
      <c r="E715" s="1">
        <v>39082</v>
      </c>
      <c r="F715" s="2">
        <f t="shared" si="11"/>
        <v>2.4914442162902124</v>
      </c>
      <c r="G715" s="3">
        <v>2</v>
      </c>
      <c r="H715" s="3">
        <v>1</v>
      </c>
      <c r="I715" s="3">
        <v>0</v>
      </c>
      <c r="J715" s="3">
        <v>0</v>
      </c>
      <c r="K715" s="3">
        <v>0</v>
      </c>
      <c r="L715" s="3">
        <v>0</v>
      </c>
      <c r="M715" s="3">
        <v>0</v>
      </c>
      <c r="N715" s="3">
        <v>1</v>
      </c>
      <c r="O715" s="3">
        <v>0</v>
      </c>
      <c r="P715" s="3">
        <v>0</v>
      </c>
      <c r="Q715" s="3">
        <v>0</v>
      </c>
      <c r="R715" s="3">
        <v>86.1</v>
      </c>
      <c r="S715" s="2">
        <v>10.3</v>
      </c>
      <c r="T715" t="s">
        <v>66</v>
      </c>
      <c r="U715" s="3">
        <v>0</v>
      </c>
      <c r="V715" s="3">
        <v>1</v>
      </c>
      <c r="W715" s="3">
        <v>0</v>
      </c>
      <c r="X715" s="3">
        <v>0</v>
      </c>
      <c r="Y715" s="3">
        <v>0</v>
      </c>
      <c r="Z715" s="3">
        <v>0</v>
      </c>
      <c r="AA715" s="3">
        <v>0</v>
      </c>
    </row>
    <row r="716" spans="1:27">
      <c r="A716" t="s">
        <v>80</v>
      </c>
      <c r="B716" s="3">
        <v>2</v>
      </c>
      <c r="C716" s="3">
        <v>0</v>
      </c>
      <c r="D716" s="1">
        <v>36661</v>
      </c>
      <c r="E716" s="1">
        <v>39082</v>
      </c>
      <c r="F716" s="2">
        <f t="shared" si="11"/>
        <v>6.6283367556468171</v>
      </c>
      <c r="G716" s="3">
        <v>2</v>
      </c>
      <c r="H716" s="3">
        <v>0</v>
      </c>
      <c r="I716" s="3">
        <v>0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>
        <v>0</v>
      </c>
      <c r="P716" s="3">
        <v>0</v>
      </c>
      <c r="Q716" s="3">
        <v>0</v>
      </c>
      <c r="R716" s="3">
        <v>86.2</v>
      </c>
      <c r="S716" s="2">
        <v>13.6</v>
      </c>
      <c r="T716" t="s">
        <v>44</v>
      </c>
      <c r="U716" s="3">
        <v>1</v>
      </c>
      <c r="V716" s="3">
        <v>1</v>
      </c>
      <c r="W716" s="3">
        <v>1</v>
      </c>
      <c r="X716" s="3">
        <v>1</v>
      </c>
      <c r="Y716" s="3">
        <v>1</v>
      </c>
      <c r="Z716" s="3">
        <v>0</v>
      </c>
      <c r="AA716" s="3">
        <v>0</v>
      </c>
    </row>
    <row r="717" spans="1:27">
      <c r="A717" t="s">
        <v>804</v>
      </c>
      <c r="B717" s="3">
        <v>2</v>
      </c>
      <c r="C717" s="3">
        <v>0</v>
      </c>
      <c r="D717" s="1">
        <v>37679</v>
      </c>
      <c r="E717" s="1">
        <v>39082</v>
      </c>
      <c r="F717" s="2">
        <f t="shared" si="11"/>
        <v>3.8412046543463383</v>
      </c>
      <c r="G717" s="3">
        <v>1</v>
      </c>
      <c r="H717" s="3">
        <v>1</v>
      </c>
      <c r="I717" s="3">
        <v>0</v>
      </c>
      <c r="J717" s="3">
        <v>0</v>
      </c>
      <c r="K717" s="3">
        <v>1</v>
      </c>
      <c r="L717" s="3">
        <v>0</v>
      </c>
      <c r="M717" s="3">
        <v>1</v>
      </c>
      <c r="N717" s="3">
        <v>0</v>
      </c>
      <c r="O717" s="3">
        <v>1</v>
      </c>
      <c r="P717" s="3">
        <v>1</v>
      </c>
      <c r="Q717" s="3">
        <v>0</v>
      </c>
      <c r="R717" s="3">
        <v>86.2</v>
      </c>
      <c r="S717" s="2">
        <v>10.3</v>
      </c>
      <c r="T717" t="s">
        <v>105</v>
      </c>
      <c r="U717" s="3">
        <v>1</v>
      </c>
      <c r="V717" s="3">
        <v>1</v>
      </c>
      <c r="W717" s="3">
        <v>0</v>
      </c>
      <c r="X717" s="3">
        <v>1</v>
      </c>
      <c r="Y717" s="3">
        <v>0</v>
      </c>
      <c r="Z717" s="3">
        <v>1</v>
      </c>
      <c r="AA717" s="3">
        <v>0</v>
      </c>
    </row>
    <row r="718" spans="1:27">
      <c r="A718" t="s">
        <v>805</v>
      </c>
      <c r="B718" s="3">
        <v>2</v>
      </c>
      <c r="C718" s="3">
        <v>0</v>
      </c>
      <c r="D718" s="1">
        <v>37250</v>
      </c>
      <c r="E718" s="1">
        <v>39082</v>
      </c>
      <c r="F718" s="2">
        <f t="shared" si="11"/>
        <v>5.0157426420260096</v>
      </c>
      <c r="G718" s="3">
        <v>1</v>
      </c>
      <c r="H718" s="3">
        <v>1</v>
      </c>
      <c r="I718" s="3">
        <v>0</v>
      </c>
      <c r="J718" s="3">
        <v>1</v>
      </c>
      <c r="K718" s="3">
        <v>0</v>
      </c>
      <c r="L718" s="3">
        <v>0</v>
      </c>
      <c r="M718" s="3">
        <v>0</v>
      </c>
      <c r="N718" s="3">
        <v>1</v>
      </c>
      <c r="O718" s="3">
        <v>0</v>
      </c>
      <c r="P718" s="3">
        <v>1</v>
      </c>
      <c r="Q718" s="3">
        <v>0</v>
      </c>
      <c r="R718" s="3">
        <v>86.2</v>
      </c>
      <c r="S718" s="2">
        <v>10.7</v>
      </c>
      <c r="T718" t="s">
        <v>66</v>
      </c>
      <c r="U718" s="3">
        <v>1</v>
      </c>
      <c r="V718" s="3">
        <v>1</v>
      </c>
      <c r="W718" s="3">
        <v>0</v>
      </c>
      <c r="X718" s="3">
        <v>0</v>
      </c>
      <c r="Y718" s="3">
        <v>0</v>
      </c>
      <c r="Z718" s="3">
        <v>1</v>
      </c>
      <c r="AA718" s="3">
        <v>0</v>
      </c>
    </row>
    <row r="719" spans="1:27">
      <c r="A719" t="s">
        <v>806</v>
      </c>
      <c r="B719" s="3">
        <v>2</v>
      </c>
      <c r="C719" s="3">
        <v>0</v>
      </c>
      <c r="D719" s="1">
        <v>37413</v>
      </c>
      <c r="E719" s="1">
        <v>39082</v>
      </c>
      <c r="F719" s="2">
        <f t="shared" si="11"/>
        <v>4.5694729637234772</v>
      </c>
      <c r="G719" s="3">
        <v>2</v>
      </c>
      <c r="H719" s="3">
        <v>0</v>
      </c>
      <c r="I719" s="3">
        <v>0</v>
      </c>
      <c r="J719" s="3">
        <v>0</v>
      </c>
      <c r="K719" s="3">
        <v>0</v>
      </c>
      <c r="L719" s="3">
        <v>0</v>
      </c>
      <c r="M719" s="3">
        <v>0</v>
      </c>
      <c r="N719" s="3">
        <v>1</v>
      </c>
      <c r="O719" s="3">
        <v>0</v>
      </c>
      <c r="P719" s="3">
        <v>0</v>
      </c>
      <c r="Q719" s="3">
        <v>0</v>
      </c>
      <c r="R719" s="3">
        <v>86.3</v>
      </c>
      <c r="S719" s="2">
        <v>10.3</v>
      </c>
      <c r="T719" t="s">
        <v>44</v>
      </c>
      <c r="U719" s="3">
        <v>1</v>
      </c>
      <c r="V719" s="3">
        <v>1</v>
      </c>
      <c r="W719" s="3">
        <v>1</v>
      </c>
      <c r="X719" s="3">
        <v>0</v>
      </c>
      <c r="Y719" s="3">
        <v>0</v>
      </c>
      <c r="Z719" s="3">
        <v>0</v>
      </c>
      <c r="AA719" s="3">
        <v>0</v>
      </c>
    </row>
    <row r="720" spans="1:27">
      <c r="A720" t="s">
        <v>807</v>
      </c>
      <c r="B720" s="3">
        <v>2</v>
      </c>
      <c r="C720" s="3">
        <v>0</v>
      </c>
      <c r="D720" s="1">
        <v>37396</v>
      </c>
      <c r="E720" s="1">
        <v>39082</v>
      </c>
      <c r="F720" s="2">
        <f t="shared" si="11"/>
        <v>4.6160164271047224</v>
      </c>
      <c r="G720" s="3">
        <v>2</v>
      </c>
      <c r="H720" s="3">
        <v>0</v>
      </c>
      <c r="I720" s="3">
        <v>0</v>
      </c>
      <c r="J720" s="3">
        <v>1</v>
      </c>
      <c r="K720" s="3">
        <v>0</v>
      </c>
      <c r="L720" s="3">
        <v>0</v>
      </c>
      <c r="M720" s="3">
        <v>0</v>
      </c>
      <c r="N720" s="3">
        <v>1</v>
      </c>
      <c r="O720" s="3">
        <v>0</v>
      </c>
      <c r="P720" s="3">
        <v>0</v>
      </c>
      <c r="Q720" s="3">
        <v>0</v>
      </c>
      <c r="R720" s="3">
        <v>86.4</v>
      </c>
      <c r="S720" s="2">
        <v>11</v>
      </c>
      <c r="T720" t="s">
        <v>398</v>
      </c>
      <c r="U720" s="3">
        <v>0</v>
      </c>
      <c r="V720" s="3">
        <v>1</v>
      </c>
      <c r="W720" s="3">
        <v>1</v>
      </c>
      <c r="X720" s="3">
        <v>1</v>
      </c>
      <c r="Y720" s="3">
        <v>0</v>
      </c>
      <c r="Z720" s="3">
        <v>0</v>
      </c>
      <c r="AA720" s="3">
        <v>0</v>
      </c>
    </row>
    <row r="721" spans="1:27">
      <c r="A721" t="s">
        <v>808</v>
      </c>
      <c r="B721" s="3">
        <v>3</v>
      </c>
      <c r="C721" s="3">
        <v>0</v>
      </c>
      <c r="D721" s="1">
        <v>38275</v>
      </c>
      <c r="E721" s="1">
        <v>39082</v>
      </c>
      <c r="F721" s="2">
        <f t="shared" si="11"/>
        <v>2.2094455852156059</v>
      </c>
      <c r="G721" s="3">
        <v>1</v>
      </c>
      <c r="H721" s="3">
        <v>1</v>
      </c>
      <c r="I721" s="3">
        <v>0</v>
      </c>
      <c r="J721" s="3">
        <v>0</v>
      </c>
      <c r="K721" s="3">
        <v>0</v>
      </c>
      <c r="L721" s="3">
        <v>0</v>
      </c>
      <c r="M721" s="3">
        <v>0</v>
      </c>
      <c r="N721" s="3">
        <v>0</v>
      </c>
      <c r="O721" s="3">
        <v>0</v>
      </c>
      <c r="P721" s="3">
        <v>0</v>
      </c>
      <c r="Q721" s="3">
        <v>0</v>
      </c>
      <c r="R721" s="3">
        <v>86.6</v>
      </c>
      <c r="S721" s="2">
        <v>12.9</v>
      </c>
      <c r="T721" t="s">
        <v>28</v>
      </c>
      <c r="U721" s="3">
        <v>0</v>
      </c>
      <c r="V721" s="3">
        <v>0</v>
      </c>
      <c r="W721" s="3">
        <v>0</v>
      </c>
      <c r="X721" s="3">
        <v>0</v>
      </c>
      <c r="Y721" s="3">
        <v>0</v>
      </c>
      <c r="Z721" s="3">
        <v>1</v>
      </c>
      <c r="AA721" s="3">
        <v>0</v>
      </c>
    </row>
    <row r="722" spans="1:27">
      <c r="A722" t="s">
        <v>809</v>
      </c>
      <c r="B722" s="3">
        <v>2</v>
      </c>
      <c r="C722" s="3">
        <v>0</v>
      </c>
      <c r="D722" s="1">
        <v>38020</v>
      </c>
      <c r="E722" s="1">
        <v>39082</v>
      </c>
      <c r="F722" s="2">
        <f t="shared" si="11"/>
        <v>2.9075975359342916</v>
      </c>
      <c r="G722" s="3">
        <v>2</v>
      </c>
      <c r="H722" s="3">
        <v>1</v>
      </c>
      <c r="I722" s="3">
        <v>0</v>
      </c>
      <c r="J722" s="3">
        <v>0</v>
      </c>
      <c r="K722" s="3">
        <v>1</v>
      </c>
      <c r="L722" s="3">
        <v>0</v>
      </c>
      <c r="M722" s="3">
        <v>0</v>
      </c>
      <c r="N722" s="3">
        <v>1</v>
      </c>
      <c r="O722" s="3">
        <v>0</v>
      </c>
      <c r="P722" s="3">
        <v>0</v>
      </c>
      <c r="Q722" s="3">
        <v>0</v>
      </c>
      <c r="R722" s="3">
        <v>86.6</v>
      </c>
      <c r="S722" s="2">
        <v>10.4</v>
      </c>
      <c r="T722" t="s">
        <v>689</v>
      </c>
      <c r="U722" s="3">
        <v>1</v>
      </c>
      <c r="V722" s="5" t="e">
        <v>#NULL!</v>
      </c>
      <c r="W722" s="3">
        <v>0</v>
      </c>
      <c r="X722" s="3">
        <v>0</v>
      </c>
      <c r="Y722" s="3">
        <v>0</v>
      </c>
      <c r="Z722" s="3">
        <v>0</v>
      </c>
      <c r="AA722" s="3">
        <v>0</v>
      </c>
    </row>
    <row r="723" spans="1:27">
      <c r="A723" t="s">
        <v>810</v>
      </c>
      <c r="B723" s="3">
        <v>1</v>
      </c>
      <c r="C723" s="3">
        <v>0</v>
      </c>
      <c r="D723" s="1">
        <v>37662</v>
      </c>
      <c r="E723" s="1">
        <v>39082</v>
      </c>
      <c r="F723" s="2">
        <f t="shared" si="11"/>
        <v>3.8877481177275839</v>
      </c>
      <c r="G723" s="3">
        <v>2</v>
      </c>
      <c r="H723" s="3">
        <v>0</v>
      </c>
      <c r="I723" s="3">
        <v>1</v>
      </c>
      <c r="J723" s="3">
        <v>0</v>
      </c>
      <c r="K723" s="3">
        <v>0</v>
      </c>
      <c r="L723" s="3">
        <v>0</v>
      </c>
      <c r="M723" s="3">
        <v>0</v>
      </c>
      <c r="N723" s="3">
        <v>1</v>
      </c>
      <c r="O723" s="3">
        <v>1</v>
      </c>
      <c r="P723" s="3">
        <v>1</v>
      </c>
      <c r="Q723" s="3">
        <v>0</v>
      </c>
      <c r="R723" s="3">
        <v>86.6</v>
      </c>
      <c r="S723" s="2">
        <v>12</v>
      </c>
      <c r="T723" t="s">
        <v>28</v>
      </c>
      <c r="U723" s="3">
        <v>1</v>
      </c>
      <c r="V723" s="3">
        <v>1</v>
      </c>
      <c r="W723" s="3">
        <v>0</v>
      </c>
      <c r="X723" s="3">
        <v>0</v>
      </c>
      <c r="Y723" s="3">
        <v>0</v>
      </c>
      <c r="Z723" s="3">
        <v>0</v>
      </c>
      <c r="AA723" s="3">
        <v>0</v>
      </c>
    </row>
    <row r="724" spans="1:27">
      <c r="A724" t="s">
        <v>811</v>
      </c>
      <c r="B724" s="3">
        <v>1</v>
      </c>
      <c r="C724" s="3">
        <v>0</v>
      </c>
      <c r="D724" s="1">
        <v>38264</v>
      </c>
      <c r="E724" s="1">
        <v>39082</v>
      </c>
      <c r="F724" s="2">
        <f t="shared" si="11"/>
        <v>2.239561943874059</v>
      </c>
      <c r="G724" s="3">
        <v>2</v>
      </c>
      <c r="H724" s="3">
        <v>0</v>
      </c>
      <c r="I724" s="3">
        <v>0</v>
      </c>
      <c r="J724" s="3">
        <v>0</v>
      </c>
      <c r="K724" s="3">
        <v>0</v>
      </c>
      <c r="L724" s="3">
        <v>0</v>
      </c>
      <c r="M724" s="3">
        <v>0</v>
      </c>
      <c r="N724" s="3">
        <v>1</v>
      </c>
      <c r="O724" s="3">
        <v>0</v>
      </c>
      <c r="P724" s="3">
        <v>1</v>
      </c>
      <c r="Q724" s="3">
        <v>0</v>
      </c>
      <c r="R724" s="3">
        <v>86.7</v>
      </c>
      <c r="S724" s="2">
        <v>10.6</v>
      </c>
      <c r="T724" t="s">
        <v>812</v>
      </c>
      <c r="U724" s="3">
        <v>1</v>
      </c>
      <c r="V724" s="3">
        <v>1</v>
      </c>
      <c r="W724" s="3">
        <v>0</v>
      </c>
      <c r="X724" s="3">
        <v>0</v>
      </c>
      <c r="Y724" s="3">
        <v>0</v>
      </c>
      <c r="Z724" s="3">
        <v>0</v>
      </c>
      <c r="AA724" s="3">
        <v>0</v>
      </c>
    </row>
    <row r="725" spans="1:27">
      <c r="A725" t="s">
        <v>813</v>
      </c>
      <c r="B725" s="3">
        <v>1</v>
      </c>
      <c r="C725" s="3">
        <v>0</v>
      </c>
      <c r="D725" s="1">
        <v>37504</v>
      </c>
      <c r="E725" s="1">
        <v>39082</v>
      </c>
      <c r="F725" s="2">
        <f t="shared" si="11"/>
        <v>4.3203285420944555</v>
      </c>
      <c r="G725" s="3">
        <v>1</v>
      </c>
      <c r="H725" s="3">
        <v>1</v>
      </c>
      <c r="I725" s="3">
        <v>0</v>
      </c>
      <c r="J725" s="3">
        <v>0</v>
      </c>
      <c r="K725" s="3">
        <v>0</v>
      </c>
      <c r="L725" s="3">
        <v>0</v>
      </c>
      <c r="M725" s="3">
        <v>0</v>
      </c>
      <c r="N725" s="3">
        <v>1</v>
      </c>
      <c r="O725" s="3">
        <v>0</v>
      </c>
      <c r="P725" s="3">
        <v>0</v>
      </c>
      <c r="Q725" s="3">
        <v>0</v>
      </c>
      <c r="R725" s="3">
        <v>86.7</v>
      </c>
      <c r="S725" s="2">
        <v>11.7</v>
      </c>
      <c r="T725" t="s">
        <v>28</v>
      </c>
      <c r="U725" s="3">
        <v>1</v>
      </c>
      <c r="V725" s="3">
        <v>1</v>
      </c>
      <c r="W725" s="3">
        <v>1</v>
      </c>
      <c r="X725" s="3">
        <v>1</v>
      </c>
      <c r="Y725" s="3">
        <v>1</v>
      </c>
      <c r="Z725" s="3">
        <v>1</v>
      </c>
      <c r="AA725" s="3">
        <v>0</v>
      </c>
    </row>
    <row r="726" spans="1:27">
      <c r="A726" t="s">
        <v>814</v>
      </c>
      <c r="B726" s="3">
        <v>3</v>
      </c>
      <c r="C726" s="3">
        <v>0</v>
      </c>
      <c r="D726" s="1">
        <v>37145</v>
      </c>
      <c r="E726" s="1">
        <v>39082</v>
      </c>
      <c r="F726" s="2">
        <f t="shared" si="11"/>
        <v>5.3032169746748803</v>
      </c>
      <c r="G726" s="3">
        <v>2</v>
      </c>
      <c r="H726" s="3">
        <v>1</v>
      </c>
      <c r="I726" s="3">
        <v>0</v>
      </c>
      <c r="J726" s="3">
        <v>1</v>
      </c>
      <c r="K726" s="3">
        <v>0</v>
      </c>
      <c r="L726" s="3">
        <v>0</v>
      </c>
      <c r="M726" s="3">
        <v>0</v>
      </c>
      <c r="N726" s="3">
        <v>0</v>
      </c>
      <c r="O726" s="3">
        <v>0</v>
      </c>
      <c r="P726" s="3">
        <v>1</v>
      </c>
      <c r="Q726" s="3">
        <v>0</v>
      </c>
      <c r="R726" s="3">
        <v>86.7</v>
      </c>
      <c r="S726" s="2">
        <v>12.8</v>
      </c>
      <c r="T726" t="s">
        <v>28</v>
      </c>
      <c r="U726" s="3">
        <v>1</v>
      </c>
      <c r="V726" s="3">
        <v>1</v>
      </c>
      <c r="W726" s="3">
        <v>0</v>
      </c>
      <c r="X726" s="3">
        <v>0</v>
      </c>
      <c r="Y726" s="3">
        <v>0</v>
      </c>
      <c r="Z726" s="3">
        <v>0</v>
      </c>
      <c r="AA726" s="3">
        <v>0</v>
      </c>
    </row>
    <row r="727" spans="1:27">
      <c r="A727" t="s">
        <v>815</v>
      </c>
      <c r="B727" s="3">
        <v>1</v>
      </c>
      <c r="C727" s="3">
        <v>0</v>
      </c>
      <c r="D727" s="1">
        <v>37458</v>
      </c>
      <c r="E727" s="1">
        <v>39082</v>
      </c>
      <c r="F727" s="2">
        <f t="shared" si="11"/>
        <v>4.4462696783025324</v>
      </c>
      <c r="G727" s="3">
        <v>1</v>
      </c>
      <c r="H727" s="3">
        <v>0</v>
      </c>
      <c r="I727" s="3">
        <v>1</v>
      </c>
      <c r="J727" s="3">
        <v>0</v>
      </c>
      <c r="K727" s="3">
        <v>0</v>
      </c>
      <c r="L727" s="3">
        <v>0</v>
      </c>
      <c r="M727" s="3">
        <v>0</v>
      </c>
      <c r="N727" s="3">
        <v>1</v>
      </c>
      <c r="O727" s="3">
        <v>0</v>
      </c>
      <c r="P727" s="3">
        <v>0</v>
      </c>
      <c r="Q727" s="3">
        <v>0</v>
      </c>
      <c r="R727" s="3">
        <v>86.7</v>
      </c>
      <c r="S727" s="2">
        <v>12.9</v>
      </c>
      <c r="T727" t="s">
        <v>28</v>
      </c>
      <c r="U727" s="3">
        <v>1</v>
      </c>
      <c r="V727" s="3">
        <v>1</v>
      </c>
      <c r="W727" s="3">
        <v>1</v>
      </c>
      <c r="X727" s="3">
        <v>1</v>
      </c>
      <c r="Y727" s="3">
        <v>0</v>
      </c>
      <c r="Z727" s="3">
        <v>1</v>
      </c>
      <c r="AA727" s="3">
        <v>0</v>
      </c>
    </row>
    <row r="728" spans="1:27">
      <c r="A728" t="s">
        <v>816</v>
      </c>
      <c r="B728" s="3">
        <v>2</v>
      </c>
      <c r="C728" s="3">
        <v>0</v>
      </c>
      <c r="D728" s="1">
        <v>38252</v>
      </c>
      <c r="E728" s="1">
        <v>39082</v>
      </c>
      <c r="F728" s="2">
        <f t="shared" si="11"/>
        <v>2.2724161533196439</v>
      </c>
      <c r="G728" s="3">
        <v>1</v>
      </c>
      <c r="H728" s="3">
        <v>1</v>
      </c>
      <c r="I728" s="3">
        <v>0</v>
      </c>
      <c r="J728" s="3">
        <v>0</v>
      </c>
      <c r="K728" s="3">
        <v>1</v>
      </c>
      <c r="L728" s="3">
        <v>0</v>
      </c>
      <c r="M728" s="3">
        <v>0</v>
      </c>
      <c r="N728" s="3">
        <v>0</v>
      </c>
      <c r="O728" s="3">
        <v>0</v>
      </c>
      <c r="P728" s="3">
        <v>0</v>
      </c>
      <c r="Q728" s="3">
        <v>0</v>
      </c>
      <c r="R728" s="3">
        <v>86.8</v>
      </c>
      <c r="S728" s="2">
        <v>11.4</v>
      </c>
      <c r="T728" t="s">
        <v>50</v>
      </c>
      <c r="U728" s="3">
        <v>1</v>
      </c>
      <c r="V728" s="3">
        <v>1</v>
      </c>
      <c r="W728" s="3">
        <v>0</v>
      </c>
      <c r="X728" s="3">
        <v>0</v>
      </c>
      <c r="Y728" s="3">
        <v>0</v>
      </c>
      <c r="Z728" s="3">
        <v>1</v>
      </c>
      <c r="AA728" s="3">
        <v>0</v>
      </c>
    </row>
    <row r="729" spans="1:27">
      <c r="A729" t="s">
        <v>817</v>
      </c>
      <c r="B729" s="3">
        <v>2</v>
      </c>
      <c r="C729" s="3">
        <v>0</v>
      </c>
      <c r="D729" s="1">
        <v>37238</v>
      </c>
      <c r="E729" s="1">
        <v>39082</v>
      </c>
      <c r="F729" s="2">
        <f t="shared" si="11"/>
        <v>5.0485968514715944</v>
      </c>
      <c r="G729" s="3">
        <v>1</v>
      </c>
      <c r="H729" s="3">
        <v>1</v>
      </c>
      <c r="I729" s="3">
        <v>0</v>
      </c>
      <c r="J729" s="3">
        <v>0</v>
      </c>
      <c r="K729" s="3">
        <v>0</v>
      </c>
      <c r="L729" s="3">
        <v>0</v>
      </c>
      <c r="M729" s="3">
        <v>0</v>
      </c>
      <c r="N729" s="3">
        <v>0</v>
      </c>
      <c r="O729" s="3">
        <v>0</v>
      </c>
      <c r="P729" s="3">
        <v>1</v>
      </c>
      <c r="Q729" s="3">
        <v>0</v>
      </c>
      <c r="R729" s="3">
        <v>86.8</v>
      </c>
      <c r="S729" s="2">
        <v>12.4</v>
      </c>
      <c r="T729" t="s">
        <v>105</v>
      </c>
      <c r="U729" s="3">
        <v>1</v>
      </c>
      <c r="V729" s="3">
        <v>1</v>
      </c>
      <c r="W729" s="3">
        <v>1</v>
      </c>
      <c r="X729" s="3">
        <v>1</v>
      </c>
      <c r="Y729" s="3">
        <v>1</v>
      </c>
      <c r="Z729" s="3">
        <v>1</v>
      </c>
      <c r="AA729" s="3">
        <v>0</v>
      </c>
    </row>
    <row r="730" spans="1:27">
      <c r="A730" t="s">
        <v>818</v>
      </c>
      <c r="B730" s="3">
        <v>3</v>
      </c>
      <c r="C730" s="3">
        <v>0</v>
      </c>
      <c r="D730" s="1">
        <v>37024</v>
      </c>
      <c r="E730" s="1">
        <v>39082</v>
      </c>
      <c r="F730" s="2">
        <f t="shared" si="11"/>
        <v>5.6344969199178641</v>
      </c>
      <c r="G730" s="3">
        <v>2</v>
      </c>
      <c r="H730" s="3">
        <v>1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1</v>
      </c>
      <c r="O730" s="3">
        <v>0</v>
      </c>
      <c r="P730" s="3">
        <v>0</v>
      </c>
      <c r="Q730" s="3">
        <v>0</v>
      </c>
      <c r="R730" s="3">
        <v>86.8</v>
      </c>
      <c r="S730" s="2">
        <v>11.1</v>
      </c>
      <c r="T730" t="s">
        <v>28</v>
      </c>
      <c r="U730" s="3">
        <v>0</v>
      </c>
      <c r="V730" s="3">
        <v>0</v>
      </c>
      <c r="W730" s="3">
        <v>1</v>
      </c>
      <c r="X730" s="3">
        <v>1</v>
      </c>
      <c r="Y730" s="3">
        <v>1</v>
      </c>
      <c r="Z730" s="3">
        <v>0</v>
      </c>
      <c r="AA730" s="3">
        <v>0</v>
      </c>
    </row>
    <row r="731" spans="1:27">
      <c r="A731" t="s">
        <v>819</v>
      </c>
      <c r="B731" s="3">
        <v>3</v>
      </c>
      <c r="C731" s="3">
        <v>0</v>
      </c>
      <c r="D731" s="1">
        <v>37530</v>
      </c>
      <c r="E731" s="1">
        <v>39082</v>
      </c>
      <c r="F731" s="2">
        <f t="shared" si="11"/>
        <v>4.2491444216290208</v>
      </c>
      <c r="G731" s="3">
        <v>2</v>
      </c>
      <c r="H731" s="3">
        <v>1</v>
      </c>
      <c r="I731" s="3">
        <v>0</v>
      </c>
      <c r="J731" s="3">
        <v>1</v>
      </c>
      <c r="K731" s="3">
        <v>0</v>
      </c>
      <c r="L731" s="3">
        <v>0</v>
      </c>
      <c r="M731" s="3">
        <v>0</v>
      </c>
      <c r="N731" s="3">
        <v>0</v>
      </c>
      <c r="O731" s="3">
        <v>0</v>
      </c>
      <c r="P731" s="3">
        <v>0</v>
      </c>
      <c r="Q731" s="3">
        <v>0</v>
      </c>
      <c r="R731" s="3">
        <v>86.8</v>
      </c>
      <c r="S731" s="2">
        <v>11</v>
      </c>
      <c r="T731" t="s">
        <v>28</v>
      </c>
      <c r="U731" s="3">
        <v>0</v>
      </c>
      <c r="V731" s="3">
        <v>0</v>
      </c>
      <c r="W731" s="3">
        <v>1</v>
      </c>
      <c r="X731" s="3">
        <v>1</v>
      </c>
      <c r="Y731" s="3">
        <v>1</v>
      </c>
      <c r="Z731" s="3">
        <v>0</v>
      </c>
      <c r="AA731" s="3">
        <v>0</v>
      </c>
    </row>
    <row r="732" spans="1:27">
      <c r="A732" t="s">
        <v>820</v>
      </c>
      <c r="B732" s="3">
        <v>3</v>
      </c>
      <c r="C732" s="3">
        <v>1</v>
      </c>
      <c r="D732" s="1">
        <v>37995</v>
      </c>
      <c r="E732" s="1">
        <v>39082</v>
      </c>
      <c r="F732" s="2">
        <f t="shared" si="11"/>
        <v>2.9760438056125942</v>
      </c>
      <c r="G732" s="3">
        <v>1</v>
      </c>
      <c r="H732" s="3">
        <v>1</v>
      </c>
      <c r="I732" s="3">
        <v>1</v>
      </c>
      <c r="J732" s="3">
        <v>0</v>
      </c>
      <c r="K732" s="3">
        <v>0</v>
      </c>
      <c r="L732" s="3">
        <v>0</v>
      </c>
      <c r="M732" s="3">
        <v>0</v>
      </c>
      <c r="N732" s="3">
        <v>1</v>
      </c>
      <c r="O732" s="3">
        <v>0</v>
      </c>
      <c r="P732" s="3">
        <v>1</v>
      </c>
      <c r="Q732" s="3">
        <v>0</v>
      </c>
      <c r="R732" s="3">
        <v>86.8</v>
      </c>
      <c r="S732" s="2">
        <v>13.1</v>
      </c>
      <c r="T732" t="s">
        <v>398</v>
      </c>
      <c r="U732" s="3">
        <v>0</v>
      </c>
      <c r="V732" s="3">
        <v>0</v>
      </c>
      <c r="W732" s="3">
        <v>1</v>
      </c>
      <c r="X732" s="3">
        <v>0</v>
      </c>
      <c r="Y732" s="3">
        <v>0</v>
      </c>
      <c r="Z732" s="3">
        <v>1</v>
      </c>
      <c r="AA732" s="3">
        <v>0</v>
      </c>
    </row>
    <row r="733" spans="1:27">
      <c r="A733" t="s">
        <v>821</v>
      </c>
      <c r="B733" s="3">
        <v>3</v>
      </c>
      <c r="C733" s="3">
        <v>1</v>
      </c>
      <c r="D733" s="1">
        <v>38183</v>
      </c>
      <c r="E733" s="1">
        <v>39082</v>
      </c>
      <c r="F733" s="2">
        <f t="shared" si="11"/>
        <v>2.4613278576317592</v>
      </c>
      <c r="G733" s="3">
        <v>1</v>
      </c>
      <c r="H733" s="3">
        <v>1</v>
      </c>
      <c r="I733" s="3">
        <v>0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3">
        <v>0</v>
      </c>
      <c r="Q733" s="3">
        <v>0</v>
      </c>
      <c r="R733" s="3">
        <v>86.9</v>
      </c>
      <c r="S733" s="2">
        <v>13.8</v>
      </c>
      <c r="T733" t="s">
        <v>28</v>
      </c>
      <c r="U733" s="3">
        <v>0</v>
      </c>
      <c r="V733" s="3">
        <v>1</v>
      </c>
      <c r="W733" s="3">
        <v>0</v>
      </c>
      <c r="X733" s="3">
        <v>0</v>
      </c>
      <c r="Y733" s="3">
        <v>0</v>
      </c>
      <c r="Z733" s="3">
        <v>1</v>
      </c>
      <c r="AA733" s="3">
        <v>0</v>
      </c>
    </row>
    <row r="734" spans="1:27">
      <c r="A734" t="s">
        <v>822</v>
      </c>
      <c r="B734" s="3">
        <v>3</v>
      </c>
      <c r="C734" s="3">
        <v>0</v>
      </c>
      <c r="D734" s="1">
        <v>38066</v>
      </c>
      <c r="E734" s="1">
        <v>39082</v>
      </c>
      <c r="F734" s="2">
        <f t="shared" si="11"/>
        <v>2.7816563997262147</v>
      </c>
      <c r="G734" s="3">
        <v>2</v>
      </c>
      <c r="H734" s="3">
        <v>1</v>
      </c>
      <c r="I734" s="3">
        <v>0</v>
      </c>
      <c r="J734" s="3">
        <v>1</v>
      </c>
      <c r="K734" s="3">
        <v>0</v>
      </c>
      <c r="L734" s="3">
        <v>0</v>
      </c>
      <c r="M734" s="3">
        <v>0</v>
      </c>
      <c r="N734" s="3">
        <v>1</v>
      </c>
      <c r="O734" s="3">
        <v>0</v>
      </c>
      <c r="P734" s="3">
        <v>0</v>
      </c>
      <c r="Q734" s="3">
        <v>0</v>
      </c>
      <c r="R734" s="3">
        <v>86.9</v>
      </c>
      <c r="S734" s="2">
        <v>11</v>
      </c>
      <c r="T734" t="s">
        <v>28</v>
      </c>
      <c r="U734" s="3">
        <v>0</v>
      </c>
      <c r="V734" s="3">
        <v>0</v>
      </c>
      <c r="W734" s="3">
        <v>1</v>
      </c>
      <c r="X734" s="3">
        <v>0</v>
      </c>
      <c r="Y734" s="3">
        <v>0</v>
      </c>
      <c r="Z734" s="3">
        <v>0</v>
      </c>
      <c r="AA734" s="3">
        <v>0</v>
      </c>
    </row>
    <row r="735" spans="1:27">
      <c r="A735" t="s">
        <v>823</v>
      </c>
      <c r="B735" s="3">
        <v>1</v>
      </c>
      <c r="C735" s="3">
        <v>0</v>
      </c>
      <c r="D735" s="1">
        <v>37449</v>
      </c>
      <c r="E735" s="1">
        <v>39082</v>
      </c>
      <c r="F735" s="2">
        <f t="shared" si="11"/>
        <v>4.470910335386721</v>
      </c>
      <c r="G735" s="3">
        <v>1</v>
      </c>
      <c r="H735" s="3">
        <v>0</v>
      </c>
      <c r="I735" s="3">
        <v>0</v>
      </c>
      <c r="J735" s="3">
        <v>0</v>
      </c>
      <c r="K735" s="3">
        <v>0</v>
      </c>
      <c r="L735" s="3">
        <v>0</v>
      </c>
      <c r="M735" s="3">
        <v>0</v>
      </c>
      <c r="N735" s="3">
        <v>1</v>
      </c>
      <c r="O735" s="3">
        <v>0</v>
      </c>
      <c r="P735" s="3">
        <v>1</v>
      </c>
      <c r="Q735" s="3">
        <v>0</v>
      </c>
      <c r="R735" s="3">
        <v>87</v>
      </c>
      <c r="S735" s="2">
        <v>13</v>
      </c>
      <c r="T735" t="s">
        <v>82</v>
      </c>
      <c r="U735" s="3">
        <v>1</v>
      </c>
      <c r="V735" s="3">
        <v>1</v>
      </c>
      <c r="W735" s="3">
        <v>0</v>
      </c>
      <c r="X735" s="3">
        <v>0</v>
      </c>
      <c r="Y735" s="3">
        <v>0</v>
      </c>
      <c r="Z735" s="3">
        <v>1</v>
      </c>
      <c r="AA735" s="3">
        <v>0</v>
      </c>
    </row>
    <row r="736" spans="1:27">
      <c r="A736" t="s">
        <v>824</v>
      </c>
      <c r="B736" s="3">
        <v>2</v>
      </c>
      <c r="C736" s="3">
        <v>0</v>
      </c>
      <c r="D736" s="1">
        <v>36951</v>
      </c>
      <c r="E736" s="1">
        <v>39082</v>
      </c>
      <c r="F736" s="2">
        <f t="shared" si="11"/>
        <v>5.8343600273785077</v>
      </c>
      <c r="G736" s="3">
        <v>1</v>
      </c>
      <c r="H736" s="3">
        <v>1</v>
      </c>
      <c r="I736" s="3">
        <v>0</v>
      </c>
      <c r="J736" s="3">
        <v>0</v>
      </c>
      <c r="K736" s="3">
        <v>0</v>
      </c>
      <c r="L736" s="3">
        <v>0</v>
      </c>
      <c r="M736" s="3">
        <v>0</v>
      </c>
      <c r="N736" s="3">
        <v>0</v>
      </c>
      <c r="O736" s="3">
        <v>0</v>
      </c>
      <c r="P736" s="3">
        <v>0</v>
      </c>
      <c r="Q736" s="3">
        <v>0</v>
      </c>
      <c r="R736" s="3">
        <v>87</v>
      </c>
      <c r="S736" s="2">
        <v>11.5</v>
      </c>
      <c r="T736" t="s">
        <v>28</v>
      </c>
      <c r="U736" s="3">
        <v>0</v>
      </c>
      <c r="V736" s="3">
        <v>0</v>
      </c>
      <c r="W736" s="3">
        <v>1</v>
      </c>
      <c r="X736" s="3">
        <v>1</v>
      </c>
      <c r="Y736" s="3">
        <v>1</v>
      </c>
      <c r="Z736" s="3">
        <v>1</v>
      </c>
      <c r="AA736" s="3">
        <v>0</v>
      </c>
    </row>
    <row r="737" spans="1:27">
      <c r="A737" t="s">
        <v>825</v>
      </c>
      <c r="B737" s="3">
        <v>3</v>
      </c>
      <c r="C737" s="3">
        <v>0</v>
      </c>
      <c r="D737" s="1">
        <v>38051</v>
      </c>
      <c r="E737" s="1">
        <v>39082</v>
      </c>
      <c r="F737" s="2">
        <f t="shared" si="11"/>
        <v>2.8227241615331966</v>
      </c>
      <c r="G737" s="3">
        <v>1</v>
      </c>
      <c r="H737" s="3">
        <v>1</v>
      </c>
      <c r="I737" s="3">
        <v>0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3">
        <v>0</v>
      </c>
      <c r="Q737" s="3">
        <v>0</v>
      </c>
      <c r="R737" s="3">
        <v>87</v>
      </c>
      <c r="S737" s="2">
        <v>13.3</v>
      </c>
      <c r="T737" t="s">
        <v>28</v>
      </c>
      <c r="U737" s="3">
        <v>0</v>
      </c>
      <c r="V737" s="3">
        <v>1</v>
      </c>
      <c r="W737" s="3">
        <v>1</v>
      </c>
      <c r="X737" s="3">
        <v>1</v>
      </c>
      <c r="Y737" s="3">
        <v>1</v>
      </c>
      <c r="Z737" s="3">
        <v>1</v>
      </c>
      <c r="AA737" s="3">
        <v>0</v>
      </c>
    </row>
    <row r="738" spans="1:27">
      <c r="A738" t="s">
        <v>826</v>
      </c>
      <c r="B738" s="3">
        <v>2</v>
      </c>
      <c r="C738" s="3">
        <v>0</v>
      </c>
      <c r="D738" s="1">
        <v>37106</v>
      </c>
      <c r="E738" s="1">
        <v>39082</v>
      </c>
      <c r="F738" s="2">
        <f t="shared" si="11"/>
        <v>5.4099931553730318</v>
      </c>
      <c r="G738" s="3">
        <v>2</v>
      </c>
      <c r="H738" s="3">
        <v>1</v>
      </c>
      <c r="I738" s="3">
        <v>0</v>
      </c>
      <c r="J738" s="3">
        <v>0</v>
      </c>
      <c r="K738" s="3">
        <v>0</v>
      </c>
      <c r="L738" s="3">
        <v>0</v>
      </c>
      <c r="M738" s="3">
        <v>0</v>
      </c>
      <c r="N738" s="3">
        <v>1</v>
      </c>
      <c r="O738" s="3">
        <v>0</v>
      </c>
      <c r="P738" s="3">
        <v>1</v>
      </c>
      <c r="Q738" s="3">
        <v>0</v>
      </c>
      <c r="R738" s="3">
        <v>87</v>
      </c>
      <c r="S738" s="2">
        <v>11.6</v>
      </c>
      <c r="T738" t="s">
        <v>44</v>
      </c>
      <c r="U738" s="3">
        <v>0</v>
      </c>
      <c r="V738" s="3">
        <v>1</v>
      </c>
      <c r="W738" s="3">
        <v>1</v>
      </c>
      <c r="X738" s="3">
        <v>1</v>
      </c>
      <c r="Y738" s="3">
        <v>1</v>
      </c>
      <c r="Z738" s="3">
        <v>0</v>
      </c>
      <c r="AA738" s="3">
        <v>0</v>
      </c>
    </row>
    <row r="739" spans="1:27">
      <c r="A739" t="s">
        <v>827</v>
      </c>
      <c r="B739" s="3">
        <v>1</v>
      </c>
      <c r="C739" s="3">
        <v>0</v>
      </c>
      <c r="D739" s="1">
        <v>37199</v>
      </c>
      <c r="E739" s="1">
        <v>39082</v>
      </c>
      <c r="F739" s="2">
        <f t="shared" si="11"/>
        <v>5.1553730321697468</v>
      </c>
      <c r="G739" s="3">
        <v>1</v>
      </c>
      <c r="H739" s="3">
        <v>0</v>
      </c>
      <c r="I739" s="3">
        <v>0</v>
      </c>
      <c r="J739" s="3">
        <v>1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3">
        <v>1</v>
      </c>
      <c r="Q739" s="3">
        <v>0</v>
      </c>
      <c r="R739" s="3">
        <v>87</v>
      </c>
      <c r="S739" s="2">
        <v>11.3</v>
      </c>
      <c r="T739" t="s">
        <v>66</v>
      </c>
      <c r="U739" s="3">
        <v>1</v>
      </c>
      <c r="V739" s="3">
        <v>1</v>
      </c>
      <c r="W739" s="3">
        <v>0</v>
      </c>
      <c r="X739" s="3">
        <v>0</v>
      </c>
      <c r="Y739" s="3">
        <v>0</v>
      </c>
      <c r="Z739" s="3">
        <v>1</v>
      </c>
      <c r="AA739" s="3">
        <v>0</v>
      </c>
    </row>
    <row r="740" spans="1:27">
      <c r="A740" t="s">
        <v>828</v>
      </c>
      <c r="B740" s="3">
        <v>2</v>
      </c>
      <c r="C740" s="3">
        <v>0</v>
      </c>
      <c r="D740" s="1">
        <v>37622</v>
      </c>
      <c r="E740" s="1">
        <v>39082</v>
      </c>
      <c r="F740" s="2">
        <f t="shared" si="11"/>
        <v>3.9972621492128679</v>
      </c>
      <c r="G740" s="3">
        <v>2</v>
      </c>
      <c r="H740" s="3">
        <v>1</v>
      </c>
      <c r="I740" s="3">
        <v>0</v>
      </c>
      <c r="J740" s="3">
        <v>1</v>
      </c>
      <c r="K740" s="3">
        <v>1</v>
      </c>
      <c r="L740" s="3">
        <v>0</v>
      </c>
      <c r="M740" s="3">
        <v>0</v>
      </c>
      <c r="N740" s="3">
        <v>1</v>
      </c>
      <c r="O740" s="3">
        <v>0</v>
      </c>
      <c r="P740" s="3">
        <v>1</v>
      </c>
      <c r="Q740" s="3">
        <v>0</v>
      </c>
      <c r="R740" s="3">
        <v>87</v>
      </c>
      <c r="S740" s="2">
        <v>10.199999999999999</v>
      </c>
      <c r="T740" t="s">
        <v>66</v>
      </c>
      <c r="U740" s="3">
        <v>1</v>
      </c>
      <c r="V740" s="3">
        <v>1</v>
      </c>
      <c r="W740" s="3">
        <v>0</v>
      </c>
      <c r="X740" s="3">
        <v>0</v>
      </c>
      <c r="Y740" s="3">
        <v>1</v>
      </c>
      <c r="Z740" s="3">
        <v>0</v>
      </c>
      <c r="AA740" s="3">
        <v>0</v>
      </c>
    </row>
    <row r="741" spans="1:27">
      <c r="A741" t="s">
        <v>829</v>
      </c>
      <c r="B741" s="3">
        <v>3</v>
      </c>
      <c r="C741" s="3">
        <v>0</v>
      </c>
      <c r="D741" s="1">
        <v>38249</v>
      </c>
      <c r="E741" s="1">
        <v>39082</v>
      </c>
      <c r="F741" s="2">
        <f t="shared" si="11"/>
        <v>2.2806297056810405</v>
      </c>
      <c r="G741" s="3">
        <v>2</v>
      </c>
      <c r="H741" s="3">
        <v>0</v>
      </c>
      <c r="I741" s="3">
        <v>0</v>
      </c>
      <c r="J741" s="3">
        <v>0</v>
      </c>
      <c r="K741" s="3">
        <v>0</v>
      </c>
      <c r="L741" s="3">
        <v>0</v>
      </c>
      <c r="M741" s="3">
        <v>0</v>
      </c>
      <c r="N741" s="3">
        <v>1</v>
      </c>
      <c r="O741" s="3">
        <v>0</v>
      </c>
      <c r="P741" s="3">
        <v>1</v>
      </c>
      <c r="Q741" s="3">
        <v>0</v>
      </c>
      <c r="R741" s="3">
        <v>87.1</v>
      </c>
      <c r="S741" s="2">
        <v>11.8</v>
      </c>
      <c r="T741" t="s">
        <v>830</v>
      </c>
      <c r="U741" s="3">
        <v>1</v>
      </c>
      <c r="V741" s="3">
        <v>1</v>
      </c>
      <c r="W741" s="3">
        <v>1</v>
      </c>
      <c r="X741" s="3">
        <v>0</v>
      </c>
      <c r="Y741" s="3">
        <v>0</v>
      </c>
      <c r="Z741" s="3">
        <v>0</v>
      </c>
      <c r="AA741" s="3">
        <v>0</v>
      </c>
    </row>
    <row r="742" spans="1:27">
      <c r="A742" t="s">
        <v>831</v>
      </c>
      <c r="B742" s="3">
        <v>3</v>
      </c>
      <c r="C742" s="3">
        <v>0</v>
      </c>
      <c r="D742" s="1">
        <v>37316</v>
      </c>
      <c r="E742" s="1">
        <v>39082</v>
      </c>
      <c r="F742" s="2">
        <f t="shared" si="11"/>
        <v>4.8350444900752905</v>
      </c>
      <c r="G742" s="3">
        <v>2</v>
      </c>
      <c r="H742" s="3">
        <v>1</v>
      </c>
      <c r="I742" s="3">
        <v>0</v>
      </c>
      <c r="J742" s="3">
        <v>1</v>
      </c>
      <c r="K742" s="3">
        <v>0</v>
      </c>
      <c r="L742" s="3">
        <v>0</v>
      </c>
      <c r="M742" s="3">
        <v>0</v>
      </c>
      <c r="N742" s="3">
        <v>0</v>
      </c>
      <c r="O742" s="3">
        <v>0</v>
      </c>
      <c r="P742" s="3">
        <v>1</v>
      </c>
      <c r="Q742" s="3">
        <v>0</v>
      </c>
      <c r="R742" s="3">
        <v>87.1</v>
      </c>
      <c r="S742" s="2">
        <v>11.1</v>
      </c>
      <c r="T742" t="s">
        <v>66</v>
      </c>
      <c r="U742" s="3">
        <v>0</v>
      </c>
      <c r="V742" s="3">
        <v>0</v>
      </c>
      <c r="W742" s="3">
        <v>1</v>
      </c>
      <c r="X742" s="3">
        <v>1</v>
      </c>
      <c r="Y742" s="3">
        <v>1</v>
      </c>
      <c r="Z742" s="3">
        <v>0</v>
      </c>
      <c r="AA742" s="3">
        <v>0</v>
      </c>
    </row>
    <row r="743" spans="1:27">
      <c r="A743" t="s">
        <v>832</v>
      </c>
      <c r="B743" s="3">
        <v>3</v>
      </c>
      <c r="C743" s="3">
        <v>1</v>
      </c>
      <c r="D743" s="1">
        <v>37289</v>
      </c>
      <c r="E743" s="1">
        <v>39082</v>
      </c>
      <c r="F743" s="2">
        <f t="shared" si="11"/>
        <v>4.9089664613278572</v>
      </c>
      <c r="G743" s="3">
        <v>1</v>
      </c>
      <c r="H743" s="3">
        <v>1</v>
      </c>
      <c r="I743" s="3">
        <v>0</v>
      </c>
      <c r="J743" s="3">
        <v>0</v>
      </c>
      <c r="K743" s="3">
        <v>0</v>
      </c>
      <c r="L743" s="3">
        <v>0</v>
      </c>
      <c r="M743" s="3">
        <v>0</v>
      </c>
      <c r="N743" s="3">
        <v>1</v>
      </c>
      <c r="O743" s="3">
        <v>1</v>
      </c>
      <c r="P743" s="3">
        <v>0</v>
      </c>
      <c r="Q743" s="3">
        <v>0</v>
      </c>
      <c r="R743" s="3">
        <v>87.2</v>
      </c>
      <c r="S743" s="2">
        <v>12.2</v>
      </c>
      <c r="T743" t="s">
        <v>92</v>
      </c>
      <c r="U743" s="3">
        <v>1</v>
      </c>
      <c r="V743" s="3">
        <v>0</v>
      </c>
      <c r="W743" s="3">
        <v>0</v>
      </c>
      <c r="X743" s="3">
        <v>1</v>
      </c>
      <c r="Y743" s="3">
        <v>0</v>
      </c>
      <c r="Z743" s="3">
        <v>1</v>
      </c>
      <c r="AA743" s="3">
        <v>0</v>
      </c>
    </row>
    <row r="744" spans="1:27">
      <c r="A744" t="s">
        <v>227</v>
      </c>
      <c r="B744" s="3">
        <v>2</v>
      </c>
      <c r="C744" s="3">
        <v>0</v>
      </c>
      <c r="D744" s="1">
        <v>37174</v>
      </c>
      <c r="E744" s="1">
        <v>39082</v>
      </c>
      <c r="F744" s="2">
        <f t="shared" si="11"/>
        <v>5.2238193018480494</v>
      </c>
      <c r="G744" s="3">
        <v>2</v>
      </c>
      <c r="H744" s="3">
        <v>0</v>
      </c>
      <c r="I744" s="3">
        <v>0</v>
      </c>
      <c r="J744" s="3">
        <v>0</v>
      </c>
      <c r="K744" s="3">
        <v>0</v>
      </c>
      <c r="L744" s="3">
        <v>0</v>
      </c>
      <c r="M744" s="3">
        <v>0</v>
      </c>
      <c r="N744" s="3">
        <v>0</v>
      </c>
      <c r="O744" s="3">
        <v>0</v>
      </c>
      <c r="P744" s="3">
        <v>0</v>
      </c>
      <c r="Q744" s="3">
        <v>0</v>
      </c>
      <c r="R744" s="3">
        <v>87.3</v>
      </c>
      <c r="S744" s="2">
        <v>11.3</v>
      </c>
      <c r="T744" t="s">
        <v>44</v>
      </c>
      <c r="U744" s="3">
        <v>1</v>
      </c>
      <c r="V744" s="3">
        <v>1</v>
      </c>
      <c r="W744" s="3">
        <v>1</v>
      </c>
      <c r="X744" s="3">
        <v>1</v>
      </c>
      <c r="Y744" s="3">
        <v>0</v>
      </c>
      <c r="Z744" s="3">
        <v>0</v>
      </c>
      <c r="AA744" s="3">
        <v>0</v>
      </c>
    </row>
    <row r="745" spans="1:27">
      <c r="A745" t="s">
        <v>833</v>
      </c>
      <c r="B745" s="3">
        <v>2</v>
      </c>
      <c r="C745" s="3">
        <v>0</v>
      </c>
      <c r="D745" s="1">
        <v>37357</v>
      </c>
      <c r="E745" s="1">
        <v>39082</v>
      </c>
      <c r="F745" s="2">
        <f t="shared" si="11"/>
        <v>4.7227926078028748</v>
      </c>
      <c r="G745" s="3">
        <v>1</v>
      </c>
      <c r="H745" s="3">
        <v>1</v>
      </c>
      <c r="I745" s="3">
        <v>0</v>
      </c>
      <c r="J745" s="3">
        <v>0</v>
      </c>
      <c r="K745" s="3">
        <v>1</v>
      </c>
      <c r="L745" s="3">
        <v>0</v>
      </c>
      <c r="M745" s="3">
        <v>0</v>
      </c>
      <c r="N745" s="3">
        <v>1</v>
      </c>
      <c r="O745" s="3">
        <v>1</v>
      </c>
      <c r="P745" s="3">
        <v>1</v>
      </c>
      <c r="Q745" s="3">
        <v>0</v>
      </c>
      <c r="R745" s="3">
        <v>87.3</v>
      </c>
      <c r="S745" s="2">
        <v>10.9</v>
      </c>
      <c r="T745" t="s">
        <v>28</v>
      </c>
      <c r="U745" s="3">
        <v>1</v>
      </c>
      <c r="V745" s="3">
        <v>1</v>
      </c>
      <c r="W745" s="3">
        <v>1</v>
      </c>
      <c r="X745" s="3">
        <v>0</v>
      </c>
      <c r="Y745" s="3">
        <v>0</v>
      </c>
      <c r="Z745" s="3">
        <v>1</v>
      </c>
      <c r="AA745" s="3">
        <v>0</v>
      </c>
    </row>
    <row r="746" spans="1:27">
      <c r="A746" t="s">
        <v>834</v>
      </c>
      <c r="B746" s="3">
        <v>2</v>
      </c>
      <c r="C746" s="3">
        <v>0</v>
      </c>
      <c r="D746" s="1">
        <v>37493</v>
      </c>
      <c r="E746" s="1">
        <v>39082</v>
      </c>
      <c r="F746" s="2">
        <f t="shared" si="11"/>
        <v>4.3504449007529091</v>
      </c>
      <c r="G746" s="3">
        <v>1</v>
      </c>
      <c r="H746" s="3">
        <v>1</v>
      </c>
      <c r="I746" s="3">
        <v>0</v>
      </c>
      <c r="J746" s="3">
        <v>0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3">
        <v>0</v>
      </c>
      <c r="Q746" s="3">
        <v>0</v>
      </c>
      <c r="R746" s="3">
        <v>87.3</v>
      </c>
      <c r="S746" s="2">
        <v>10.9</v>
      </c>
      <c r="T746" t="s">
        <v>582</v>
      </c>
      <c r="U746" s="3">
        <v>1</v>
      </c>
      <c r="V746" s="3">
        <v>1</v>
      </c>
      <c r="W746" s="3">
        <v>1</v>
      </c>
      <c r="X746" s="3">
        <v>1</v>
      </c>
      <c r="Y746" s="3">
        <v>1</v>
      </c>
      <c r="Z746" s="3">
        <v>1</v>
      </c>
      <c r="AA746" s="3">
        <v>0</v>
      </c>
    </row>
    <row r="747" spans="1:27">
      <c r="A747" t="s">
        <v>835</v>
      </c>
      <c r="B747" s="3">
        <v>1</v>
      </c>
      <c r="C747" s="3">
        <v>0</v>
      </c>
      <c r="D747" s="1">
        <v>37314</v>
      </c>
      <c r="E747" s="1">
        <v>39082</v>
      </c>
      <c r="F747" s="2">
        <f t="shared" si="11"/>
        <v>4.8405201916495555</v>
      </c>
      <c r="G747" s="3">
        <v>2</v>
      </c>
      <c r="H747" s="3">
        <v>0</v>
      </c>
      <c r="I747" s="3">
        <v>0</v>
      </c>
      <c r="J747" s="3">
        <v>1</v>
      </c>
      <c r="K747" s="3">
        <v>0</v>
      </c>
      <c r="L747" s="3">
        <v>0</v>
      </c>
      <c r="M747" s="3">
        <v>0</v>
      </c>
      <c r="N747" s="3">
        <v>1</v>
      </c>
      <c r="O747" s="3">
        <v>0</v>
      </c>
      <c r="P747" s="3">
        <v>1</v>
      </c>
      <c r="Q747" s="3">
        <v>0</v>
      </c>
      <c r="R747" s="3">
        <v>87.3</v>
      </c>
      <c r="S747" s="2">
        <v>11.7</v>
      </c>
      <c r="T747" t="s">
        <v>336</v>
      </c>
      <c r="U747" s="3">
        <v>1</v>
      </c>
      <c r="V747" s="3">
        <v>1</v>
      </c>
      <c r="W747" s="3">
        <v>0</v>
      </c>
      <c r="X747" s="3">
        <v>0</v>
      </c>
      <c r="Y747" s="3">
        <v>0</v>
      </c>
      <c r="Z747" s="3">
        <v>0</v>
      </c>
      <c r="AA747" s="3">
        <v>0</v>
      </c>
    </row>
    <row r="748" spans="1:27">
      <c r="A748" t="s">
        <v>836</v>
      </c>
      <c r="B748" s="3">
        <v>1</v>
      </c>
      <c r="C748" s="3">
        <v>0</v>
      </c>
      <c r="D748" s="1">
        <v>37360</v>
      </c>
      <c r="E748" s="1">
        <v>39082</v>
      </c>
      <c r="F748" s="2">
        <f t="shared" si="11"/>
        <v>4.7145790554414786</v>
      </c>
      <c r="G748" s="3">
        <v>1</v>
      </c>
      <c r="H748" s="3">
        <v>1</v>
      </c>
      <c r="I748" s="3">
        <v>1</v>
      </c>
      <c r="J748" s="3">
        <v>0</v>
      </c>
      <c r="K748" s="3">
        <v>0</v>
      </c>
      <c r="L748" s="3">
        <v>1</v>
      </c>
      <c r="M748" s="3">
        <v>0</v>
      </c>
      <c r="N748" s="3">
        <v>1</v>
      </c>
      <c r="O748" s="3">
        <v>0</v>
      </c>
      <c r="P748" s="3">
        <v>1</v>
      </c>
      <c r="Q748" s="3">
        <v>0</v>
      </c>
      <c r="R748" s="3">
        <v>87.3</v>
      </c>
      <c r="S748" s="2">
        <v>11.5</v>
      </c>
      <c r="T748" t="s">
        <v>28</v>
      </c>
      <c r="U748" s="3">
        <v>1</v>
      </c>
      <c r="V748" s="3">
        <v>1</v>
      </c>
      <c r="W748" s="3">
        <v>0</v>
      </c>
      <c r="X748" s="3">
        <v>0</v>
      </c>
      <c r="Y748" s="3">
        <v>0</v>
      </c>
      <c r="Z748" s="3">
        <v>1</v>
      </c>
      <c r="AA748" s="3">
        <v>0</v>
      </c>
    </row>
    <row r="749" spans="1:27">
      <c r="A749" t="s">
        <v>837</v>
      </c>
      <c r="B749" s="3">
        <v>2</v>
      </c>
      <c r="C749" s="3">
        <v>0</v>
      </c>
      <c r="D749" s="1">
        <v>37550</v>
      </c>
      <c r="E749" s="1">
        <v>39082</v>
      </c>
      <c r="F749" s="2">
        <f t="shared" si="11"/>
        <v>4.1943874058863795</v>
      </c>
      <c r="G749" s="3">
        <v>1</v>
      </c>
      <c r="H749" s="3">
        <v>0</v>
      </c>
      <c r="I749" s="3">
        <v>0</v>
      </c>
      <c r="J749" s="3">
        <v>0</v>
      </c>
      <c r="K749" s="3">
        <v>0</v>
      </c>
      <c r="L749" s="3">
        <v>0</v>
      </c>
      <c r="M749" s="3">
        <v>0</v>
      </c>
      <c r="N749" s="3">
        <v>0</v>
      </c>
      <c r="O749" s="3">
        <v>0</v>
      </c>
      <c r="P749" s="3">
        <v>1</v>
      </c>
      <c r="Q749" s="3">
        <v>0</v>
      </c>
      <c r="R749" s="3">
        <v>87.4</v>
      </c>
      <c r="S749" s="2">
        <v>13</v>
      </c>
      <c r="T749" t="s">
        <v>759</v>
      </c>
      <c r="U749" s="3">
        <v>1</v>
      </c>
      <c r="V749" s="3">
        <v>1</v>
      </c>
      <c r="W749" s="3">
        <v>0</v>
      </c>
      <c r="X749" s="3">
        <v>0</v>
      </c>
      <c r="Y749" s="3">
        <v>0</v>
      </c>
      <c r="Z749" s="3">
        <v>1</v>
      </c>
      <c r="AA749" s="3">
        <v>0</v>
      </c>
    </row>
    <row r="750" spans="1:27">
      <c r="A750" t="s">
        <v>838</v>
      </c>
      <c r="B750" s="3">
        <v>2</v>
      </c>
      <c r="C750" s="3">
        <v>0</v>
      </c>
      <c r="D750" s="1">
        <v>37423</v>
      </c>
      <c r="E750" s="1">
        <v>39082</v>
      </c>
      <c r="F750" s="2">
        <f t="shared" si="11"/>
        <v>4.5420944558521557</v>
      </c>
      <c r="G750" s="3">
        <v>2</v>
      </c>
      <c r="H750" s="3">
        <v>1</v>
      </c>
      <c r="I750" s="3">
        <v>0</v>
      </c>
      <c r="J750" s="3">
        <v>0</v>
      </c>
      <c r="K750" s="3">
        <v>0</v>
      </c>
      <c r="L750" s="3">
        <v>0</v>
      </c>
      <c r="M750" s="3">
        <v>0</v>
      </c>
      <c r="N750" s="3">
        <v>0</v>
      </c>
      <c r="O750" s="3">
        <v>0</v>
      </c>
      <c r="P750" s="3">
        <v>0</v>
      </c>
      <c r="Q750" s="3">
        <v>0</v>
      </c>
      <c r="R750" s="3">
        <v>87.4</v>
      </c>
      <c r="S750" s="2">
        <v>11.8</v>
      </c>
      <c r="T750" t="s">
        <v>28</v>
      </c>
      <c r="U750" s="3">
        <v>1</v>
      </c>
      <c r="V750" s="3">
        <v>1</v>
      </c>
      <c r="W750" s="3">
        <v>1</v>
      </c>
      <c r="X750" s="3">
        <v>1</v>
      </c>
      <c r="Y750" s="3">
        <v>0</v>
      </c>
      <c r="Z750" s="3">
        <v>0</v>
      </c>
      <c r="AA750" s="3">
        <v>0</v>
      </c>
    </row>
    <row r="751" spans="1:27">
      <c r="A751" t="s">
        <v>839</v>
      </c>
      <c r="B751" s="3">
        <v>3</v>
      </c>
      <c r="C751" s="3">
        <v>0</v>
      </c>
      <c r="D751" s="1">
        <v>38275</v>
      </c>
      <c r="E751" s="1">
        <v>39082</v>
      </c>
      <c r="F751" s="2">
        <f t="shared" si="11"/>
        <v>2.2094455852156059</v>
      </c>
      <c r="G751" s="3">
        <v>2</v>
      </c>
      <c r="H751" s="3">
        <v>1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1</v>
      </c>
      <c r="O751" s="3">
        <v>1</v>
      </c>
      <c r="P751" s="3">
        <v>0</v>
      </c>
      <c r="Q751" s="3">
        <v>0</v>
      </c>
      <c r="R751" s="3">
        <v>87.4</v>
      </c>
      <c r="S751" s="2">
        <v>11.8</v>
      </c>
      <c r="T751" t="s">
        <v>840</v>
      </c>
      <c r="U751" s="3">
        <v>1</v>
      </c>
      <c r="V751" s="3">
        <v>1</v>
      </c>
      <c r="W751" s="3">
        <v>1</v>
      </c>
      <c r="X751" s="3">
        <v>1</v>
      </c>
      <c r="Y751" s="3">
        <v>0</v>
      </c>
      <c r="Z751" s="3">
        <v>0</v>
      </c>
      <c r="AA751" s="3">
        <v>0</v>
      </c>
    </row>
    <row r="752" spans="1:27">
      <c r="A752" t="s">
        <v>841</v>
      </c>
      <c r="B752" s="3">
        <v>3</v>
      </c>
      <c r="C752" s="3">
        <v>0</v>
      </c>
      <c r="D752" s="1">
        <v>37535</v>
      </c>
      <c r="E752" s="1">
        <v>39082</v>
      </c>
      <c r="F752" s="2">
        <f t="shared" si="11"/>
        <v>4.2354551676933605</v>
      </c>
      <c r="G752" s="3">
        <v>2</v>
      </c>
      <c r="H752" s="3">
        <v>0</v>
      </c>
      <c r="I752" s="3">
        <v>1</v>
      </c>
      <c r="J752" s="3">
        <v>0</v>
      </c>
      <c r="K752" s="3">
        <v>0</v>
      </c>
      <c r="L752" s="3">
        <v>0</v>
      </c>
      <c r="M752" s="3">
        <v>0</v>
      </c>
      <c r="N752" s="3">
        <v>1</v>
      </c>
      <c r="O752" s="3">
        <v>0</v>
      </c>
      <c r="P752" s="3">
        <v>0</v>
      </c>
      <c r="Q752" s="3">
        <v>0</v>
      </c>
      <c r="R752" s="3">
        <v>87.5</v>
      </c>
      <c r="S752" s="2">
        <v>12.2</v>
      </c>
      <c r="T752" t="s">
        <v>842</v>
      </c>
      <c r="U752" s="3">
        <v>0</v>
      </c>
      <c r="V752" s="3">
        <v>0</v>
      </c>
      <c r="W752" s="3">
        <v>0</v>
      </c>
      <c r="X752" s="3">
        <v>0</v>
      </c>
      <c r="Y752" s="3">
        <v>0</v>
      </c>
      <c r="Z752" s="3">
        <v>0</v>
      </c>
      <c r="AA752" s="3">
        <v>0</v>
      </c>
    </row>
    <row r="753" spans="1:27">
      <c r="A753" t="s">
        <v>94</v>
      </c>
      <c r="B753" s="3">
        <v>2</v>
      </c>
      <c r="C753" s="3">
        <v>0</v>
      </c>
      <c r="D753" s="1">
        <v>37544</v>
      </c>
      <c r="E753" s="1">
        <v>39082</v>
      </c>
      <c r="F753" s="2">
        <f t="shared" si="11"/>
        <v>4.2108145106091719</v>
      </c>
      <c r="G753" s="3">
        <v>2</v>
      </c>
      <c r="H753" s="3">
        <v>1</v>
      </c>
      <c r="I753" s="3">
        <v>1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3">
        <v>1</v>
      </c>
      <c r="Q753" s="3">
        <v>0</v>
      </c>
      <c r="R753" s="3">
        <v>87.5</v>
      </c>
      <c r="S753" s="2">
        <v>15</v>
      </c>
      <c r="T753" t="s">
        <v>28</v>
      </c>
      <c r="U753" s="3">
        <v>1</v>
      </c>
      <c r="V753" s="3">
        <v>1</v>
      </c>
      <c r="W753" s="3">
        <v>1</v>
      </c>
      <c r="X753" s="3">
        <v>1</v>
      </c>
      <c r="Y753" s="3">
        <v>1</v>
      </c>
      <c r="Z753" s="3">
        <v>0</v>
      </c>
      <c r="AA753" s="3">
        <v>0</v>
      </c>
    </row>
    <row r="754" spans="1:27">
      <c r="A754" t="s">
        <v>843</v>
      </c>
      <c r="B754" s="3">
        <v>3</v>
      </c>
      <c r="C754" s="3">
        <v>1</v>
      </c>
      <c r="D754" s="1">
        <v>38002</v>
      </c>
      <c r="E754" s="1">
        <v>39082</v>
      </c>
      <c r="F754" s="2">
        <f t="shared" si="11"/>
        <v>2.9568788501026693</v>
      </c>
      <c r="G754" s="3">
        <v>1</v>
      </c>
      <c r="H754" s="3">
        <v>1</v>
      </c>
      <c r="I754" s="3">
        <v>0</v>
      </c>
      <c r="J754" s="3">
        <v>1</v>
      </c>
      <c r="K754" s="3">
        <v>0</v>
      </c>
      <c r="L754" s="3">
        <v>0</v>
      </c>
      <c r="M754" s="3">
        <v>0</v>
      </c>
      <c r="N754" s="3">
        <v>0</v>
      </c>
      <c r="O754" s="3">
        <v>0</v>
      </c>
      <c r="P754" s="3">
        <v>1</v>
      </c>
      <c r="Q754" s="3">
        <v>0</v>
      </c>
      <c r="R754" s="3">
        <v>87.6</v>
      </c>
      <c r="S754" s="2">
        <v>11.9</v>
      </c>
      <c r="T754" t="s">
        <v>28</v>
      </c>
      <c r="U754" s="3">
        <v>0</v>
      </c>
      <c r="V754" s="3">
        <v>0</v>
      </c>
      <c r="W754" s="3">
        <v>1</v>
      </c>
      <c r="X754" s="3">
        <v>1</v>
      </c>
      <c r="Y754" s="3">
        <v>0</v>
      </c>
      <c r="Z754" s="3">
        <v>1</v>
      </c>
      <c r="AA754" s="3">
        <v>0</v>
      </c>
    </row>
    <row r="755" spans="1:27">
      <c r="A755" t="s">
        <v>844</v>
      </c>
      <c r="B755" s="3">
        <v>3</v>
      </c>
      <c r="C755" s="3">
        <v>0</v>
      </c>
      <c r="D755" s="1">
        <v>37196</v>
      </c>
      <c r="E755" s="1">
        <v>39082</v>
      </c>
      <c r="F755" s="2">
        <f t="shared" si="11"/>
        <v>5.1635865845311431</v>
      </c>
      <c r="G755" s="3">
        <v>2</v>
      </c>
      <c r="H755" s="3">
        <v>1</v>
      </c>
      <c r="I755" s="3">
        <v>0</v>
      </c>
      <c r="J755" s="3">
        <v>1</v>
      </c>
      <c r="K755" s="3">
        <v>0</v>
      </c>
      <c r="L755" s="3">
        <v>0</v>
      </c>
      <c r="M755" s="3">
        <v>0</v>
      </c>
      <c r="N755" s="3">
        <v>0</v>
      </c>
      <c r="O755" s="3">
        <v>0</v>
      </c>
      <c r="P755" s="3">
        <v>1</v>
      </c>
      <c r="Q755" s="3">
        <v>0</v>
      </c>
      <c r="R755" s="3">
        <v>87.6</v>
      </c>
      <c r="S755" s="2">
        <v>11.3</v>
      </c>
      <c r="T755" t="s">
        <v>28</v>
      </c>
      <c r="U755" s="3">
        <v>1</v>
      </c>
      <c r="V755" s="3">
        <v>0</v>
      </c>
      <c r="W755" s="3">
        <v>0</v>
      </c>
      <c r="X755" s="3">
        <v>0</v>
      </c>
      <c r="Y755" s="3">
        <v>0</v>
      </c>
      <c r="Z755" s="3">
        <v>0</v>
      </c>
      <c r="AA755" s="3">
        <v>0</v>
      </c>
    </row>
    <row r="756" spans="1:27">
      <c r="A756" t="s">
        <v>845</v>
      </c>
      <c r="B756" s="3">
        <v>2</v>
      </c>
      <c r="C756" s="3">
        <v>0</v>
      </c>
      <c r="D756" s="1">
        <v>37184</v>
      </c>
      <c r="E756" s="1">
        <v>39082</v>
      </c>
      <c r="F756" s="2">
        <f t="shared" si="11"/>
        <v>5.1964407939767279</v>
      </c>
      <c r="G756" s="3">
        <v>2</v>
      </c>
      <c r="H756" s="3">
        <v>0</v>
      </c>
      <c r="I756" s="3">
        <v>0</v>
      </c>
      <c r="J756" s="3">
        <v>0</v>
      </c>
      <c r="K756" s="3">
        <v>0</v>
      </c>
      <c r="L756" s="3">
        <v>1</v>
      </c>
      <c r="M756" s="3">
        <v>0</v>
      </c>
      <c r="N756" s="3">
        <v>1</v>
      </c>
      <c r="O756" s="3">
        <v>0</v>
      </c>
      <c r="P756" s="3">
        <v>0</v>
      </c>
      <c r="Q756" s="3">
        <v>0</v>
      </c>
      <c r="R756" s="3">
        <v>87.7</v>
      </c>
      <c r="S756" s="2">
        <v>9.9</v>
      </c>
      <c r="T756" t="s">
        <v>28</v>
      </c>
      <c r="U756" s="3">
        <v>1</v>
      </c>
      <c r="V756" s="3">
        <v>1</v>
      </c>
      <c r="W756" s="3">
        <v>0</v>
      </c>
      <c r="X756" s="3">
        <v>0</v>
      </c>
      <c r="Y756" s="3">
        <v>0</v>
      </c>
      <c r="Z756" s="3">
        <v>0</v>
      </c>
      <c r="AA756" s="3">
        <v>0</v>
      </c>
    </row>
    <row r="757" spans="1:27">
      <c r="A757" t="s">
        <v>846</v>
      </c>
      <c r="B757" s="3">
        <v>3</v>
      </c>
      <c r="C757" s="3">
        <v>0</v>
      </c>
      <c r="D757" s="1">
        <v>38307</v>
      </c>
      <c r="E757" s="1">
        <v>39082</v>
      </c>
      <c r="F757" s="2">
        <f t="shared" si="11"/>
        <v>2.1218343600273784</v>
      </c>
      <c r="G757" s="3">
        <v>2</v>
      </c>
      <c r="H757" s="3">
        <v>0</v>
      </c>
      <c r="I757" s="3">
        <v>0</v>
      </c>
      <c r="J757" s="3">
        <v>0</v>
      </c>
      <c r="K757" s="3">
        <v>0</v>
      </c>
      <c r="L757" s="3">
        <v>0</v>
      </c>
      <c r="M757" s="3">
        <v>0</v>
      </c>
      <c r="N757" s="3">
        <v>1</v>
      </c>
      <c r="O757" s="3">
        <v>0</v>
      </c>
      <c r="P757" s="3">
        <v>1</v>
      </c>
      <c r="Q757" s="3">
        <v>0</v>
      </c>
      <c r="R757" s="3">
        <v>87.7</v>
      </c>
      <c r="S757" s="2">
        <v>10.8</v>
      </c>
      <c r="T757" t="s">
        <v>28</v>
      </c>
      <c r="U757" s="3">
        <v>0</v>
      </c>
      <c r="V757" s="3">
        <v>0</v>
      </c>
      <c r="W757" s="3">
        <v>0</v>
      </c>
      <c r="X757" s="3">
        <v>0</v>
      </c>
      <c r="Y757" s="3">
        <v>0</v>
      </c>
      <c r="Z757" s="3">
        <v>0</v>
      </c>
      <c r="AA757" s="3">
        <v>0</v>
      </c>
    </row>
    <row r="758" spans="1:27">
      <c r="A758" t="s">
        <v>847</v>
      </c>
      <c r="B758" s="3">
        <v>3</v>
      </c>
      <c r="C758" s="3">
        <v>0</v>
      </c>
      <c r="D758" s="1">
        <v>37447</v>
      </c>
      <c r="E758" s="1">
        <v>39082</v>
      </c>
      <c r="F758" s="2">
        <f t="shared" si="11"/>
        <v>4.476386036960986</v>
      </c>
      <c r="G758" s="3">
        <v>1</v>
      </c>
      <c r="H758" s="3">
        <v>1</v>
      </c>
      <c r="I758" s="3">
        <v>0</v>
      </c>
      <c r="J758" s="3">
        <v>0</v>
      </c>
      <c r="K758" s="3">
        <v>0</v>
      </c>
      <c r="L758" s="3">
        <v>0</v>
      </c>
      <c r="M758" s="3">
        <v>0</v>
      </c>
      <c r="N758" s="3">
        <v>1</v>
      </c>
      <c r="O758" s="3">
        <v>0</v>
      </c>
      <c r="P758" s="3">
        <v>0</v>
      </c>
      <c r="Q758" s="3">
        <v>0</v>
      </c>
      <c r="R758" s="3">
        <v>87.7</v>
      </c>
      <c r="S758" s="2">
        <v>12.2</v>
      </c>
      <c r="T758" t="s">
        <v>848</v>
      </c>
      <c r="U758" s="3">
        <v>0</v>
      </c>
      <c r="V758" s="3">
        <v>1</v>
      </c>
      <c r="W758" s="3">
        <v>0</v>
      </c>
      <c r="X758" s="3">
        <v>0</v>
      </c>
      <c r="Y758" s="3">
        <v>0</v>
      </c>
      <c r="Z758" s="3">
        <v>1</v>
      </c>
      <c r="AA758" s="3">
        <v>0</v>
      </c>
    </row>
    <row r="759" spans="1:27">
      <c r="A759" t="s">
        <v>849</v>
      </c>
      <c r="B759" s="3">
        <v>3</v>
      </c>
      <c r="C759" s="3">
        <v>0</v>
      </c>
      <c r="D759" s="1">
        <v>38261</v>
      </c>
      <c r="E759" s="1">
        <v>39082</v>
      </c>
      <c r="F759" s="2">
        <f t="shared" si="11"/>
        <v>2.2477754962354553</v>
      </c>
      <c r="G759" s="3">
        <v>1</v>
      </c>
      <c r="H759" s="3">
        <v>0</v>
      </c>
      <c r="I759" s="3">
        <v>0</v>
      </c>
      <c r="J759" s="3">
        <v>1</v>
      </c>
      <c r="K759" s="3">
        <v>0</v>
      </c>
      <c r="L759" s="3">
        <v>0</v>
      </c>
      <c r="M759" s="3">
        <v>0</v>
      </c>
      <c r="N759" s="3">
        <v>1</v>
      </c>
      <c r="O759" s="3">
        <v>0</v>
      </c>
      <c r="P759" s="3">
        <v>0</v>
      </c>
      <c r="Q759" s="3">
        <v>0</v>
      </c>
      <c r="R759" s="3">
        <v>87.7</v>
      </c>
      <c r="S759" s="2">
        <v>12.4</v>
      </c>
      <c r="T759" t="s">
        <v>28</v>
      </c>
      <c r="U759" s="3">
        <v>0</v>
      </c>
      <c r="V759" s="3">
        <v>0</v>
      </c>
      <c r="W759" s="3">
        <v>1</v>
      </c>
      <c r="X759" s="3">
        <v>1</v>
      </c>
      <c r="Y759" s="3">
        <v>1</v>
      </c>
      <c r="Z759" s="3">
        <v>1</v>
      </c>
      <c r="AA759" s="3">
        <v>0</v>
      </c>
    </row>
    <row r="760" spans="1:27">
      <c r="A760" t="s">
        <v>850</v>
      </c>
      <c r="B760" s="3">
        <v>2</v>
      </c>
      <c r="C760" s="3">
        <v>0</v>
      </c>
      <c r="D760" s="1">
        <v>37277</v>
      </c>
      <c r="E760" s="1">
        <v>39082</v>
      </c>
      <c r="F760" s="2">
        <f t="shared" si="11"/>
        <v>4.9418206707734429</v>
      </c>
      <c r="G760" s="3">
        <v>1</v>
      </c>
      <c r="H760" s="3">
        <v>1</v>
      </c>
      <c r="I760" s="3">
        <v>0</v>
      </c>
      <c r="J760" s="3">
        <v>1</v>
      </c>
      <c r="K760" s="3">
        <v>1</v>
      </c>
      <c r="L760" s="3">
        <v>0</v>
      </c>
      <c r="M760" s="3">
        <v>0</v>
      </c>
      <c r="N760" s="3">
        <v>1</v>
      </c>
      <c r="O760" s="3">
        <v>0</v>
      </c>
      <c r="P760" s="3">
        <v>1</v>
      </c>
      <c r="Q760" s="3">
        <v>0</v>
      </c>
      <c r="R760" s="3">
        <v>87.7</v>
      </c>
      <c r="S760" s="2">
        <v>14.1</v>
      </c>
      <c r="T760" t="s">
        <v>851</v>
      </c>
      <c r="U760" s="3">
        <v>1</v>
      </c>
      <c r="V760" s="3">
        <v>1</v>
      </c>
      <c r="W760" s="3">
        <v>1</v>
      </c>
      <c r="X760" s="3">
        <v>1</v>
      </c>
      <c r="Y760" s="3">
        <v>0</v>
      </c>
      <c r="Z760" s="3">
        <v>1</v>
      </c>
      <c r="AA760" s="3">
        <v>0</v>
      </c>
    </row>
    <row r="761" spans="1:27">
      <c r="A761" t="s">
        <v>852</v>
      </c>
      <c r="B761" s="3">
        <v>3</v>
      </c>
      <c r="C761" s="3">
        <v>0</v>
      </c>
      <c r="D761" s="1">
        <v>38265</v>
      </c>
      <c r="E761" s="1">
        <v>39082</v>
      </c>
      <c r="F761" s="2">
        <f t="shared" si="11"/>
        <v>2.236824093086927</v>
      </c>
      <c r="G761" s="3">
        <v>1</v>
      </c>
      <c r="H761" s="3">
        <v>1</v>
      </c>
      <c r="I761" s="3">
        <v>0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</v>
      </c>
      <c r="P761" s="3">
        <v>0</v>
      </c>
      <c r="Q761" s="3">
        <v>0</v>
      </c>
      <c r="R761" s="3">
        <v>87.8</v>
      </c>
      <c r="S761" s="2">
        <v>12.4</v>
      </c>
      <c r="T761" t="s">
        <v>853</v>
      </c>
      <c r="U761" s="3">
        <v>0</v>
      </c>
      <c r="V761" s="3">
        <v>1</v>
      </c>
      <c r="W761" s="3">
        <v>1</v>
      </c>
      <c r="X761" s="3">
        <v>1</v>
      </c>
      <c r="Y761" s="3">
        <v>0</v>
      </c>
      <c r="Z761" s="3">
        <v>1</v>
      </c>
      <c r="AA761" s="3">
        <v>0</v>
      </c>
    </row>
    <row r="762" spans="1:27">
      <c r="A762" t="s">
        <v>854</v>
      </c>
      <c r="B762" s="3">
        <v>3</v>
      </c>
      <c r="C762" s="3">
        <v>1</v>
      </c>
      <c r="D762" s="1">
        <v>38261</v>
      </c>
      <c r="E762" s="1">
        <v>39082</v>
      </c>
      <c r="F762" s="2">
        <f t="shared" si="11"/>
        <v>2.2477754962354553</v>
      </c>
      <c r="G762" s="3">
        <v>1</v>
      </c>
      <c r="H762" s="3">
        <v>1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1</v>
      </c>
      <c r="O762" s="3">
        <v>0</v>
      </c>
      <c r="P762" s="3">
        <v>0</v>
      </c>
      <c r="Q762" s="3">
        <v>0</v>
      </c>
      <c r="R762" s="3">
        <v>87.8</v>
      </c>
      <c r="S762" s="2">
        <v>11.7</v>
      </c>
      <c r="T762" t="s">
        <v>105</v>
      </c>
      <c r="U762" s="3">
        <v>1</v>
      </c>
      <c r="V762" s="3">
        <v>1</v>
      </c>
      <c r="W762" s="3">
        <v>1</v>
      </c>
      <c r="X762" s="3">
        <v>1</v>
      </c>
      <c r="Y762" s="3">
        <v>1</v>
      </c>
      <c r="Z762" s="3">
        <v>1</v>
      </c>
      <c r="AA762" s="3">
        <v>0</v>
      </c>
    </row>
    <row r="763" spans="1:27">
      <c r="A763" t="s">
        <v>855</v>
      </c>
      <c r="B763" s="3">
        <v>3</v>
      </c>
      <c r="C763" s="3">
        <v>0</v>
      </c>
      <c r="D763" s="1">
        <v>38169</v>
      </c>
      <c r="E763" s="1">
        <v>39082</v>
      </c>
      <c r="F763" s="2">
        <f t="shared" si="11"/>
        <v>2.4996577686516086</v>
      </c>
      <c r="G763" s="3">
        <v>1</v>
      </c>
      <c r="H763" s="3">
        <v>0</v>
      </c>
      <c r="I763" s="3">
        <v>0</v>
      </c>
      <c r="J763" s="3">
        <v>1</v>
      </c>
      <c r="K763" s="3">
        <v>0</v>
      </c>
      <c r="L763" s="3">
        <v>0</v>
      </c>
      <c r="M763" s="3">
        <v>0</v>
      </c>
      <c r="N763" s="3">
        <v>0</v>
      </c>
      <c r="O763" s="3">
        <v>0</v>
      </c>
      <c r="P763" s="3">
        <v>0</v>
      </c>
      <c r="Q763" s="3">
        <v>0</v>
      </c>
      <c r="R763" s="3">
        <v>88</v>
      </c>
      <c r="S763" s="2">
        <v>12.6</v>
      </c>
      <c r="T763" t="s">
        <v>28</v>
      </c>
      <c r="U763" s="3">
        <v>1</v>
      </c>
      <c r="V763" s="3">
        <v>0</v>
      </c>
      <c r="W763" s="3">
        <v>0</v>
      </c>
      <c r="X763" s="3">
        <v>1</v>
      </c>
      <c r="Y763" s="3">
        <v>0</v>
      </c>
      <c r="Z763" s="3">
        <v>1</v>
      </c>
      <c r="AA763" s="3">
        <v>0</v>
      </c>
    </row>
    <row r="764" spans="1:27">
      <c r="A764" t="s">
        <v>856</v>
      </c>
      <c r="B764" s="3">
        <v>1</v>
      </c>
      <c r="C764" s="3">
        <v>0</v>
      </c>
      <c r="D764" s="1">
        <v>37463</v>
      </c>
      <c r="E764" s="1">
        <v>39082</v>
      </c>
      <c r="F764" s="2">
        <f t="shared" si="11"/>
        <v>4.4325804243668721</v>
      </c>
      <c r="G764" s="3">
        <v>2</v>
      </c>
      <c r="H764" s="3">
        <v>1</v>
      </c>
      <c r="I764" s="3">
        <v>1</v>
      </c>
      <c r="J764" s="3">
        <v>0</v>
      </c>
      <c r="K764" s="3">
        <v>0</v>
      </c>
      <c r="L764" s="3">
        <v>0</v>
      </c>
      <c r="M764" s="3">
        <v>0</v>
      </c>
      <c r="N764" s="3">
        <v>1</v>
      </c>
      <c r="O764" s="3">
        <v>0</v>
      </c>
      <c r="P764" s="3">
        <v>1</v>
      </c>
      <c r="Q764" s="3">
        <v>0</v>
      </c>
      <c r="R764" s="3">
        <v>88</v>
      </c>
      <c r="S764" s="2">
        <v>10.6</v>
      </c>
      <c r="T764" t="s">
        <v>28</v>
      </c>
      <c r="U764" s="3">
        <v>1</v>
      </c>
      <c r="V764" s="3">
        <v>1</v>
      </c>
      <c r="W764" s="3">
        <v>1</v>
      </c>
      <c r="X764" s="3">
        <v>0</v>
      </c>
      <c r="Y764" s="3">
        <v>0</v>
      </c>
      <c r="Z764" s="3">
        <v>0</v>
      </c>
      <c r="AA764" s="3">
        <v>0</v>
      </c>
    </row>
    <row r="765" spans="1:27">
      <c r="A765" t="s">
        <v>857</v>
      </c>
      <c r="B765" s="3">
        <v>1</v>
      </c>
      <c r="C765" s="3">
        <v>0</v>
      </c>
      <c r="D765" s="1">
        <v>37283</v>
      </c>
      <c r="E765" s="1">
        <v>39082</v>
      </c>
      <c r="F765" s="2">
        <f t="shared" si="11"/>
        <v>4.9253935660506505</v>
      </c>
      <c r="G765" s="3">
        <v>2</v>
      </c>
      <c r="H765" s="3">
        <v>0</v>
      </c>
      <c r="I765" s="3">
        <v>0</v>
      </c>
      <c r="J765" s="3">
        <v>0</v>
      </c>
      <c r="K765" s="3">
        <v>0</v>
      </c>
      <c r="L765" s="3">
        <v>0</v>
      </c>
      <c r="M765" s="3">
        <v>0</v>
      </c>
      <c r="N765" s="3">
        <v>1</v>
      </c>
      <c r="O765" s="3">
        <v>0</v>
      </c>
      <c r="P765" s="3">
        <v>1</v>
      </c>
      <c r="Q765" s="3">
        <v>0</v>
      </c>
      <c r="R765" s="3">
        <v>88.1</v>
      </c>
      <c r="S765" s="2">
        <v>13.1</v>
      </c>
      <c r="T765" t="s">
        <v>46</v>
      </c>
      <c r="U765" s="3">
        <v>1</v>
      </c>
      <c r="V765" s="3">
        <v>1</v>
      </c>
      <c r="W765" s="3">
        <v>0</v>
      </c>
      <c r="X765" s="3">
        <v>0</v>
      </c>
      <c r="Y765" s="3">
        <v>0</v>
      </c>
      <c r="Z765" s="3">
        <v>0</v>
      </c>
      <c r="AA765" s="3">
        <v>0</v>
      </c>
    </row>
    <row r="766" spans="1:27">
      <c r="A766" t="s">
        <v>858</v>
      </c>
      <c r="B766" s="3">
        <v>2</v>
      </c>
      <c r="C766" s="3">
        <v>0</v>
      </c>
      <c r="D766" s="1">
        <v>38209</v>
      </c>
      <c r="E766" s="1">
        <v>39082</v>
      </c>
      <c r="F766" s="2">
        <f t="shared" si="11"/>
        <v>2.3901437371663246</v>
      </c>
      <c r="G766" s="3">
        <v>1</v>
      </c>
      <c r="H766" s="3">
        <v>0</v>
      </c>
      <c r="I766" s="3">
        <v>0</v>
      </c>
      <c r="J766" s="3">
        <v>0</v>
      </c>
      <c r="K766" s="3">
        <v>0</v>
      </c>
      <c r="L766" s="3">
        <v>0</v>
      </c>
      <c r="M766" s="3">
        <v>0</v>
      </c>
      <c r="N766" s="3">
        <v>0</v>
      </c>
      <c r="O766" s="3">
        <v>0</v>
      </c>
      <c r="P766" s="3">
        <v>0</v>
      </c>
      <c r="Q766" s="3">
        <v>0</v>
      </c>
      <c r="R766" s="3">
        <v>88.2</v>
      </c>
      <c r="S766" s="2">
        <v>12</v>
      </c>
      <c r="T766" t="s">
        <v>28</v>
      </c>
      <c r="U766" s="3">
        <v>1</v>
      </c>
      <c r="V766" s="3">
        <v>0</v>
      </c>
      <c r="W766" s="3">
        <v>0</v>
      </c>
      <c r="X766" s="3">
        <v>0</v>
      </c>
      <c r="Y766" s="3">
        <v>0</v>
      </c>
      <c r="Z766" s="3">
        <v>1</v>
      </c>
      <c r="AA766" s="3">
        <v>0</v>
      </c>
    </row>
    <row r="767" spans="1:27">
      <c r="A767" t="s">
        <v>859</v>
      </c>
      <c r="B767" s="3">
        <v>1</v>
      </c>
      <c r="C767" s="3">
        <v>0</v>
      </c>
      <c r="D767" s="1">
        <v>38125</v>
      </c>
      <c r="E767" s="1">
        <v>39082</v>
      </c>
      <c r="F767" s="2">
        <f t="shared" si="11"/>
        <v>2.6201232032854209</v>
      </c>
      <c r="G767" s="3">
        <v>2</v>
      </c>
      <c r="H767" s="3">
        <v>1</v>
      </c>
      <c r="I767" s="3">
        <v>1</v>
      </c>
      <c r="J767" s="3">
        <v>0</v>
      </c>
      <c r="K767" s="3">
        <v>0</v>
      </c>
      <c r="L767" s="3">
        <v>0</v>
      </c>
      <c r="M767" s="3">
        <v>0</v>
      </c>
      <c r="N767" s="3">
        <v>1</v>
      </c>
      <c r="O767" s="3">
        <v>0</v>
      </c>
      <c r="P767" s="3">
        <v>1</v>
      </c>
      <c r="Q767" s="3">
        <v>0</v>
      </c>
      <c r="R767" s="3">
        <v>88.2</v>
      </c>
      <c r="S767" s="2">
        <v>11.7</v>
      </c>
      <c r="T767" t="s">
        <v>336</v>
      </c>
      <c r="U767" s="3">
        <v>0</v>
      </c>
      <c r="V767" s="3">
        <v>1</v>
      </c>
      <c r="W767" s="3">
        <v>1</v>
      </c>
      <c r="X767" s="3">
        <v>1</v>
      </c>
      <c r="Y767" s="3">
        <v>0</v>
      </c>
      <c r="Z767" s="3">
        <v>0</v>
      </c>
      <c r="AA767" s="3">
        <v>0</v>
      </c>
    </row>
    <row r="768" spans="1:27">
      <c r="A768" t="s">
        <v>860</v>
      </c>
      <c r="B768" s="3">
        <v>1</v>
      </c>
      <c r="C768" s="3">
        <v>0</v>
      </c>
      <c r="D768" s="1">
        <v>37184</v>
      </c>
      <c r="E768" s="1">
        <v>39082</v>
      </c>
      <c r="F768" s="2">
        <f t="shared" si="11"/>
        <v>5.1964407939767279</v>
      </c>
      <c r="G768" s="3">
        <v>2</v>
      </c>
      <c r="H768" s="3">
        <v>1</v>
      </c>
      <c r="I768" s="3">
        <v>1</v>
      </c>
      <c r="J768" s="3">
        <v>0</v>
      </c>
      <c r="K768" s="3">
        <v>0</v>
      </c>
      <c r="L768" s="3">
        <v>0</v>
      </c>
      <c r="M768" s="3">
        <v>0</v>
      </c>
      <c r="N768" s="3">
        <v>1</v>
      </c>
      <c r="O768" s="3">
        <v>0</v>
      </c>
      <c r="P768" s="3">
        <v>0</v>
      </c>
      <c r="Q768" s="3">
        <v>0</v>
      </c>
      <c r="R768" s="3">
        <v>88.2</v>
      </c>
      <c r="S768" s="2">
        <v>12.9</v>
      </c>
      <c r="T768" t="s">
        <v>861</v>
      </c>
      <c r="U768" s="3">
        <v>1</v>
      </c>
      <c r="V768" s="3">
        <v>1</v>
      </c>
      <c r="W768" s="3">
        <v>0</v>
      </c>
      <c r="X768" s="3">
        <v>0</v>
      </c>
      <c r="Y768" s="3">
        <v>0</v>
      </c>
      <c r="Z768" s="3">
        <v>0</v>
      </c>
      <c r="AA768" s="3">
        <v>0</v>
      </c>
    </row>
    <row r="769" spans="1:27">
      <c r="A769" t="s">
        <v>862</v>
      </c>
      <c r="B769" s="3">
        <v>3</v>
      </c>
      <c r="C769" s="3">
        <v>0</v>
      </c>
      <c r="D769" s="1">
        <v>38078</v>
      </c>
      <c r="E769" s="1">
        <v>39082</v>
      </c>
      <c r="F769" s="2">
        <f t="shared" si="11"/>
        <v>2.7488021902806299</v>
      </c>
      <c r="G769" s="3">
        <v>1</v>
      </c>
      <c r="H769" s="3">
        <v>0</v>
      </c>
      <c r="I769" s="3">
        <v>1</v>
      </c>
      <c r="J769" s="3">
        <v>1</v>
      </c>
      <c r="K769" s="3">
        <v>0</v>
      </c>
      <c r="L769" s="3">
        <v>0</v>
      </c>
      <c r="M769" s="3">
        <v>0</v>
      </c>
      <c r="N769" s="3">
        <v>1</v>
      </c>
      <c r="O769" s="3">
        <v>0</v>
      </c>
      <c r="P769" s="3">
        <v>0</v>
      </c>
      <c r="Q769" s="3">
        <v>0</v>
      </c>
      <c r="R769" s="3">
        <v>88.2</v>
      </c>
      <c r="S769" s="2">
        <v>14.3</v>
      </c>
      <c r="T769" t="s">
        <v>646</v>
      </c>
      <c r="U769" s="3">
        <v>0</v>
      </c>
      <c r="V769" s="3">
        <v>1</v>
      </c>
      <c r="W769" s="3">
        <v>1</v>
      </c>
      <c r="X769" s="3">
        <v>0</v>
      </c>
      <c r="Y769" s="3">
        <v>0</v>
      </c>
      <c r="Z769" s="3">
        <v>1</v>
      </c>
      <c r="AA769" s="3">
        <v>0</v>
      </c>
    </row>
    <row r="770" spans="1:27">
      <c r="A770" t="s">
        <v>692</v>
      </c>
      <c r="B770" s="3">
        <v>1</v>
      </c>
      <c r="C770" s="3">
        <v>0</v>
      </c>
      <c r="D770" s="1">
        <v>37527</v>
      </c>
      <c r="E770" s="1">
        <v>39082</v>
      </c>
      <c r="F770" s="2">
        <f t="shared" si="11"/>
        <v>4.2573579739904179</v>
      </c>
      <c r="G770" s="3">
        <v>1</v>
      </c>
      <c r="H770" s="3">
        <v>0</v>
      </c>
      <c r="I770" s="3">
        <v>0</v>
      </c>
      <c r="J770" s="3">
        <v>0</v>
      </c>
      <c r="K770" s="3">
        <v>0</v>
      </c>
      <c r="L770" s="3">
        <v>0</v>
      </c>
      <c r="M770" s="3">
        <v>0</v>
      </c>
      <c r="N770" s="3">
        <v>1</v>
      </c>
      <c r="O770" s="3">
        <v>0</v>
      </c>
      <c r="P770" s="3">
        <v>0</v>
      </c>
      <c r="Q770" s="3">
        <v>0</v>
      </c>
      <c r="R770" s="3">
        <v>88.3</v>
      </c>
      <c r="S770" s="2">
        <v>12.9</v>
      </c>
      <c r="T770" t="s">
        <v>28</v>
      </c>
      <c r="U770" s="3">
        <v>1</v>
      </c>
      <c r="V770" s="3">
        <v>1</v>
      </c>
      <c r="W770" s="3">
        <v>0</v>
      </c>
      <c r="X770" s="3">
        <v>0</v>
      </c>
      <c r="Y770" s="3">
        <v>1</v>
      </c>
      <c r="Z770" s="3">
        <v>1</v>
      </c>
      <c r="AA770" s="3">
        <v>0</v>
      </c>
    </row>
    <row r="771" spans="1:27">
      <c r="A771" t="s">
        <v>863</v>
      </c>
      <c r="B771" s="3">
        <v>2</v>
      </c>
      <c r="C771" s="3">
        <v>0</v>
      </c>
      <c r="D771" s="1">
        <v>38003</v>
      </c>
      <c r="E771" s="1">
        <v>39082</v>
      </c>
      <c r="F771" s="2">
        <f t="shared" ref="F771:F834" si="12">(E771-D771)/365.25</f>
        <v>2.9541409993155372</v>
      </c>
      <c r="G771" s="3">
        <v>2</v>
      </c>
      <c r="H771" s="3">
        <v>1</v>
      </c>
      <c r="I771" s="3">
        <v>0</v>
      </c>
      <c r="J771" s="3">
        <v>0</v>
      </c>
      <c r="K771" s="3">
        <v>0</v>
      </c>
      <c r="L771" s="3">
        <v>0</v>
      </c>
      <c r="M771" s="3">
        <v>0</v>
      </c>
      <c r="N771" s="3">
        <v>0</v>
      </c>
      <c r="O771" s="3">
        <v>0</v>
      </c>
      <c r="P771" s="3">
        <v>0</v>
      </c>
      <c r="Q771" s="3">
        <v>0</v>
      </c>
      <c r="R771" s="3">
        <v>88.4</v>
      </c>
      <c r="S771" s="2">
        <v>11.4</v>
      </c>
      <c r="T771" t="s">
        <v>44</v>
      </c>
      <c r="U771" s="3">
        <v>1</v>
      </c>
      <c r="V771" s="3">
        <v>1</v>
      </c>
      <c r="W771" s="3">
        <v>0</v>
      </c>
      <c r="X771" s="3">
        <v>0</v>
      </c>
      <c r="Y771" s="3">
        <v>0</v>
      </c>
      <c r="Z771" s="3">
        <v>0</v>
      </c>
      <c r="AA771" s="3">
        <v>0</v>
      </c>
    </row>
    <row r="772" spans="1:27">
      <c r="A772" t="s">
        <v>864</v>
      </c>
      <c r="B772" s="3">
        <v>3</v>
      </c>
      <c r="C772" s="3">
        <v>0</v>
      </c>
      <c r="D772" s="1">
        <v>38310</v>
      </c>
      <c r="E772" s="1">
        <v>39082</v>
      </c>
      <c r="F772" s="2">
        <f t="shared" si="12"/>
        <v>2.1136208076659821</v>
      </c>
      <c r="G772" s="3">
        <v>2</v>
      </c>
      <c r="H772" s="3">
        <v>1</v>
      </c>
      <c r="I772" s="3">
        <v>1</v>
      </c>
      <c r="J772" s="3">
        <v>0</v>
      </c>
      <c r="K772" s="3">
        <v>0</v>
      </c>
      <c r="L772" s="3">
        <v>0</v>
      </c>
      <c r="M772" s="3">
        <v>0</v>
      </c>
      <c r="N772" s="3">
        <v>1</v>
      </c>
      <c r="O772" s="3">
        <v>0</v>
      </c>
      <c r="P772" s="3">
        <v>1</v>
      </c>
      <c r="Q772" s="3">
        <v>0</v>
      </c>
      <c r="R772" s="3">
        <v>88.4</v>
      </c>
      <c r="S772" s="2">
        <v>11.8</v>
      </c>
      <c r="T772" t="s">
        <v>44</v>
      </c>
      <c r="U772" s="3">
        <v>1</v>
      </c>
      <c r="V772" s="3">
        <v>1</v>
      </c>
      <c r="W772" s="3">
        <v>1</v>
      </c>
      <c r="X772" s="3">
        <v>1</v>
      </c>
      <c r="Y772" s="3">
        <v>0</v>
      </c>
      <c r="Z772" s="3">
        <v>0</v>
      </c>
      <c r="AA772" s="3">
        <v>0</v>
      </c>
    </row>
    <row r="773" spans="1:27">
      <c r="A773" t="s">
        <v>865</v>
      </c>
      <c r="B773" s="3">
        <v>1</v>
      </c>
      <c r="C773" s="3">
        <v>0</v>
      </c>
      <c r="D773" s="1">
        <v>37368</v>
      </c>
      <c r="E773" s="1">
        <v>39082</v>
      </c>
      <c r="F773" s="2">
        <f t="shared" si="12"/>
        <v>4.6926762491444221</v>
      </c>
      <c r="G773" s="3">
        <v>2</v>
      </c>
      <c r="H773" s="3">
        <v>0</v>
      </c>
      <c r="I773" s="3">
        <v>0</v>
      </c>
      <c r="J773" s="3">
        <v>0</v>
      </c>
      <c r="K773" s="3">
        <v>0</v>
      </c>
      <c r="L773" s="3">
        <v>0</v>
      </c>
      <c r="M773" s="3">
        <v>0</v>
      </c>
      <c r="N773" s="3">
        <v>1</v>
      </c>
      <c r="O773" s="3">
        <v>0</v>
      </c>
      <c r="P773" s="3">
        <v>1</v>
      </c>
      <c r="Q773" s="3">
        <v>0</v>
      </c>
      <c r="R773" s="3">
        <v>88.5</v>
      </c>
      <c r="S773" s="2">
        <v>11.7</v>
      </c>
      <c r="T773" t="s">
        <v>44</v>
      </c>
      <c r="U773" s="3">
        <v>1</v>
      </c>
      <c r="V773" s="3">
        <v>1</v>
      </c>
      <c r="W773" s="3">
        <v>0</v>
      </c>
      <c r="X773" s="3">
        <v>0</v>
      </c>
      <c r="Y773" s="3">
        <v>0</v>
      </c>
      <c r="Z773" s="3">
        <v>0</v>
      </c>
      <c r="AA773" s="3">
        <v>0</v>
      </c>
    </row>
    <row r="774" spans="1:27">
      <c r="A774" t="s">
        <v>866</v>
      </c>
      <c r="B774" s="3">
        <v>2</v>
      </c>
      <c r="C774" s="3">
        <v>1</v>
      </c>
      <c r="D774" s="1">
        <v>37135</v>
      </c>
      <c r="E774" s="1">
        <v>39082</v>
      </c>
      <c r="F774" s="2">
        <f t="shared" si="12"/>
        <v>5.330595482546201</v>
      </c>
      <c r="G774" s="3">
        <v>2</v>
      </c>
      <c r="H774" s="3">
        <v>1</v>
      </c>
      <c r="I774" s="3">
        <v>0</v>
      </c>
      <c r="J774" s="3">
        <v>0</v>
      </c>
      <c r="K774" s="3">
        <v>0</v>
      </c>
      <c r="L774" s="3">
        <v>0</v>
      </c>
      <c r="M774" s="3">
        <v>0</v>
      </c>
      <c r="N774" s="3">
        <v>0</v>
      </c>
      <c r="O774" s="3">
        <v>0</v>
      </c>
      <c r="P774" s="3">
        <v>0</v>
      </c>
      <c r="Q774" s="3">
        <v>0</v>
      </c>
      <c r="R774" s="3">
        <v>88.5</v>
      </c>
      <c r="S774" s="2">
        <v>12.4</v>
      </c>
      <c r="T774" t="s">
        <v>50</v>
      </c>
      <c r="U774" s="3">
        <v>1</v>
      </c>
      <c r="V774" s="3">
        <v>1</v>
      </c>
      <c r="W774" s="3">
        <v>1</v>
      </c>
      <c r="X774" s="3">
        <v>1</v>
      </c>
      <c r="Y774" s="3">
        <v>0</v>
      </c>
      <c r="Z774" s="3">
        <v>0</v>
      </c>
      <c r="AA774" s="3">
        <v>0</v>
      </c>
    </row>
    <row r="775" spans="1:27">
      <c r="A775" t="s">
        <v>867</v>
      </c>
      <c r="B775" s="3">
        <v>3</v>
      </c>
      <c r="C775" s="3">
        <v>1</v>
      </c>
      <c r="D775" s="1">
        <v>38134</v>
      </c>
      <c r="E775" s="1">
        <v>39082</v>
      </c>
      <c r="F775" s="2">
        <f t="shared" si="12"/>
        <v>2.5954825462012319</v>
      </c>
      <c r="G775" s="3">
        <v>1</v>
      </c>
      <c r="H775" s="3">
        <v>1</v>
      </c>
      <c r="I775" s="3">
        <v>0</v>
      </c>
      <c r="J775" s="3">
        <v>1</v>
      </c>
      <c r="K775" s="3">
        <v>0</v>
      </c>
      <c r="L775" s="3">
        <v>0</v>
      </c>
      <c r="M775" s="3">
        <v>0</v>
      </c>
      <c r="N775" s="3">
        <v>0</v>
      </c>
      <c r="O775" s="3">
        <v>0</v>
      </c>
      <c r="P775" s="3">
        <v>0</v>
      </c>
      <c r="Q775" s="3">
        <v>0</v>
      </c>
      <c r="R775" s="3">
        <v>88.5</v>
      </c>
      <c r="S775" s="2">
        <v>11.9</v>
      </c>
      <c r="T775" t="s">
        <v>28</v>
      </c>
      <c r="U775" s="3">
        <v>0</v>
      </c>
      <c r="V775" s="3">
        <v>1</v>
      </c>
      <c r="W775" s="3">
        <v>0</v>
      </c>
      <c r="X775" s="3">
        <v>0</v>
      </c>
      <c r="Y775" s="3">
        <v>0</v>
      </c>
      <c r="Z775" s="3">
        <v>1</v>
      </c>
      <c r="AA775" s="3">
        <v>0</v>
      </c>
    </row>
    <row r="776" spans="1:27">
      <c r="A776" t="s">
        <v>868</v>
      </c>
      <c r="B776" s="3">
        <v>2</v>
      </c>
      <c r="C776" s="3">
        <v>0</v>
      </c>
      <c r="D776" s="1">
        <v>37443</v>
      </c>
      <c r="E776" s="1">
        <v>39082</v>
      </c>
      <c r="F776" s="2">
        <f t="shared" si="12"/>
        <v>4.4873374401095143</v>
      </c>
      <c r="G776" s="3">
        <v>2</v>
      </c>
      <c r="H776" s="3">
        <v>0</v>
      </c>
      <c r="I776" s="3">
        <v>1</v>
      </c>
      <c r="J776" s="3">
        <v>0</v>
      </c>
      <c r="K776" s="3">
        <v>0</v>
      </c>
      <c r="L776" s="3">
        <v>0</v>
      </c>
      <c r="M776" s="3">
        <v>0</v>
      </c>
      <c r="N776" s="3">
        <v>1</v>
      </c>
      <c r="O776" s="3">
        <v>0</v>
      </c>
      <c r="P776" s="3">
        <v>1</v>
      </c>
      <c r="Q776" s="3">
        <v>0</v>
      </c>
      <c r="R776" s="3">
        <v>88.5</v>
      </c>
      <c r="S776" s="2">
        <v>10.8</v>
      </c>
      <c r="T776" t="s">
        <v>28</v>
      </c>
      <c r="U776" s="3">
        <v>1</v>
      </c>
      <c r="V776" s="3">
        <v>1</v>
      </c>
      <c r="W776" s="3">
        <v>0</v>
      </c>
      <c r="X776" s="3">
        <v>1</v>
      </c>
      <c r="Y776" s="3">
        <v>1</v>
      </c>
      <c r="Z776" s="3">
        <v>0</v>
      </c>
      <c r="AA776" s="3">
        <v>0</v>
      </c>
    </row>
    <row r="777" spans="1:27">
      <c r="A777" t="s">
        <v>869</v>
      </c>
      <c r="B777" s="3">
        <v>3</v>
      </c>
      <c r="C777" s="3">
        <v>0</v>
      </c>
      <c r="D777" s="1">
        <v>38047</v>
      </c>
      <c r="E777" s="1">
        <v>39082</v>
      </c>
      <c r="F777" s="2">
        <f t="shared" si="12"/>
        <v>2.8336755646817249</v>
      </c>
      <c r="G777" s="3">
        <v>1</v>
      </c>
      <c r="H777" s="3">
        <v>1</v>
      </c>
      <c r="I777" s="3">
        <v>1</v>
      </c>
      <c r="J777" s="3">
        <v>1</v>
      </c>
      <c r="K777" s="3">
        <v>0</v>
      </c>
      <c r="L777" s="3">
        <v>0</v>
      </c>
      <c r="M777" s="3">
        <v>0</v>
      </c>
      <c r="N777" s="3">
        <v>1</v>
      </c>
      <c r="O777" s="3">
        <v>0</v>
      </c>
      <c r="P777" s="3">
        <v>0</v>
      </c>
      <c r="Q777" s="3">
        <v>0</v>
      </c>
      <c r="R777" s="3">
        <v>88.5</v>
      </c>
      <c r="S777" s="2">
        <v>12.1</v>
      </c>
      <c r="T777" t="s">
        <v>40</v>
      </c>
      <c r="U777" s="3">
        <v>0</v>
      </c>
      <c r="V777" s="3">
        <v>0</v>
      </c>
      <c r="W777" s="3">
        <v>0</v>
      </c>
      <c r="X777" s="3">
        <v>0</v>
      </c>
      <c r="Y777" s="3">
        <v>0</v>
      </c>
      <c r="Z777" s="3">
        <v>1</v>
      </c>
      <c r="AA777" s="3">
        <v>0</v>
      </c>
    </row>
    <row r="778" spans="1:27">
      <c r="A778" t="s">
        <v>870</v>
      </c>
      <c r="B778" s="3">
        <v>1</v>
      </c>
      <c r="C778" s="3">
        <v>0</v>
      </c>
      <c r="D778" s="1">
        <v>37364</v>
      </c>
      <c r="E778" s="1">
        <v>39082</v>
      </c>
      <c r="F778" s="2">
        <f t="shared" si="12"/>
        <v>4.7036276522929503</v>
      </c>
      <c r="G778" s="3">
        <v>1</v>
      </c>
      <c r="H778" s="3">
        <v>0</v>
      </c>
      <c r="I778" s="3">
        <v>0</v>
      </c>
      <c r="J778" s="3">
        <v>1</v>
      </c>
      <c r="K778" s="3">
        <v>0</v>
      </c>
      <c r="L778" s="3">
        <v>1</v>
      </c>
      <c r="M778" s="3">
        <v>0</v>
      </c>
      <c r="N778" s="3">
        <v>1</v>
      </c>
      <c r="O778" s="3">
        <v>0</v>
      </c>
      <c r="P778" s="3">
        <v>1</v>
      </c>
      <c r="Q778" s="3">
        <v>0</v>
      </c>
      <c r="R778" s="3">
        <v>88.6</v>
      </c>
      <c r="S778" s="2">
        <v>10.4</v>
      </c>
      <c r="T778" t="s">
        <v>28</v>
      </c>
      <c r="U778" s="3">
        <v>0</v>
      </c>
      <c r="V778" s="3">
        <v>0</v>
      </c>
      <c r="W778" s="3">
        <v>1</v>
      </c>
      <c r="X778" s="3">
        <v>1</v>
      </c>
      <c r="Y778" s="3">
        <v>0</v>
      </c>
      <c r="Z778" s="3">
        <v>1</v>
      </c>
      <c r="AA778" s="3">
        <v>0</v>
      </c>
    </row>
    <row r="779" spans="1:27">
      <c r="A779" t="s">
        <v>871</v>
      </c>
      <c r="B779" s="3">
        <v>1</v>
      </c>
      <c r="C779" s="3">
        <v>0</v>
      </c>
      <c r="D779" s="1">
        <v>37290</v>
      </c>
      <c r="E779" s="1">
        <v>39082</v>
      </c>
      <c r="F779" s="2">
        <f t="shared" si="12"/>
        <v>4.9062286105407251</v>
      </c>
      <c r="G779" s="3">
        <v>2</v>
      </c>
      <c r="H779" s="3">
        <v>0</v>
      </c>
      <c r="I779" s="3">
        <v>0</v>
      </c>
      <c r="J779" s="3">
        <v>1</v>
      </c>
      <c r="K779" s="3">
        <v>0</v>
      </c>
      <c r="L779" s="3">
        <v>1</v>
      </c>
      <c r="M779" s="3">
        <v>1</v>
      </c>
      <c r="N779" s="3">
        <v>1</v>
      </c>
      <c r="O779" s="3">
        <v>0</v>
      </c>
      <c r="P779" s="3">
        <v>0</v>
      </c>
      <c r="Q779" s="3">
        <v>0</v>
      </c>
      <c r="R779" s="3">
        <v>88.6</v>
      </c>
      <c r="S779" s="2">
        <v>12.5</v>
      </c>
      <c r="T779" t="s">
        <v>69</v>
      </c>
      <c r="U779" s="3">
        <v>0</v>
      </c>
      <c r="V779" s="3">
        <v>1</v>
      </c>
      <c r="W779" s="3">
        <v>0</v>
      </c>
      <c r="X779" s="3">
        <v>0</v>
      </c>
      <c r="Y779" s="3">
        <v>0</v>
      </c>
      <c r="Z779" s="3">
        <v>0</v>
      </c>
      <c r="AA779" s="3">
        <v>0</v>
      </c>
    </row>
    <row r="780" spans="1:27">
      <c r="A780" t="s">
        <v>872</v>
      </c>
      <c r="B780" s="3">
        <v>2</v>
      </c>
      <c r="C780" s="3">
        <v>0</v>
      </c>
      <c r="D780" s="1">
        <v>37065</v>
      </c>
      <c r="E780" s="1">
        <v>39082</v>
      </c>
      <c r="F780" s="2">
        <f t="shared" si="12"/>
        <v>5.5222450376454484</v>
      </c>
      <c r="G780" s="3">
        <v>2</v>
      </c>
      <c r="H780" s="3">
        <v>0</v>
      </c>
      <c r="I780" s="3">
        <v>0</v>
      </c>
      <c r="J780" s="3">
        <v>1</v>
      </c>
      <c r="K780" s="3">
        <v>0</v>
      </c>
      <c r="L780" s="3">
        <v>0</v>
      </c>
      <c r="M780" s="3">
        <v>0</v>
      </c>
      <c r="N780" s="3">
        <v>0</v>
      </c>
      <c r="O780" s="3">
        <v>0</v>
      </c>
      <c r="P780" s="3">
        <v>0</v>
      </c>
      <c r="Q780" s="3">
        <v>0</v>
      </c>
      <c r="R780" s="3">
        <v>88.6</v>
      </c>
      <c r="S780" s="2">
        <v>10.6</v>
      </c>
      <c r="T780" t="s">
        <v>63</v>
      </c>
      <c r="U780" s="3">
        <v>1</v>
      </c>
      <c r="V780" s="3">
        <v>1</v>
      </c>
      <c r="W780" s="3">
        <v>0</v>
      </c>
      <c r="X780" s="3">
        <v>1</v>
      </c>
      <c r="Y780" s="3">
        <v>0</v>
      </c>
      <c r="Z780" s="3">
        <v>0</v>
      </c>
      <c r="AA780" s="3">
        <v>0</v>
      </c>
    </row>
    <row r="781" spans="1:27">
      <c r="A781" t="s">
        <v>873</v>
      </c>
      <c r="B781" s="3">
        <v>3</v>
      </c>
      <c r="C781" s="3">
        <v>0</v>
      </c>
      <c r="D781" s="1">
        <v>38261</v>
      </c>
      <c r="E781" s="1">
        <v>39082</v>
      </c>
      <c r="F781" s="2">
        <f t="shared" si="12"/>
        <v>2.2477754962354553</v>
      </c>
      <c r="G781" s="3">
        <v>2</v>
      </c>
      <c r="H781" s="3">
        <v>1</v>
      </c>
      <c r="I781" s="3">
        <v>0</v>
      </c>
      <c r="J781" s="3">
        <v>1</v>
      </c>
      <c r="K781" s="3">
        <v>0</v>
      </c>
      <c r="L781" s="3">
        <v>0</v>
      </c>
      <c r="M781" s="3">
        <v>0</v>
      </c>
      <c r="N781" s="3">
        <v>0</v>
      </c>
      <c r="O781" s="3">
        <v>0</v>
      </c>
      <c r="P781" s="3">
        <v>1</v>
      </c>
      <c r="Q781" s="3">
        <v>0</v>
      </c>
      <c r="R781" s="3">
        <v>88.6</v>
      </c>
      <c r="S781" s="2">
        <v>12</v>
      </c>
      <c r="T781" t="s">
        <v>874</v>
      </c>
      <c r="U781" s="3">
        <v>0</v>
      </c>
      <c r="V781" s="3">
        <v>0</v>
      </c>
      <c r="W781" s="3">
        <v>0</v>
      </c>
      <c r="X781" s="3">
        <v>1</v>
      </c>
      <c r="Y781" s="3">
        <v>0</v>
      </c>
      <c r="Z781" s="3">
        <v>0</v>
      </c>
      <c r="AA781" s="3">
        <v>0</v>
      </c>
    </row>
    <row r="782" spans="1:27">
      <c r="A782" t="s">
        <v>365</v>
      </c>
      <c r="B782" s="3">
        <v>3</v>
      </c>
      <c r="C782" s="3">
        <v>0</v>
      </c>
      <c r="D782" s="1">
        <v>38195</v>
      </c>
      <c r="E782" s="1">
        <v>39082</v>
      </c>
      <c r="F782" s="2">
        <f t="shared" si="12"/>
        <v>2.4284736481861739</v>
      </c>
      <c r="G782" s="3">
        <v>2</v>
      </c>
      <c r="H782" s="3">
        <v>1</v>
      </c>
      <c r="I782" s="3">
        <v>0</v>
      </c>
      <c r="J782" s="3">
        <v>1</v>
      </c>
      <c r="K782" s="3">
        <v>0</v>
      </c>
      <c r="L782" s="3">
        <v>0</v>
      </c>
      <c r="M782" s="3">
        <v>0</v>
      </c>
      <c r="N782" s="3">
        <v>0</v>
      </c>
      <c r="O782" s="3">
        <v>0</v>
      </c>
      <c r="P782" s="3">
        <v>1</v>
      </c>
      <c r="Q782" s="3">
        <v>0</v>
      </c>
      <c r="R782" s="3">
        <v>88.6</v>
      </c>
      <c r="S782" s="2">
        <v>12.9</v>
      </c>
      <c r="T782" t="s">
        <v>28</v>
      </c>
      <c r="U782" s="3">
        <v>0</v>
      </c>
      <c r="V782" s="3">
        <v>0</v>
      </c>
      <c r="W782" s="3">
        <v>0</v>
      </c>
      <c r="X782" s="3">
        <v>0</v>
      </c>
      <c r="Y782" s="3">
        <v>0</v>
      </c>
      <c r="Z782" s="3">
        <v>0</v>
      </c>
      <c r="AA782" s="3">
        <v>0</v>
      </c>
    </row>
    <row r="783" spans="1:27">
      <c r="A783" t="s">
        <v>875</v>
      </c>
      <c r="B783" s="3">
        <v>2</v>
      </c>
      <c r="C783" s="3">
        <v>0</v>
      </c>
      <c r="D783" s="1">
        <v>38050</v>
      </c>
      <c r="E783" s="1">
        <v>39082</v>
      </c>
      <c r="F783" s="2">
        <f t="shared" si="12"/>
        <v>2.8254620123203287</v>
      </c>
      <c r="G783" s="3">
        <v>2</v>
      </c>
      <c r="H783" s="3">
        <v>1</v>
      </c>
      <c r="I783" s="3">
        <v>1</v>
      </c>
      <c r="J783" s="3">
        <v>0</v>
      </c>
      <c r="K783" s="3">
        <v>1</v>
      </c>
      <c r="L783" s="3">
        <v>0</v>
      </c>
      <c r="M783" s="3">
        <v>0</v>
      </c>
      <c r="N783" s="3">
        <v>1</v>
      </c>
      <c r="O783" s="3">
        <v>0</v>
      </c>
      <c r="P783" s="3">
        <v>0</v>
      </c>
      <c r="Q783" s="3">
        <v>0</v>
      </c>
      <c r="R783" s="3">
        <v>88.6</v>
      </c>
      <c r="S783" s="2">
        <v>12.2</v>
      </c>
      <c r="T783" t="s">
        <v>28</v>
      </c>
      <c r="U783" s="3">
        <v>1</v>
      </c>
      <c r="V783" s="3">
        <v>1</v>
      </c>
      <c r="W783" s="3">
        <v>1</v>
      </c>
      <c r="X783" s="3">
        <v>0</v>
      </c>
      <c r="Y783" s="3">
        <v>0</v>
      </c>
      <c r="Z783" s="3">
        <v>0</v>
      </c>
      <c r="AA783" s="3">
        <v>0</v>
      </c>
    </row>
    <row r="784" spans="1:27">
      <c r="A784" t="s">
        <v>876</v>
      </c>
      <c r="B784" s="3">
        <v>2</v>
      </c>
      <c r="C784" s="3">
        <v>0</v>
      </c>
      <c r="D784" s="1">
        <v>37178</v>
      </c>
      <c r="E784" s="1">
        <v>39082</v>
      </c>
      <c r="F784" s="2">
        <f t="shared" si="12"/>
        <v>5.2128678986995212</v>
      </c>
      <c r="G784" s="3">
        <v>1</v>
      </c>
      <c r="H784" s="3">
        <v>1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1</v>
      </c>
      <c r="P784" s="3">
        <v>1</v>
      </c>
      <c r="Q784" s="3">
        <v>0</v>
      </c>
      <c r="R784" s="3">
        <v>88.7</v>
      </c>
      <c r="S784" s="2">
        <v>10.9</v>
      </c>
      <c r="T784" t="s">
        <v>877</v>
      </c>
      <c r="U784" s="3">
        <v>1</v>
      </c>
      <c r="V784" s="3">
        <v>1</v>
      </c>
      <c r="W784" s="3">
        <v>0</v>
      </c>
      <c r="X784" s="3">
        <v>0</v>
      </c>
      <c r="Y784" s="3">
        <v>0</v>
      </c>
      <c r="Z784" s="3">
        <v>1</v>
      </c>
      <c r="AA784" s="3">
        <v>0</v>
      </c>
    </row>
    <row r="785" spans="1:27">
      <c r="A785" t="s">
        <v>878</v>
      </c>
      <c r="B785" s="3">
        <v>3</v>
      </c>
      <c r="C785" s="3">
        <v>0</v>
      </c>
      <c r="D785" s="1">
        <v>38209</v>
      </c>
      <c r="E785" s="1">
        <v>39082</v>
      </c>
      <c r="F785" s="2">
        <f t="shared" si="12"/>
        <v>2.3901437371663246</v>
      </c>
      <c r="G785" s="3">
        <v>1</v>
      </c>
      <c r="H785" s="3">
        <v>1</v>
      </c>
      <c r="I785" s="3">
        <v>0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>
        <v>0</v>
      </c>
      <c r="P785" s="3">
        <v>1</v>
      </c>
      <c r="Q785" s="3">
        <v>0</v>
      </c>
      <c r="R785" s="3">
        <v>88.7</v>
      </c>
      <c r="S785" s="2">
        <v>12.6</v>
      </c>
      <c r="T785" t="s">
        <v>879</v>
      </c>
      <c r="U785" s="3">
        <v>0</v>
      </c>
      <c r="V785" s="3">
        <v>1</v>
      </c>
      <c r="W785" s="3">
        <v>0</v>
      </c>
      <c r="X785" s="3">
        <v>0</v>
      </c>
      <c r="Y785" s="3">
        <v>0</v>
      </c>
      <c r="Z785" s="3">
        <v>1</v>
      </c>
      <c r="AA785" s="3">
        <v>0</v>
      </c>
    </row>
    <row r="786" spans="1:27">
      <c r="A786" t="s">
        <v>880</v>
      </c>
      <c r="B786" s="3">
        <v>2</v>
      </c>
      <c r="C786" s="3">
        <v>0</v>
      </c>
      <c r="D786" s="1">
        <v>37315</v>
      </c>
      <c r="E786" s="1">
        <v>39082</v>
      </c>
      <c r="F786" s="2">
        <f t="shared" si="12"/>
        <v>4.8377823408624234</v>
      </c>
      <c r="G786" s="3">
        <v>2</v>
      </c>
      <c r="H786" s="3">
        <v>1</v>
      </c>
      <c r="I786" s="3">
        <v>1</v>
      </c>
      <c r="J786" s="3">
        <v>0</v>
      </c>
      <c r="K786" s="3">
        <v>0</v>
      </c>
      <c r="L786" s="3">
        <v>1</v>
      </c>
      <c r="M786" s="3">
        <v>0</v>
      </c>
      <c r="N786" s="3">
        <v>1</v>
      </c>
      <c r="O786" s="3">
        <v>0</v>
      </c>
      <c r="P786" s="3">
        <v>1</v>
      </c>
      <c r="Q786" s="3">
        <v>0</v>
      </c>
      <c r="R786" s="3">
        <v>88.7</v>
      </c>
      <c r="S786" s="2">
        <v>12.2</v>
      </c>
      <c r="T786" t="s">
        <v>69</v>
      </c>
      <c r="U786" s="3">
        <v>1</v>
      </c>
      <c r="V786" s="3">
        <v>1</v>
      </c>
      <c r="W786" s="3">
        <v>1</v>
      </c>
      <c r="X786" s="3">
        <v>1</v>
      </c>
      <c r="Y786" s="3">
        <v>0</v>
      </c>
      <c r="Z786" s="3">
        <v>0</v>
      </c>
      <c r="AA786" s="3">
        <v>0</v>
      </c>
    </row>
    <row r="787" spans="1:27">
      <c r="A787" t="s">
        <v>881</v>
      </c>
      <c r="B787" s="3">
        <v>2</v>
      </c>
      <c r="C787" s="3">
        <v>0</v>
      </c>
      <c r="D787" s="1">
        <v>37312</v>
      </c>
      <c r="E787" s="1">
        <v>39082</v>
      </c>
      <c r="F787" s="2">
        <f t="shared" si="12"/>
        <v>4.8459958932238196</v>
      </c>
      <c r="G787" s="3">
        <v>2</v>
      </c>
      <c r="H787" s="3">
        <v>1</v>
      </c>
      <c r="I787" s="3">
        <v>0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>
        <v>0</v>
      </c>
      <c r="P787" s="3">
        <v>0</v>
      </c>
      <c r="Q787" s="3">
        <v>0</v>
      </c>
      <c r="R787" s="3">
        <v>88.8</v>
      </c>
      <c r="S787" s="2">
        <v>11.4</v>
      </c>
      <c r="T787" t="s">
        <v>69</v>
      </c>
      <c r="U787" s="3">
        <v>1</v>
      </c>
      <c r="V787" s="3">
        <v>0</v>
      </c>
      <c r="W787" s="3">
        <v>1</v>
      </c>
      <c r="X787" s="3">
        <v>1</v>
      </c>
      <c r="Y787" s="5" t="e">
        <v>#NULL!</v>
      </c>
      <c r="Z787" s="3">
        <v>0</v>
      </c>
      <c r="AA787" s="3">
        <v>0</v>
      </c>
    </row>
    <row r="788" spans="1:27">
      <c r="A788" t="s">
        <v>882</v>
      </c>
      <c r="B788" s="3">
        <v>3</v>
      </c>
      <c r="C788" s="3">
        <v>0</v>
      </c>
      <c r="D788" s="1">
        <v>38261</v>
      </c>
      <c r="E788" s="1">
        <v>39082</v>
      </c>
      <c r="F788" s="2">
        <f t="shared" si="12"/>
        <v>2.2477754962354553</v>
      </c>
      <c r="G788" s="3">
        <v>2</v>
      </c>
      <c r="H788" s="3">
        <v>1</v>
      </c>
      <c r="I788" s="3">
        <v>0</v>
      </c>
      <c r="J788" s="3">
        <v>1</v>
      </c>
      <c r="K788" s="3">
        <v>1</v>
      </c>
      <c r="L788" s="3">
        <v>0</v>
      </c>
      <c r="M788" s="3">
        <v>0</v>
      </c>
      <c r="N788" s="3">
        <v>1</v>
      </c>
      <c r="O788" s="3">
        <v>0</v>
      </c>
      <c r="P788" s="3">
        <v>1</v>
      </c>
      <c r="Q788" s="3">
        <v>0</v>
      </c>
      <c r="R788" s="3">
        <v>88.8</v>
      </c>
      <c r="S788" s="2">
        <v>13.1</v>
      </c>
      <c r="T788" t="s">
        <v>28</v>
      </c>
      <c r="U788" s="3">
        <v>1</v>
      </c>
      <c r="V788" s="3">
        <v>0</v>
      </c>
      <c r="W788" s="3">
        <v>1</v>
      </c>
      <c r="X788" s="3">
        <v>0</v>
      </c>
      <c r="Y788" s="3">
        <v>0</v>
      </c>
      <c r="Z788" s="3">
        <v>0</v>
      </c>
      <c r="AA788" s="3">
        <v>0</v>
      </c>
    </row>
    <row r="789" spans="1:27">
      <c r="A789" t="s">
        <v>883</v>
      </c>
      <c r="B789" s="3">
        <v>2</v>
      </c>
      <c r="C789" s="3">
        <v>0</v>
      </c>
      <c r="D789" s="1">
        <v>36813</v>
      </c>
      <c r="E789" s="1">
        <v>39082</v>
      </c>
      <c r="F789" s="2">
        <f t="shared" si="12"/>
        <v>6.2121834360027375</v>
      </c>
      <c r="G789" s="3">
        <v>1</v>
      </c>
      <c r="H789" s="3">
        <v>0</v>
      </c>
      <c r="I789" s="3">
        <v>0</v>
      </c>
      <c r="J789" s="3">
        <v>0</v>
      </c>
      <c r="K789" s="3">
        <v>1</v>
      </c>
      <c r="L789" s="3">
        <v>0</v>
      </c>
      <c r="M789" s="3">
        <v>0</v>
      </c>
      <c r="N789" s="3">
        <v>1</v>
      </c>
      <c r="O789" s="3">
        <v>0</v>
      </c>
      <c r="P789" s="3">
        <v>0</v>
      </c>
      <c r="Q789" s="3">
        <v>0</v>
      </c>
      <c r="R789" s="3">
        <v>88.9</v>
      </c>
      <c r="S789" s="2">
        <v>12.3</v>
      </c>
      <c r="T789" t="s">
        <v>28</v>
      </c>
      <c r="U789" s="3">
        <v>1</v>
      </c>
      <c r="V789" s="3">
        <v>1</v>
      </c>
      <c r="W789" s="3">
        <v>0</v>
      </c>
      <c r="X789" s="3">
        <v>0</v>
      </c>
      <c r="Y789" s="3">
        <v>0</v>
      </c>
      <c r="Z789" s="3">
        <v>1</v>
      </c>
      <c r="AA789" s="3">
        <v>0</v>
      </c>
    </row>
    <row r="790" spans="1:27">
      <c r="A790" t="s">
        <v>884</v>
      </c>
      <c r="B790" s="3">
        <v>1</v>
      </c>
      <c r="C790" s="3">
        <v>0</v>
      </c>
      <c r="D790" s="1">
        <v>37549</v>
      </c>
      <c r="E790" s="1">
        <v>39082</v>
      </c>
      <c r="F790" s="2">
        <f t="shared" si="12"/>
        <v>4.1971252566735116</v>
      </c>
      <c r="G790" s="3">
        <v>2</v>
      </c>
      <c r="H790" s="3">
        <v>0</v>
      </c>
      <c r="I790" s="3">
        <v>0</v>
      </c>
      <c r="J790" s="3">
        <v>0</v>
      </c>
      <c r="K790" s="3">
        <v>0</v>
      </c>
      <c r="L790" s="3">
        <v>0</v>
      </c>
      <c r="M790" s="3">
        <v>0</v>
      </c>
      <c r="N790" s="3">
        <v>1</v>
      </c>
      <c r="O790" s="3">
        <v>0</v>
      </c>
      <c r="P790" s="3">
        <v>1</v>
      </c>
      <c r="Q790" s="3">
        <v>0</v>
      </c>
      <c r="R790" s="3">
        <v>88.9</v>
      </c>
      <c r="S790" s="2">
        <v>12.3</v>
      </c>
      <c r="T790" t="s">
        <v>44</v>
      </c>
      <c r="U790" s="3">
        <v>1</v>
      </c>
      <c r="V790" s="3">
        <v>0</v>
      </c>
      <c r="W790" s="3">
        <v>0</v>
      </c>
      <c r="X790" s="3">
        <v>0</v>
      </c>
      <c r="Y790" s="3">
        <v>0</v>
      </c>
      <c r="Z790" s="3">
        <v>0</v>
      </c>
      <c r="AA790" s="3">
        <v>0</v>
      </c>
    </row>
    <row r="791" spans="1:27">
      <c r="A791" t="s">
        <v>571</v>
      </c>
      <c r="B791" s="3">
        <v>2</v>
      </c>
      <c r="C791" s="3">
        <v>1</v>
      </c>
      <c r="D791" s="1">
        <v>37170</v>
      </c>
      <c r="E791" s="1">
        <v>39082</v>
      </c>
      <c r="F791" s="2">
        <f t="shared" si="12"/>
        <v>5.2347707049965777</v>
      </c>
      <c r="G791" s="3">
        <v>1</v>
      </c>
      <c r="H791" s="3">
        <v>1</v>
      </c>
      <c r="I791" s="3">
        <v>0</v>
      </c>
      <c r="J791" s="3">
        <v>0</v>
      </c>
      <c r="K791" s="3">
        <v>0</v>
      </c>
      <c r="L791" s="3">
        <v>0</v>
      </c>
      <c r="M791" s="3">
        <v>0</v>
      </c>
      <c r="N791" s="3">
        <v>0</v>
      </c>
      <c r="O791" s="3">
        <v>0</v>
      </c>
      <c r="P791" s="3">
        <v>0</v>
      </c>
      <c r="Q791" s="3">
        <v>0</v>
      </c>
      <c r="R791" s="3">
        <v>88.9</v>
      </c>
      <c r="S791" s="2">
        <v>12.5</v>
      </c>
      <c r="T791" t="s">
        <v>398</v>
      </c>
      <c r="U791" s="3">
        <v>1</v>
      </c>
      <c r="V791" s="3">
        <v>1</v>
      </c>
      <c r="W791" s="3">
        <v>0</v>
      </c>
      <c r="X791" s="3">
        <v>0</v>
      </c>
      <c r="Y791" s="3">
        <v>1</v>
      </c>
      <c r="Z791" s="3">
        <v>1</v>
      </c>
      <c r="AA791" s="3">
        <v>0</v>
      </c>
    </row>
    <row r="792" spans="1:27">
      <c r="A792" t="s">
        <v>524</v>
      </c>
      <c r="B792" s="3">
        <v>2</v>
      </c>
      <c r="C792" s="3">
        <v>0</v>
      </c>
      <c r="D792" s="1">
        <v>37671</v>
      </c>
      <c r="E792" s="1">
        <v>39082</v>
      </c>
      <c r="F792" s="2">
        <f t="shared" si="12"/>
        <v>3.8631074606433948</v>
      </c>
      <c r="G792" s="3">
        <v>1</v>
      </c>
      <c r="H792" s="3">
        <v>1</v>
      </c>
      <c r="I792" s="3">
        <v>0</v>
      </c>
      <c r="J792" s="3">
        <v>1</v>
      </c>
      <c r="K792" s="3">
        <v>0</v>
      </c>
      <c r="L792" s="3">
        <v>0</v>
      </c>
      <c r="M792" s="3">
        <v>0</v>
      </c>
      <c r="N792" s="3">
        <v>0</v>
      </c>
      <c r="O792" s="3">
        <v>0</v>
      </c>
      <c r="P792" s="3">
        <v>0</v>
      </c>
      <c r="Q792" s="3">
        <v>0</v>
      </c>
      <c r="R792" s="3">
        <v>88.9</v>
      </c>
      <c r="S792" s="2">
        <v>11.5</v>
      </c>
      <c r="T792" t="s">
        <v>188</v>
      </c>
      <c r="U792" s="3">
        <v>1</v>
      </c>
      <c r="V792" s="3">
        <v>1</v>
      </c>
      <c r="W792" s="3">
        <v>0</v>
      </c>
      <c r="X792" s="3">
        <v>1</v>
      </c>
      <c r="Y792" s="3">
        <v>0</v>
      </c>
      <c r="Z792" s="3">
        <v>1</v>
      </c>
      <c r="AA792" s="3">
        <v>0</v>
      </c>
    </row>
    <row r="793" spans="1:27">
      <c r="A793" t="s">
        <v>885</v>
      </c>
      <c r="B793" s="3">
        <v>2</v>
      </c>
      <c r="C793" s="3">
        <v>0</v>
      </c>
      <c r="D793" s="1">
        <v>37262</v>
      </c>
      <c r="E793" s="1">
        <v>39082</v>
      </c>
      <c r="F793" s="2">
        <f t="shared" si="12"/>
        <v>4.9828884325804248</v>
      </c>
      <c r="G793" s="3">
        <v>1</v>
      </c>
      <c r="H793" s="3">
        <v>1</v>
      </c>
      <c r="I793" s="3">
        <v>0</v>
      </c>
      <c r="J793" s="3">
        <v>0</v>
      </c>
      <c r="K793" s="3">
        <v>0</v>
      </c>
      <c r="L793" s="3">
        <v>0</v>
      </c>
      <c r="M793" s="3">
        <v>0</v>
      </c>
      <c r="N793" s="3">
        <v>1</v>
      </c>
      <c r="O793" s="3">
        <v>0</v>
      </c>
      <c r="P793" s="3">
        <v>0</v>
      </c>
      <c r="Q793" s="3">
        <v>0</v>
      </c>
      <c r="R793" s="3">
        <v>89</v>
      </c>
      <c r="S793" s="2">
        <v>11.8</v>
      </c>
      <c r="T793" t="s">
        <v>66</v>
      </c>
      <c r="U793" s="3">
        <v>1</v>
      </c>
      <c r="V793" s="3">
        <v>1</v>
      </c>
      <c r="W793" s="3">
        <v>0</v>
      </c>
      <c r="X793" s="3">
        <v>0</v>
      </c>
      <c r="Y793" s="3">
        <v>0</v>
      </c>
      <c r="Z793" s="3">
        <v>1</v>
      </c>
      <c r="AA793" s="3">
        <v>0</v>
      </c>
    </row>
    <row r="794" spans="1:27">
      <c r="A794" t="s">
        <v>886</v>
      </c>
      <c r="B794" s="3">
        <v>3</v>
      </c>
      <c r="C794" s="3">
        <v>0</v>
      </c>
      <c r="D794" s="1">
        <v>38079</v>
      </c>
      <c r="E794" s="1">
        <v>39082</v>
      </c>
      <c r="F794" s="2">
        <f t="shared" si="12"/>
        <v>2.7460643394934978</v>
      </c>
      <c r="G794" s="3">
        <v>1</v>
      </c>
      <c r="H794" s="3">
        <v>1</v>
      </c>
      <c r="I794" s="3">
        <v>0</v>
      </c>
      <c r="J794" s="3">
        <v>0</v>
      </c>
      <c r="K794" s="3">
        <v>0</v>
      </c>
      <c r="L794" s="3">
        <v>0</v>
      </c>
      <c r="M794" s="3">
        <v>0</v>
      </c>
      <c r="N794" s="3">
        <v>0</v>
      </c>
      <c r="O794" s="3">
        <v>0</v>
      </c>
      <c r="P794" s="3">
        <v>0</v>
      </c>
      <c r="Q794" s="3">
        <v>0</v>
      </c>
      <c r="R794" s="3">
        <v>89</v>
      </c>
      <c r="S794" s="2">
        <v>13.8</v>
      </c>
      <c r="T794" t="s">
        <v>28</v>
      </c>
      <c r="U794" s="3">
        <v>0</v>
      </c>
      <c r="V794" s="3">
        <v>1</v>
      </c>
      <c r="W794" s="3">
        <v>0</v>
      </c>
      <c r="X794" s="3">
        <v>0</v>
      </c>
      <c r="Y794" s="3">
        <v>0</v>
      </c>
      <c r="Z794" s="3">
        <v>1</v>
      </c>
      <c r="AA794" s="3">
        <v>0</v>
      </c>
    </row>
    <row r="795" spans="1:27">
      <c r="A795" t="s">
        <v>810</v>
      </c>
      <c r="B795" s="3">
        <v>2</v>
      </c>
      <c r="C795" s="3">
        <v>1</v>
      </c>
      <c r="D795" s="1">
        <v>37478</v>
      </c>
      <c r="E795" s="1">
        <v>39082</v>
      </c>
      <c r="F795" s="2">
        <f t="shared" si="12"/>
        <v>4.3915126625598901</v>
      </c>
      <c r="G795" s="3">
        <v>1</v>
      </c>
      <c r="H795" s="3">
        <v>1</v>
      </c>
      <c r="I795" s="3">
        <v>0</v>
      </c>
      <c r="J795" s="3">
        <v>0</v>
      </c>
      <c r="K795" s="3">
        <v>0</v>
      </c>
      <c r="L795" s="3">
        <v>0</v>
      </c>
      <c r="M795" s="3">
        <v>0</v>
      </c>
      <c r="N795" s="3">
        <v>1</v>
      </c>
      <c r="O795" s="3">
        <v>0</v>
      </c>
      <c r="P795" s="3">
        <v>0</v>
      </c>
      <c r="Q795" s="3">
        <v>0</v>
      </c>
      <c r="R795" s="3">
        <v>89</v>
      </c>
      <c r="S795" s="2">
        <v>10.4</v>
      </c>
      <c r="T795" t="s">
        <v>28</v>
      </c>
      <c r="U795" s="3">
        <v>1</v>
      </c>
      <c r="V795" s="3">
        <v>1</v>
      </c>
      <c r="W795" s="3">
        <v>0</v>
      </c>
      <c r="X795" s="3">
        <v>0</v>
      </c>
      <c r="Y795" s="3">
        <v>0</v>
      </c>
      <c r="Z795" s="3">
        <v>1</v>
      </c>
      <c r="AA795" s="3">
        <v>0</v>
      </c>
    </row>
    <row r="796" spans="1:27">
      <c r="A796" t="s">
        <v>887</v>
      </c>
      <c r="B796" s="3">
        <v>1</v>
      </c>
      <c r="C796" s="3">
        <v>0</v>
      </c>
      <c r="D796" s="1">
        <v>37330</v>
      </c>
      <c r="E796" s="1">
        <v>39082</v>
      </c>
      <c r="F796" s="2">
        <f t="shared" si="12"/>
        <v>4.7967145790554415</v>
      </c>
      <c r="G796" s="3">
        <v>2</v>
      </c>
      <c r="H796" s="3">
        <v>1</v>
      </c>
      <c r="I796" s="3">
        <v>0</v>
      </c>
      <c r="J796" s="3">
        <v>0</v>
      </c>
      <c r="K796" s="3">
        <v>0</v>
      </c>
      <c r="L796" s="3">
        <v>0</v>
      </c>
      <c r="M796" s="3">
        <v>1</v>
      </c>
      <c r="N796" s="3">
        <v>1</v>
      </c>
      <c r="O796" s="3">
        <v>0</v>
      </c>
      <c r="P796" s="3">
        <v>0</v>
      </c>
      <c r="Q796" s="3">
        <v>0</v>
      </c>
      <c r="R796" s="3">
        <v>89</v>
      </c>
      <c r="S796" s="2">
        <v>11.4</v>
      </c>
      <c r="T796" t="s">
        <v>28</v>
      </c>
      <c r="U796" s="3">
        <v>1</v>
      </c>
      <c r="V796" s="3">
        <v>1</v>
      </c>
      <c r="W796" s="3">
        <v>0</v>
      </c>
      <c r="X796" s="3">
        <v>0</v>
      </c>
      <c r="Y796" s="3">
        <v>0</v>
      </c>
      <c r="Z796" s="3">
        <v>0</v>
      </c>
      <c r="AA796" s="3">
        <v>0</v>
      </c>
    </row>
    <row r="797" spans="1:27">
      <c r="A797" t="s">
        <v>888</v>
      </c>
      <c r="B797" s="3">
        <v>3</v>
      </c>
      <c r="C797" s="3">
        <v>0</v>
      </c>
      <c r="D797" s="1">
        <v>37226</v>
      </c>
      <c r="E797" s="1">
        <v>39082</v>
      </c>
      <c r="F797" s="2">
        <f t="shared" si="12"/>
        <v>5.0814510609171801</v>
      </c>
      <c r="G797" s="3">
        <v>2</v>
      </c>
      <c r="H797" s="3">
        <v>1</v>
      </c>
      <c r="I797" s="3">
        <v>0</v>
      </c>
      <c r="J797" s="3">
        <v>1</v>
      </c>
      <c r="K797" s="3">
        <v>0</v>
      </c>
      <c r="L797" s="3">
        <v>0</v>
      </c>
      <c r="M797" s="3">
        <v>0</v>
      </c>
      <c r="N797" s="3">
        <v>0</v>
      </c>
      <c r="O797" s="3">
        <v>0</v>
      </c>
      <c r="P797" s="3">
        <v>1</v>
      </c>
      <c r="Q797" s="3">
        <v>0</v>
      </c>
      <c r="R797" s="3">
        <v>89</v>
      </c>
      <c r="S797" s="2">
        <v>12</v>
      </c>
      <c r="T797" t="s">
        <v>28</v>
      </c>
      <c r="U797" s="3">
        <v>0</v>
      </c>
      <c r="V797" s="3">
        <v>0</v>
      </c>
      <c r="W797" s="3">
        <v>0</v>
      </c>
      <c r="X797" s="3">
        <v>0</v>
      </c>
      <c r="Y797" s="3">
        <v>0</v>
      </c>
      <c r="Z797" s="3">
        <v>0</v>
      </c>
      <c r="AA797" s="3">
        <v>0</v>
      </c>
    </row>
    <row r="798" spans="1:27">
      <c r="A798" t="s">
        <v>889</v>
      </c>
      <c r="B798" s="3">
        <v>2</v>
      </c>
      <c r="C798" s="3">
        <v>0</v>
      </c>
      <c r="D798" s="1">
        <v>37200</v>
      </c>
      <c r="E798" s="1">
        <v>39082</v>
      </c>
      <c r="F798" s="2">
        <f t="shared" si="12"/>
        <v>5.1526351813826148</v>
      </c>
      <c r="G798" s="3">
        <v>1</v>
      </c>
      <c r="H798" s="3">
        <v>1</v>
      </c>
      <c r="I798" s="3">
        <v>1</v>
      </c>
      <c r="J798" s="3">
        <v>0</v>
      </c>
      <c r="K798" s="3">
        <v>0</v>
      </c>
      <c r="L798" s="3">
        <v>0</v>
      </c>
      <c r="M798" s="3">
        <v>0</v>
      </c>
      <c r="N798" s="3">
        <v>0</v>
      </c>
      <c r="O798" s="3">
        <v>0</v>
      </c>
      <c r="P798" s="3">
        <v>0</v>
      </c>
      <c r="Q798" s="3">
        <v>0</v>
      </c>
      <c r="R798" s="3">
        <v>89</v>
      </c>
      <c r="S798" s="2">
        <v>12.2</v>
      </c>
      <c r="T798" t="s">
        <v>28</v>
      </c>
      <c r="U798" s="3">
        <v>1</v>
      </c>
      <c r="V798" s="3">
        <v>1</v>
      </c>
      <c r="W798" s="3">
        <v>1</v>
      </c>
      <c r="X798" s="3">
        <v>1</v>
      </c>
      <c r="Y798" s="3">
        <v>1</v>
      </c>
      <c r="Z798" s="3">
        <v>1</v>
      </c>
      <c r="AA798" s="3">
        <v>0</v>
      </c>
    </row>
    <row r="799" spans="1:27">
      <c r="A799" t="s">
        <v>890</v>
      </c>
      <c r="B799" s="3">
        <v>3</v>
      </c>
      <c r="C799" s="3">
        <v>0</v>
      </c>
      <c r="D799" s="1">
        <v>38289</v>
      </c>
      <c r="E799" s="1">
        <v>39082</v>
      </c>
      <c r="F799" s="2">
        <f t="shared" si="12"/>
        <v>2.1711156741957565</v>
      </c>
      <c r="G799" s="3">
        <v>1</v>
      </c>
      <c r="H799" s="3">
        <v>1</v>
      </c>
      <c r="I799" s="3">
        <v>0</v>
      </c>
      <c r="J799" s="3">
        <v>1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3">
        <v>1</v>
      </c>
      <c r="Q799" s="3">
        <v>0</v>
      </c>
      <c r="R799" s="3">
        <v>89.1</v>
      </c>
      <c r="S799" s="2">
        <v>11.5</v>
      </c>
      <c r="T799" t="s">
        <v>28</v>
      </c>
      <c r="U799" s="3">
        <v>0</v>
      </c>
      <c r="V799" s="3">
        <v>0</v>
      </c>
      <c r="W799" s="3">
        <v>0</v>
      </c>
      <c r="X799" s="3">
        <v>1</v>
      </c>
      <c r="Y799" s="3">
        <v>1</v>
      </c>
      <c r="Z799" s="3">
        <v>1</v>
      </c>
      <c r="AA799" s="3">
        <v>0</v>
      </c>
    </row>
    <row r="800" spans="1:27">
      <c r="A800" t="s">
        <v>891</v>
      </c>
      <c r="B800" s="3">
        <v>1</v>
      </c>
      <c r="C800" s="3">
        <v>0</v>
      </c>
      <c r="D800" s="1">
        <v>37313</v>
      </c>
      <c r="E800" s="1">
        <v>39082</v>
      </c>
      <c r="F800" s="2">
        <f t="shared" si="12"/>
        <v>4.8432580424366876</v>
      </c>
      <c r="G800" s="3">
        <v>1</v>
      </c>
      <c r="H800" s="3">
        <v>1</v>
      </c>
      <c r="I800" s="3">
        <v>1</v>
      </c>
      <c r="J800" s="3">
        <v>0</v>
      </c>
      <c r="K800" s="3">
        <v>0</v>
      </c>
      <c r="L800" s="3">
        <v>1</v>
      </c>
      <c r="M800" s="3">
        <v>0</v>
      </c>
      <c r="N800" s="3">
        <v>1</v>
      </c>
      <c r="O800" s="3">
        <v>0</v>
      </c>
      <c r="P800" s="3">
        <v>1</v>
      </c>
      <c r="Q800" s="3">
        <v>0</v>
      </c>
      <c r="R800" s="3">
        <v>89.1</v>
      </c>
      <c r="S800" s="2">
        <v>11.9</v>
      </c>
      <c r="T800" t="s">
        <v>28</v>
      </c>
      <c r="U800" s="3">
        <v>0</v>
      </c>
      <c r="V800" s="3">
        <v>1</v>
      </c>
      <c r="W800" s="3">
        <v>1</v>
      </c>
      <c r="X800" s="3">
        <v>0</v>
      </c>
      <c r="Y800" s="3">
        <v>0</v>
      </c>
      <c r="Z800" s="3">
        <v>1</v>
      </c>
      <c r="AA800" s="3">
        <v>0</v>
      </c>
    </row>
    <row r="801" spans="1:27">
      <c r="A801" t="s">
        <v>892</v>
      </c>
      <c r="B801" s="3">
        <v>1</v>
      </c>
      <c r="C801" s="3">
        <v>0</v>
      </c>
      <c r="D801" s="1">
        <v>37590</v>
      </c>
      <c r="E801" s="1">
        <v>39082</v>
      </c>
      <c r="F801" s="2">
        <f t="shared" si="12"/>
        <v>4.084873374401095</v>
      </c>
      <c r="G801" s="3">
        <v>1</v>
      </c>
      <c r="H801" s="3">
        <v>1</v>
      </c>
      <c r="I801" s="3">
        <v>0</v>
      </c>
      <c r="J801" s="3">
        <v>0</v>
      </c>
      <c r="K801" s="3">
        <v>1</v>
      </c>
      <c r="L801" s="3">
        <v>0</v>
      </c>
      <c r="M801" s="3">
        <v>0</v>
      </c>
      <c r="N801" s="3">
        <v>1</v>
      </c>
      <c r="O801" s="3">
        <v>0</v>
      </c>
      <c r="P801" s="3">
        <v>0</v>
      </c>
      <c r="Q801" s="3">
        <v>0</v>
      </c>
      <c r="R801" s="3">
        <v>89.2</v>
      </c>
      <c r="S801" s="2">
        <v>11.9</v>
      </c>
      <c r="T801" t="s">
        <v>28</v>
      </c>
      <c r="U801" s="3">
        <v>1</v>
      </c>
      <c r="V801" s="3">
        <v>1</v>
      </c>
      <c r="W801" s="3">
        <v>0</v>
      </c>
      <c r="X801" s="3">
        <v>1</v>
      </c>
      <c r="Y801" s="3">
        <v>0</v>
      </c>
      <c r="Z801" s="3">
        <v>1</v>
      </c>
      <c r="AA801" s="3">
        <v>0</v>
      </c>
    </row>
    <row r="802" spans="1:27">
      <c r="A802" t="s">
        <v>893</v>
      </c>
      <c r="B802" s="3">
        <v>2</v>
      </c>
      <c r="C802" s="3">
        <v>0</v>
      </c>
      <c r="D802" s="1">
        <v>36985</v>
      </c>
      <c r="E802" s="1">
        <v>39082</v>
      </c>
      <c r="F802" s="2">
        <f t="shared" si="12"/>
        <v>5.7412731006160165</v>
      </c>
      <c r="G802" s="3">
        <v>1</v>
      </c>
      <c r="H802" s="3">
        <v>1</v>
      </c>
      <c r="I802" s="3">
        <v>0</v>
      </c>
      <c r="J802" s="3">
        <v>1</v>
      </c>
      <c r="K802" s="3">
        <v>0</v>
      </c>
      <c r="L802" s="3">
        <v>1</v>
      </c>
      <c r="M802" s="3">
        <v>0</v>
      </c>
      <c r="N802" s="3">
        <v>1</v>
      </c>
      <c r="O802" s="3">
        <v>0</v>
      </c>
      <c r="P802" s="3">
        <v>1</v>
      </c>
      <c r="Q802" s="3">
        <v>0</v>
      </c>
      <c r="R802" s="3">
        <v>89.2</v>
      </c>
      <c r="S802" s="2">
        <v>11.6</v>
      </c>
      <c r="T802" t="s">
        <v>28</v>
      </c>
      <c r="U802" s="3">
        <v>1</v>
      </c>
      <c r="V802" s="3">
        <v>1</v>
      </c>
      <c r="W802" s="3">
        <v>0</v>
      </c>
      <c r="X802" s="3">
        <v>0</v>
      </c>
      <c r="Y802" s="5" t="e">
        <v>#NULL!</v>
      </c>
      <c r="Z802" s="3">
        <v>1</v>
      </c>
      <c r="AA802" s="3">
        <v>0</v>
      </c>
    </row>
    <row r="803" spans="1:27">
      <c r="A803" t="s">
        <v>894</v>
      </c>
      <c r="B803" s="3">
        <v>2</v>
      </c>
      <c r="C803" s="3">
        <v>0</v>
      </c>
      <c r="D803" s="1">
        <v>36811</v>
      </c>
      <c r="E803" s="1">
        <v>39082</v>
      </c>
      <c r="F803" s="2">
        <f t="shared" si="12"/>
        <v>6.2176591375770016</v>
      </c>
      <c r="G803" s="3">
        <v>2</v>
      </c>
      <c r="H803" s="3">
        <v>1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1</v>
      </c>
      <c r="O803" s="3">
        <v>0</v>
      </c>
      <c r="P803" s="3">
        <v>0</v>
      </c>
      <c r="Q803" s="3">
        <v>0</v>
      </c>
      <c r="R803" s="3">
        <v>89.4</v>
      </c>
      <c r="S803" s="2">
        <v>11.7</v>
      </c>
      <c r="T803" t="s">
        <v>336</v>
      </c>
      <c r="U803" s="3">
        <v>1</v>
      </c>
      <c r="V803" s="3">
        <v>1</v>
      </c>
      <c r="W803" s="3">
        <v>1</v>
      </c>
      <c r="X803" s="3">
        <v>1</v>
      </c>
      <c r="Y803" s="3">
        <v>1</v>
      </c>
      <c r="Z803" s="3">
        <v>0</v>
      </c>
      <c r="AA803" s="3">
        <v>0</v>
      </c>
    </row>
    <row r="804" spans="1:27">
      <c r="A804" t="s">
        <v>895</v>
      </c>
      <c r="B804" s="3">
        <v>2</v>
      </c>
      <c r="C804" s="3">
        <v>0</v>
      </c>
      <c r="D804" s="1">
        <v>36756</v>
      </c>
      <c r="E804" s="1">
        <v>39082</v>
      </c>
      <c r="F804" s="2">
        <f t="shared" si="12"/>
        <v>6.368240930869268</v>
      </c>
      <c r="G804" s="3">
        <v>2</v>
      </c>
      <c r="H804" s="3">
        <v>1</v>
      </c>
      <c r="I804" s="3">
        <v>0</v>
      </c>
      <c r="J804" s="3">
        <v>0</v>
      </c>
      <c r="K804" s="3">
        <v>0</v>
      </c>
      <c r="L804" s="3">
        <v>1</v>
      </c>
      <c r="M804" s="3">
        <v>0</v>
      </c>
      <c r="N804" s="3">
        <v>0</v>
      </c>
      <c r="O804" s="3">
        <v>0</v>
      </c>
      <c r="P804" s="3">
        <v>0</v>
      </c>
      <c r="Q804" s="3">
        <v>0</v>
      </c>
      <c r="R804" s="3">
        <v>89.4</v>
      </c>
      <c r="S804" s="2">
        <v>11.5</v>
      </c>
      <c r="T804" t="s">
        <v>66</v>
      </c>
      <c r="U804" s="3">
        <v>1</v>
      </c>
      <c r="V804" s="3">
        <v>1</v>
      </c>
      <c r="W804" s="3">
        <v>1</v>
      </c>
      <c r="X804" s="3">
        <v>1</v>
      </c>
      <c r="Y804" s="3">
        <v>0</v>
      </c>
      <c r="Z804" s="3">
        <v>0</v>
      </c>
      <c r="AA804" s="3">
        <v>0</v>
      </c>
    </row>
    <row r="805" spans="1:27">
      <c r="A805" t="s">
        <v>896</v>
      </c>
      <c r="B805" s="3">
        <v>2</v>
      </c>
      <c r="C805" s="3">
        <v>0</v>
      </c>
      <c r="D805" s="1">
        <v>37267</v>
      </c>
      <c r="E805" s="1">
        <v>39082</v>
      </c>
      <c r="F805" s="2">
        <f t="shared" si="12"/>
        <v>4.9691991786447636</v>
      </c>
      <c r="G805" s="3">
        <v>2</v>
      </c>
      <c r="H805" s="3">
        <v>1</v>
      </c>
      <c r="I805" s="3">
        <v>0</v>
      </c>
      <c r="J805" s="3">
        <v>0</v>
      </c>
      <c r="K805" s="3">
        <v>0</v>
      </c>
      <c r="L805" s="3">
        <v>0</v>
      </c>
      <c r="M805" s="3">
        <v>0</v>
      </c>
      <c r="N805" s="3">
        <v>1</v>
      </c>
      <c r="O805" s="3">
        <v>1</v>
      </c>
      <c r="P805" s="3">
        <v>1</v>
      </c>
      <c r="Q805" s="3">
        <v>0</v>
      </c>
      <c r="R805" s="3">
        <v>89.4</v>
      </c>
      <c r="S805" s="2">
        <v>11.6</v>
      </c>
      <c r="T805" t="s">
        <v>28</v>
      </c>
      <c r="U805" s="3">
        <v>1</v>
      </c>
      <c r="V805" s="3">
        <v>1</v>
      </c>
      <c r="W805" s="3">
        <v>1</v>
      </c>
      <c r="X805" s="3">
        <v>1</v>
      </c>
      <c r="Y805" s="3">
        <v>0</v>
      </c>
      <c r="Z805" s="3">
        <v>0</v>
      </c>
      <c r="AA805" s="3">
        <v>0</v>
      </c>
    </row>
    <row r="806" spans="1:27">
      <c r="A806" t="s">
        <v>897</v>
      </c>
      <c r="B806" s="3">
        <v>1</v>
      </c>
      <c r="C806" s="3">
        <v>0</v>
      </c>
      <c r="D806" s="1">
        <v>37203</v>
      </c>
      <c r="E806" s="1">
        <v>39082</v>
      </c>
      <c r="F806" s="2">
        <f t="shared" si="12"/>
        <v>5.1444216290212186</v>
      </c>
      <c r="G806" s="3">
        <v>1</v>
      </c>
      <c r="H806" s="3">
        <v>0</v>
      </c>
      <c r="I806" s="3">
        <v>0</v>
      </c>
      <c r="J806" s="3">
        <v>0</v>
      </c>
      <c r="K806" s="3">
        <v>1</v>
      </c>
      <c r="L806" s="3">
        <v>0</v>
      </c>
      <c r="M806" s="3">
        <v>1</v>
      </c>
      <c r="N806" s="3">
        <v>0</v>
      </c>
      <c r="O806" s="3">
        <v>0</v>
      </c>
      <c r="P806" s="3">
        <v>1</v>
      </c>
      <c r="Q806" s="3">
        <v>0</v>
      </c>
      <c r="R806" s="3">
        <v>89.5</v>
      </c>
      <c r="S806" s="2">
        <v>12.7</v>
      </c>
      <c r="T806" t="s">
        <v>28</v>
      </c>
      <c r="U806" s="3">
        <v>1</v>
      </c>
      <c r="V806" s="3">
        <v>1</v>
      </c>
      <c r="W806" s="3">
        <v>0</v>
      </c>
      <c r="X806" s="3">
        <v>0</v>
      </c>
      <c r="Y806" s="3">
        <v>0</v>
      </c>
      <c r="Z806" s="3">
        <v>1</v>
      </c>
      <c r="AA806" s="3">
        <v>0</v>
      </c>
    </row>
    <row r="807" spans="1:27">
      <c r="A807" t="s">
        <v>898</v>
      </c>
      <c r="B807" s="3">
        <v>3</v>
      </c>
      <c r="C807" s="3">
        <v>0</v>
      </c>
      <c r="D807" s="1">
        <v>38011</v>
      </c>
      <c r="E807" s="1">
        <v>39082</v>
      </c>
      <c r="F807" s="2">
        <f t="shared" si="12"/>
        <v>2.9322381930184807</v>
      </c>
      <c r="G807" s="3">
        <v>1</v>
      </c>
      <c r="H807" s="3">
        <v>1</v>
      </c>
      <c r="I807" s="3">
        <v>0</v>
      </c>
      <c r="J807" s="3">
        <v>0</v>
      </c>
      <c r="K807" s="3">
        <v>0</v>
      </c>
      <c r="L807" s="3">
        <v>0</v>
      </c>
      <c r="M807" s="3">
        <v>0</v>
      </c>
      <c r="N807" s="3">
        <v>1</v>
      </c>
      <c r="O807" s="3">
        <v>0</v>
      </c>
      <c r="P807" s="3">
        <v>1</v>
      </c>
      <c r="Q807" s="3">
        <v>0</v>
      </c>
      <c r="R807" s="3">
        <v>89.5</v>
      </c>
      <c r="S807" s="2">
        <v>11.7</v>
      </c>
      <c r="T807" t="s">
        <v>44</v>
      </c>
      <c r="U807" s="3">
        <v>0</v>
      </c>
      <c r="V807" s="3">
        <v>0</v>
      </c>
      <c r="W807" s="3">
        <v>1</v>
      </c>
      <c r="X807" s="3">
        <v>1</v>
      </c>
      <c r="Y807" s="3">
        <v>1</v>
      </c>
      <c r="Z807" s="3">
        <v>1</v>
      </c>
      <c r="AA807" s="3">
        <v>0</v>
      </c>
    </row>
    <row r="808" spans="1:27">
      <c r="A808" t="s">
        <v>899</v>
      </c>
      <c r="B808" s="3">
        <v>1</v>
      </c>
      <c r="C808" s="3">
        <v>0</v>
      </c>
      <c r="D808" s="1">
        <v>37175</v>
      </c>
      <c r="E808" s="1">
        <v>39082</v>
      </c>
      <c r="F808" s="2">
        <f t="shared" si="12"/>
        <v>5.2210814510609174</v>
      </c>
      <c r="G808" s="3">
        <v>1</v>
      </c>
      <c r="H808" s="3">
        <v>0</v>
      </c>
      <c r="I808" s="3">
        <v>0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>
        <v>0</v>
      </c>
      <c r="P808" s="3">
        <v>1</v>
      </c>
      <c r="Q808" s="3">
        <v>0</v>
      </c>
      <c r="R808" s="3">
        <v>89.6</v>
      </c>
      <c r="S808" s="2">
        <v>11.4</v>
      </c>
      <c r="T808" t="s">
        <v>28</v>
      </c>
      <c r="U808" s="3">
        <v>1</v>
      </c>
      <c r="V808" s="3">
        <v>1</v>
      </c>
      <c r="W808" s="3">
        <v>1</v>
      </c>
      <c r="X808" s="3">
        <v>0</v>
      </c>
      <c r="Y808" s="3">
        <v>0</v>
      </c>
      <c r="Z808" s="3">
        <v>1</v>
      </c>
      <c r="AA808" s="3">
        <v>0</v>
      </c>
    </row>
    <row r="809" spans="1:27">
      <c r="A809" t="s">
        <v>900</v>
      </c>
      <c r="B809" s="3">
        <v>2</v>
      </c>
      <c r="C809" s="3">
        <v>0</v>
      </c>
      <c r="D809" s="1">
        <v>38057</v>
      </c>
      <c r="E809" s="1">
        <v>39082</v>
      </c>
      <c r="F809" s="2">
        <f t="shared" si="12"/>
        <v>2.8062970568104038</v>
      </c>
      <c r="G809" s="3">
        <v>2</v>
      </c>
      <c r="H809" s="3">
        <v>0</v>
      </c>
      <c r="I809" s="3">
        <v>0</v>
      </c>
      <c r="J809" s="3">
        <v>0</v>
      </c>
      <c r="K809" s="3">
        <v>0</v>
      </c>
      <c r="L809" s="3">
        <v>0</v>
      </c>
      <c r="M809" s="3">
        <v>0</v>
      </c>
      <c r="N809" s="3">
        <v>1</v>
      </c>
      <c r="O809" s="3">
        <v>0</v>
      </c>
      <c r="P809" s="3">
        <v>1</v>
      </c>
      <c r="Q809" s="3">
        <v>0</v>
      </c>
      <c r="R809" s="3">
        <v>89.6</v>
      </c>
      <c r="S809" s="2">
        <v>11.9</v>
      </c>
      <c r="T809" t="s">
        <v>28</v>
      </c>
      <c r="U809" s="3">
        <v>1</v>
      </c>
      <c r="V809" s="3">
        <v>1</v>
      </c>
      <c r="W809" s="3">
        <v>1</v>
      </c>
      <c r="X809" s="3">
        <v>0</v>
      </c>
      <c r="Y809" s="3">
        <v>0</v>
      </c>
      <c r="Z809" s="3">
        <v>0</v>
      </c>
      <c r="AA809" s="3">
        <v>0</v>
      </c>
    </row>
    <row r="810" spans="1:27">
      <c r="A810" t="s">
        <v>901</v>
      </c>
      <c r="B810" s="3">
        <v>3</v>
      </c>
      <c r="C810" s="3">
        <v>0</v>
      </c>
      <c r="D810" s="1">
        <v>37206</v>
      </c>
      <c r="E810" s="1">
        <v>39082</v>
      </c>
      <c r="F810" s="2">
        <f t="shared" si="12"/>
        <v>5.1362080766598224</v>
      </c>
      <c r="G810" s="3">
        <v>1</v>
      </c>
      <c r="H810" s="3">
        <v>1</v>
      </c>
      <c r="I810" s="3">
        <v>0</v>
      </c>
      <c r="J810" s="3">
        <v>0</v>
      </c>
      <c r="K810" s="3">
        <v>1</v>
      </c>
      <c r="L810" s="3">
        <v>0</v>
      </c>
      <c r="M810" s="3">
        <v>0</v>
      </c>
      <c r="N810" s="3">
        <v>1</v>
      </c>
      <c r="O810" s="3">
        <v>0</v>
      </c>
      <c r="P810" s="3">
        <v>1</v>
      </c>
      <c r="Q810" s="3">
        <v>0</v>
      </c>
      <c r="R810" s="3">
        <v>89.6</v>
      </c>
      <c r="S810" s="2">
        <v>12.5</v>
      </c>
      <c r="T810" t="s">
        <v>398</v>
      </c>
      <c r="U810" s="3">
        <v>1</v>
      </c>
      <c r="V810" s="3">
        <v>1</v>
      </c>
      <c r="W810" s="3">
        <v>0</v>
      </c>
      <c r="X810" s="3">
        <v>0</v>
      </c>
      <c r="Y810" s="3">
        <v>0</v>
      </c>
      <c r="Z810" s="3">
        <v>1</v>
      </c>
      <c r="AA810" s="3">
        <v>0</v>
      </c>
    </row>
    <row r="811" spans="1:27">
      <c r="A811" t="s">
        <v>902</v>
      </c>
      <c r="B811" s="3">
        <v>1</v>
      </c>
      <c r="C811" s="3">
        <v>0</v>
      </c>
      <c r="D811" s="1">
        <v>37287</v>
      </c>
      <c r="E811" s="1">
        <v>39082</v>
      </c>
      <c r="F811" s="2">
        <f t="shared" si="12"/>
        <v>4.9144421629021222</v>
      </c>
      <c r="G811" s="3">
        <v>1</v>
      </c>
      <c r="H811" s="3">
        <v>0</v>
      </c>
      <c r="I811" s="3">
        <v>1</v>
      </c>
      <c r="J811" s="3">
        <v>0</v>
      </c>
      <c r="K811" s="3">
        <v>0</v>
      </c>
      <c r="L811" s="3">
        <v>1</v>
      </c>
      <c r="M811" s="3">
        <v>0</v>
      </c>
      <c r="N811" s="3">
        <v>1</v>
      </c>
      <c r="O811" s="3">
        <v>0</v>
      </c>
      <c r="P811" s="3">
        <v>1</v>
      </c>
      <c r="Q811" s="3">
        <v>0</v>
      </c>
      <c r="R811" s="3">
        <v>89.6</v>
      </c>
      <c r="S811" s="2">
        <v>10.8</v>
      </c>
      <c r="T811" t="s">
        <v>28</v>
      </c>
      <c r="U811" s="3">
        <v>1</v>
      </c>
      <c r="V811" s="3">
        <v>1</v>
      </c>
      <c r="W811" s="3">
        <v>0</v>
      </c>
      <c r="X811" s="3">
        <v>0</v>
      </c>
      <c r="Y811" s="3">
        <v>0</v>
      </c>
      <c r="Z811" s="3">
        <v>1</v>
      </c>
      <c r="AA811" s="3">
        <v>0</v>
      </c>
    </row>
    <row r="812" spans="1:27">
      <c r="A812" t="s">
        <v>903</v>
      </c>
      <c r="B812" s="3">
        <v>3</v>
      </c>
      <c r="C812" s="3">
        <v>0</v>
      </c>
      <c r="D812" s="1">
        <v>38043</v>
      </c>
      <c r="E812" s="1">
        <v>39082</v>
      </c>
      <c r="F812" s="2">
        <f t="shared" si="12"/>
        <v>2.8446269678302532</v>
      </c>
      <c r="G812" s="3">
        <v>1</v>
      </c>
      <c r="H812" s="3">
        <v>0</v>
      </c>
      <c r="I812" s="3">
        <v>0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3">
        <v>0</v>
      </c>
      <c r="Q812" s="3">
        <v>0</v>
      </c>
      <c r="R812" s="3">
        <v>89.8</v>
      </c>
      <c r="S812" s="2">
        <v>12.7</v>
      </c>
      <c r="T812" t="s">
        <v>28</v>
      </c>
      <c r="U812" s="3">
        <v>0</v>
      </c>
      <c r="V812" s="3">
        <v>1</v>
      </c>
      <c r="W812" s="3">
        <v>1</v>
      </c>
      <c r="X812" s="3">
        <v>1</v>
      </c>
      <c r="Y812" s="3">
        <v>1</v>
      </c>
      <c r="Z812" s="3">
        <v>1</v>
      </c>
      <c r="AA812" s="3">
        <v>0</v>
      </c>
    </row>
    <row r="813" spans="1:27">
      <c r="A813" t="s">
        <v>904</v>
      </c>
      <c r="B813" s="3">
        <v>2</v>
      </c>
      <c r="C813" s="3">
        <v>0</v>
      </c>
      <c r="D813" s="1">
        <v>37066</v>
      </c>
      <c r="E813" s="1">
        <v>39082</v>
      </c>
      <c r="F813" s="2">
        <f t="shared" si="12"/>
        <v>5.5195071868583163</v>
      </c>
      <c r="G813" s="3">
        <v>2</v>
      </c>
      <c r="H813" s="3">
        <v>1</v>
      </c>
      <c r="I813" s="3">
        <v>0</v>
      </c>
      <c r="J813" s="3">
        <v>0</v>
      </c>
      <c r="K813" s="3">
        <v>0</v>
      </c>
      <c r="L813" s="3">
        <v>1</v>
      </c>
      <c r="M813" s="3">
        <v>0</v>
      </c>
      <c r="N813" s="3">
        <v>1</v>
      </c>
      <c r="O813" s="3">
        <v>0</v>
      </c>
      <c r="P813" s="3">
        <v>0</v>
      </c>
      <c r="Q813" s="3">
        <v>0</v>
      </c>
      <c r="R813" s="3">
        <v>89.8</v>
      </c>
      <c r="S813" s="2">
        <v>10.9</v>
      </c>
      <c r="T813" t="s">
        <v>66</v>
      </c>
      <c r="U813" s="3">
        <v>1</v>
      </c>
      <c r="V813" s="3">
        <v>1</v>
      </c>
      <c r="W813" s="3">
        <v>1</v>
      </c>
      <c r="X813" s="3">
        <v>1</v>
      </c>
      <c r="Y813" s="3">
        <v>1</v>
      </c>
      <c r="Z813" s="3">
        <v>0</v>
      </c>
      <c r="AA813" s="3">
        <v>0</v>
      </c>
    </row>
    <row r="814" spans="1:27">
      <c r="A814" t="s">
        <v>905</v>
      </c>
      <c r="B814" s="3">
        <v>2</v>
      </c>
      <c r="C814" s="3">
        <v>0</v>
      </c>
      <c r="D814" s="1">
        <v>37433</v>
      </c>
      <c r="E814" s="1">
        <v>39082</v>
      </c>
      <c r="F814" s="2">
        <f t="shared" si="12"/>
        <v>4.514715947980835</v>
      </c>
      <c r="G814" s="3">
        <v>1</v>
      </c>
      <c r="H814" s="3">
        <v>1</v>
      </c>
      <c r="I814" s="3">
        <v>1</v>
      </c>
      <c r="J814" s="3">
        <v>1</v>
      </c>
      <c r="K814" s="3">
        <v>0</v>
      </c>
      <c r="L814" s="3">
        <v>0</v>
      </c>
      <c r="M814" s="3">
        <v>0</v>
      </c>
      <c r="N814" s="3">
        <v>1</v>
      </c>
      <c r="O814" s="3">
        <v>0</v>
      </c>
      <c r="P814" s="3">
        <v>0</v>
      </c>
      <c r="Q814" s="3">
        <v>0</v>
      </c>
      <c r="R814" s="3">
        <v>89.8</v>
      </c>
      <c r="S814" s="2">
        <v>11.5</v>
      </c>
      <c r="T814" t="s">
        <v>188</v>
      </c>
      <c r="U814" s="3">
        <v>1</v>
      </c>
      <c r="V814" s="3">
        <v>1</v>
      </c>
      <c r="W814" s="3">
        <v>1</v>
      </c>
      <c r="X814" s="3">
        <v>1</v>
      </c>
      <c r="Y814" s="3">
        <v>0</v>
      </c>
      <c r="Z814" s="3">
        <v>1</v>
      </c>
      <c r="AA814" s="3">
        <v>0</v>
      </c>
    </row>
    <row r="815" spans="1:27">
      <c r="A815" t="s">
        <v>906</v>
      </c>
      <c r="B815" s="3">
        <v>3</v>
      </c>
      <c r="C815" s="3">
        <v>0</v>
      </c>
      <c r="D815" s="1">
        <v>37089</v>
      </c>
      <c r="E815" s="1">
        <v>39082</v>
      </c>
      <c r="F815" s="2">
        <f t="shared" si="12"/>
        <v>5.4565366187542779</v>
      </c>
      <c r="G815" s="3">
        <v>2</v>
      </c>
      <c r="H815" s="3">
        <v>0</v>
      </c>
      <c r="I815" s="3">
        <v>0</v>
      </c>
      <c r="J815" s="3">
        <v>0</v>
      </c>
      <c r="K815" s="3">
        <v>0</v>
      </c>
      <c r="L815" s="3">
        <v>0</v>
      </c>
      <c r="M815" s="3">
        <v>0</v>
      </c>
      <c r="N815" s="3">
        <v>1</v>
      </c>
      <c r="O815" s="3">
        <v>0</v>
      </c>
      <c r="P815" s="3">
        <v>1</v>
      </c>
      <c r="Q815" s="3">
        <v>0</v>
      </c>
      <c r="R815" s="3">
        <v>89.9</v>
      </c>
      <c r="S815" s="2">
        <v>11.5</v>
      </c>
      <c r="T815" t="s">
        <v>283</v>
      </c>
      <c r="U815" s="3">
        <v>1</v>
      </c>
      <c r="V815" s="3">
        <v>1</v>
      </c>
      <c r="W815" s="3">
        <v>1</v>
      </c>
      <c r="X815" s="3">
        <v>0</v>
      </c>
      <c r="Y815" s="3">
        <v>0</v>
      </c>
      <c r="Z815" s="3">
        <v>0</v>
      </c>
      <c r="AA815" s="3">
        <v>0</v>
      </c>
    </row>
    <row r="816" spans="1:27">
      <c r="A816" t="s">
        <v>403</v>
      </c>
      <c r="B816" s="3">
        <v>2</v>
      </c>
      <c r="C816" s="3">
        <v>0</v>
      </c>
      <c r="D816" s="1">
        <v>38125</v>
      </c>
      <c r="E816" s="1">
        <v>39082</v>
      </c>
      <c r="F816" s="2">
        <f t="shared" si="12"/>
        <v>2.6201232032854209</v>
      </c>
      <c r="G816" s="3">
        <v>2</v>
      </c>
      <c r="H816" s="3">
        <v>1</v>
      </c>
      <c r="I816" s="3">
        <v>0</v>
      </c>
      <c r="J816" s="3">
        <v>0</v>
      </c>
      <c r="K816" s="3">
        <v>0</v>
      </c>
      <c r="L816" s="3">
        <v>0</v>
      </c>
      <c r="M816" s="3">
        <v>0</v>
      </c>
      <c r="N816" s="3">
        <v>1</v>
      </c>
      <c r="O816" s="3">
        <v>0</v>
      </c>
      <c r="P816" s="3">
        <v>1</v>
      </c>
      <c r="Q816" s="3">
        <v>0</v>
      </c>
      <c r="R816" s="3">
        <v>89.9</v>
      </c>
      <c r="S816" s="2">
        <v>11</v>
      </c>
      <c r="T816" t="s">
        <v>28</v>
      </c>
      <c r="U816" s="3">
        <v>0</v>
      </c>
      <c r="V816" s="3">
        <v>0</v>
      </c>
      <c r="W816" s="3">
        <v>1</v>
      </c>
      <c r="X816" s="3">
        <v>1</v>
      </c>
      <c r="Y816" s="3">
        <v>0</v>
      </c>
      <c r="Z816" s="3">
        <v>0</v>
      </c>
      <c r="AA816" s="3">
        <v>0</v>
      </c>
    </row>
    <row r="817" spans="1:27">
      <c r="A817" t="s">
        <v>907</v>
      </c>
      <c r="B817" s="3">
        <v>1</v>
      </c>
      <c r="C817" s="3">
        <v>0</v>
      </c>
      <c r="D817" s="1">
        <v>37378</v>
      </c>
      <c r="E817" s="1">
        <v>39082</v>
      </c>
      <c r="F817" s="2">
        <f t="shared" si="12"/>
        <v>4.6652977412731005</v>
      </c>
      <c r="G817" s="3">
        <v>2</v>
      </c>
      <c r="H817" s="3">
        <v>0</v>
      </c>
      <c r="I817" s="3">
        <v>1</v>
      </c>
      <c r="J817" s="3">
        <v>1</v>
      </c>
      <c r="K817" s="3">
        <v>0</v>
      </c>
      <c r="L817" s="3">
        <v>0</v>
      </c>
      <c r="M817" s="3">
        <v>1</v>
      </c>
      <c r="N817" s="3">
        <v>1</v>
      </c>
      <c r="O817" s="3">
        <v>0</v>
      </c>
      <c r="P817" s="3">
        <v>1</v>
      </c>
      <c r="Q817" s="3">
        <v>0</v>
      </c>
      <c r="R817" s="3">
        <v>89.9</v>
      </c>
      <c r="S817" s="2">
        <v>11.7</v>
      </c>
      <c r="T817" t="s">
        <v>28</v>
      </c>
      <c r="U817" s="3">
        <v>1</v>
      </c>
      <c r="V817" s="3">
        <v>1</v>
      </c>
      <c r="W817" s="3">
        <v>0</v>
      </c>
      <c r="X817" s="3">
        <v>0</v>
      </c>
      <c r="Y817" s="3">
        <v>0</v>
      </c>
      <c r="Z817" s="3">
        <v>0</v>
      </c>
      <c r="AA817" s="3">
        <v>0</v>
      </c>
    </row>
    <row r="818" spans="1:27">
      <c r="A818" t="s">
        <v>908</v>
      </c>
      <c r="B818" s="3">
        <v>2</v>
      </c>
      <c r="C818" s="3">
        <v>0</v>
      </c>
      <c r="D818" s="1">
        <v>37580</v>
      </c>
      <c r="E818" s="1">
        <v>39082</v>
      </c>
      <c r="F818" s="2">
        <f t="shared" si="12"/>
        <v>4.1122518822724166</v>
      </c>
      <c r="G818" s="3">
        <v>1</v>
      </c>
      <c r="H818" s="3">
        <v>1</v>
      </c>
      <c r="I818" s="3">
        <v>0</v>
      </c>
      <c r="J818" s="3">
        <v>0</v>
      </c>
      <c r="K818" s="3">
        <v>0</v>
      </c>
      <c r="L818" s="3">
        <v>0</v>
      </c>
      <c r="M818" s="3">
        <v>0</v>
      </c>
      <c r="N818" s="3">
        <v>1</v>
      </c>
      <c r="O818" s="3">
        <v>0</v>
      </c>
      <c r="P818" s="3">
        <v>1</v>
      </c>
      <c r="Q818" s="3">
        <v>0</v>
      </c>
      <c r="R818" s="3">
        <v>90</v>
      </c>
      <c r="S818" s="2">
        <v>11.1</v>
      </c>
      <c r="T818" t="s">
        <v>28</v>
      </c>
      <c r="U818" s="3">
        <v>1</v>
      </c>
      <c r="V818" s="3">
        <v>1</v>
      </c>
      <c r="W818" s="3">
        <v>0</v>
      </c>
      <c r="X818" s="3">
        <v>0</v>
      </c>
      <c r="Y818" s="3">
        <v>0</v>
      </c>
      <c r="Z818" s="3">
        <v>1</v>
      </c>
      <c r="AA818" s="3">
        <v>0</v>
      </c>
    </row>
    <row r="819" spans="1:27">
      <c r="A819" t="s">
        <v>909</v>
      </c>
      <c r="B819" s="3">
        <v>2</v>
      </c>
      <c r="C819" s="3">
        <v>0</v>
      </c>
      <c r="D819" s="1">
        <v>36945</v>
      </c>
      <c r="E819" s="1">
        <v>39082</v>
      </c>
      <c r="F819" s="2">
        <f t="shared" si="12"/>
        <v>5.8507871321013001</v>
      </c>
      <c r="G819" s="3">
        <v>2</v>
      </c>
      <c r="H819" s="3">
        <v>0</v>
      </c>
      <c r="I819" s="3">
        <v>0</v>
      </c>
      <c r="J819" s="3">
        <v>0</v>
      </c>
      <c r="K819" s="3">
        <v>0</v>
      </c>
      <c r="L819" s="3">
        <v>0</v>
      </c>
      <c r="M819" s="3">
        <v>0</v>
      </c>
      <c r="N819" s="3">
        <v>0</v>
      </c>
      <c r="O819" s="3">
        <v>0</v>
      </c>
      <c r="P819" s="3">
        <v>0</v>
      </c>
      <c r="Q819" s="3">
        <v>0</v>
      </c>
      <c r="R819" s="3">
        <v>90.1</v>
      </c>
      <c r="S819" s="2">
        <v>12.3</v>
      </c>
      <c r="T819" t="s">
        <v>28</v>
      </c>
      <c r="U819" s="3">
        <v>0</v>
      </c>
      <c r="V819" s="3">
        <v>0</v>
      </c>
      <c r="W819" s="3">
        <v>1</v>
      </c>
      <c r="X819" s="3">
        <v>1</v>
      </c>
      <c r="Y819" s="3">
        <v>0</v>
      </c>
      <c r="Z819" s="3">
        <v>0</v>
      </c>
      <c r="AA819" s="3">
        <v>0</v>
      </c>
    </row>
    <row r="820" spans="1:27">
      <c r="A820" t="s">
        <v>910</v>
      </c>
      <c r="B820" s="3">
        <v>1</v>
      </c>
      <c r="C820" s="3">
        <v>0</v>
      </c>
      <c r="D820" s="1">
        <v>37038</v>
      </c>
      <c r="E820" s="1">
        <v>39082</v>
      </c>
      <c r="F820" s="2">
        <f t="shared" si="12"/>
        <v>5.5961670088980151</v>
      </c>
      <c r="G820" s="3">
        <v>1</v>
      </c>
      <c r="H820" s="3">
        <v>1</v>
      </c>
      <c r="I820" s="3">
        <v>0</v>
      </c>
      <c r="J820" s="3">
        <v>0</v>
      </c>
      <c r="K820" s="3">
        <v>0</v>
      </c>
      <c r="L820" s="3">
        <v>0</v>
      </c>
      <c r="M820" s="3">
        <v>0</v>
      </c>
      <c r="N820" s="3">
        <v>1</v>
      </c>
      <c r="O820" s="3">
        <v>0</v>
      </c>
      <c r="P820" s="3">
        <v>1</v>
      </c>
      <c r="Q820" s="3">
        <v>0</v>
      </c>
      <c r="R820" s="3">
        <v>90.1</v>
      </c>
      <c r="S820" s="2">
        <v>11.6</v>
      </c>
      <c r="T820" t="s">
        <v>28</v>
      </c>
      <c r="U820" s="3">
        <v>1</v>
      </c>
      <c r="V820" s="3">
        <v>0</v>
      </c>
      <c r="W820" s="3">
        <v>1</v>
      </c>
      <c r="X820" s="3">
        <v>1</v>
      </c>
      <c r="Y820" s="3">
        <v>0</v>
      </c>
      <c r="Z820" s="3">
        <v>1</v>
      </c>
      <c r="AA820" s="3">
        <v>0</v>
      </c>
    </row>
    <row r="821" spans="1:27">
      <c r="A821" t="s">
        <v>911</v>
      </c>
      <c r="B821" s="3">
        <v>1</v>
      </c>
      <c r="C821" s="3">
        <v>0</v>
      </c>
      <c r="D821" s="1">
        <v>37322</v>
      </c>
      <c r="E821" s="1">
        <v>39082</v>
      </c>
      <c r="F821" s="2">
        <f t="shared" si="12"/>
        <v>4.8186173853524981</v>
      </c>
      <c r="G821" s="3">
        <v>2</v>
      </c>
      <c r="H821" s="3">
        <v>0</v>
      </c>
      <c r="I821" s="3">
        <v>0</v>
      </c>
      <c r="J821" s="3">
        <v>0</v>
      </c>
      <c r="K821" s="3">
        <v>0</v>
      </c>
      <c r="L821" s="3">
        <v>0</v>
      </c>
      <c r="M821" s="3">
        <v>0</v>
      </c>
      <c r="N821" s="3">
        <v>1</v>
      </c>
      <c r="O821" s="3">
        <v>0</v>
      </c>
      <c r="P821" s="3">
        <v>0</v>
      </c>
      <c r="Q821" s="3">
        <v>0</v>
      </c>
      <c r="R821" s="3">
        <v>90.2</v>
      </c>
      <c r="S821" s="2">
        <v>11.5</v>
      </c>
      <c r="T821" t="s">
        <v>28</v>
      </c>
      <c r="U821" s="3">
        <v>1</v>
      </c>
      <c r="V821" s="3">
        <v>1</v>
      </c>
      <c r="W821" s="3">
        <v>1</v>
      </c>
      <c r="X821" s="3">
        <v>1</v>
      </c>
      <c r="Y821" s="3">
        <v>0</v>
      </c>
      <c r="Z821" s="3">
        <v>0</v>
      </c>
      <c r="AA821" s="3">
        <v>0</v>
      </c>
    </row>
    <row r="822" spans="1:27">
      <c r="A822" t="s">
        <v>912</v>
      </c>
      <c r="B822" s="3">
        <v>1</v>
      </c>
      <c r="C822" s="3">
        <v>0</v>
      </c>
      <c r="D822" s="1">
        <v>37139</v>
      </c>
      <c r="E822" s="1">
        <v>39082</v>
      </c>
      <c r="F822" s="2">
        <f t="shared" si="12"/>
        <v>5.3196440793976727</v>
      </c>
      <c r="G822" s="3">
        <v>1</v>
      </c>
      <c r="H822" s="3">
        <v>1</v>
      </c>
      <c r="I822" s="3">
        <v>0</v>
      </c>
      <c r="J822" s="3">
        <v>0</v>
      </c>
      <c r="K822" s="3">
        <v>1</v>
      </c>
      <c r="L822" s="3">
        <v>1</v>
      </c>
      <c r="M822" s="3">
        <v>0</v>
      </c>
      <c r="N822" s="3">
        <v>1</v>
      </c>
      <c r="O822" s="3">
        <v>0</v>
      </c>
      <c r="P822" s="3">
        <v>1</v>
      </c>
      <c r="Q822" s="3">
        <v>0</v>
      </c>
      <c r="R822" s="3">
        <v>90.2</v>
      </c>
      <c r="S822" s="2">
        <v>11.8</v>
      </c>
      <c r="T822" t="s">
        <v>913</v>
      </c>
      <c r="U822" s="3">
        <v>1</v>
      </c>
      <c r="V822" s="3">
        <v>1</v>
      </c>
      <c r="W822" s="3">
        <v>0</v>
      </c>
      <c r="X822" s="3">
        <v>0</v>
      </c>
      <c r="Y822" s="3">
        <v>0</v>
      </c>
      <c r="Z822" s="3">
        <v>1</v>
      </c>
      <c r="AA822" s="3">
        <v>0</v>
      </c>
    </row>
    <row r="823" spans="1:27">
      <c r="A823" t="s">
        <v>914</v>
      </c>
      <c r="B823" s="3">
        <v>1</v>
      </c>
      <c r="C823" s="3">
        <v>0</v>
      </c>
      <c r="D823" s="1">
        <v>36973</v>
      </c>
      <c r="E823" s="1">
        <v>39082</v>
      </c>
      <c r="F823" s="2">
        <f t="shared" si="12"/>
        <v>5.7741273100616013</v>
      </c>
      <c r="G823" s="3">
        <v>2</v>
      </c>
      <c r="H823" s="3">
        <v>1</v>
      </c>
      <c r="I823" s="3">
        <v>0</v>
      </c>
      <c r="J823" s="3">
        <v>0</v>
      </c>
      <c r="K823" s="3">
        <v>1</v>
      </c>
      <c r="L823" s="3">
        <v>1</v>
      </c>
      <c r="M823" s="3">
        <v>1</v>
      </c>
      <c r="N823" s="3">
        <v>1</v>
      </c>
      <c r="O823" s="3">
        <v>0</v>
      </c>
      <c r="P823" s="3">
        <v>1</v>
      </c>
      <c r="Q823" s="3">
        <v>0</v>
      </c>
      <c r="R823" s="3">
        <v>90.2</v>
      </c>
      <c r="S823" s="2">
        <v>12.4</v>
      </c>
      <c r="T823" t="s">
        <v>689</v>
      </c>
      <c r="U823" s="3">
        <v>1</v>
      </c>
      <c r="V823" s="3">
        <v>1</v>
      </c>
      <c r="W823" s="3">
        <v>0</v>
      </c>
      <c r="X823" s="3">
        <v>0</v>
      </c>
      <c r="Y823" s="3">
        <v>0</v>
      </c>
      <c r="Z823" s="3">
        <v>0</v>
      </c>
      <c r="AA823" s="3">
        <v>0</v>
      </c>
    </row>
    <row r="824" spans="1:27">
      <c r="A824" t="s">
        <v>915</v>
      </c>
      <c r="B824" s="3">
        <v>3</v>
      </c>
      <c r="C824" s="3">
        <v>0</v>
      </c>
      <c r="D824" s="1">
        <v>38032</v>
      </c>
      <c r="E824" s="1">
        <v>39082</v>
      </c>
      <c r="F824" s="2">
        <f t="shared" si="12"/>
        <v>2.8747433264887063</v>
      </c>
      <c r="G824" s="3">
        <v>2</v>
      </c>
      <c r="H824" s="3">
        <v>1</v>
      </c>
      <c r="I824" s="3">
        <v>0</v>
      </c>
      <c r="J824" s="3">
        <v>0</v>
      </c>
      <c r="K824" s="3">
        <v>0</v>
      </c>
      <c r="L824" s="3">
        <v>0</v>
      </c>
      <c r="M824" s="3">
        <v>0</v>
      </c>
      <c r="N824" s="3">
        <v>1</v>
      </c>
      <c r="O824" s="3">
        <v>0</v>
      </c>
      <c r="P824" s="3">
        <v>0</v>
      </c>
      <c r="Q824" s="3">
        <v>0</v>
      </c>
      <c r="R824" s="3">
        <v>90.3</v>
      </c>
      <c r="S824" s="2">
        <v>12.5</v>
      </c>
      <c r="T824" t="s">
        <v>842</v>
      </c>
      <c r="U824" s="3">
        <v>0</v>
      </c>
      <c r="V824" s="3">
        <v>0</v>
      </c>
      <c r="W824" s="3">
        <v>1</v>
      </c>
      <c r="X824" s="3">
        <v>1</v>
      </c>
      <c r="Y824" s="3">
        <v>0</v>
      </c>
      <c r="Z824" s="3">
        <v>0</v>
      </c>
      <c r="AA824" s="3">
        <v>0</v>
      </c>
    </row>
    <row r="825" spans="1:27">
      <c r="A825" t="s">
        <v>916</v>
      </c>
      <c r="B825" s="3">
        <v>1</v>
      </c>
      <c r="C825" s="3">
        <v>0</v>
      </c>
      <c r="D825" s="1">
        <v>37419</v>
      </c>
      <c r="E825" s="1">
        <v>39082</v>
      </c>
      <c r="F825" s="2">
        <f t="shared" si="12"/>
        <v>4.5530458590006848</v>
      </c>
      <c r="G825" s="3">
        <v>2</v>
      </c>
      <c r="H825" s="3">
        <v>0</v>
      </c>
      <c r="I825" s="3">
        <v>1</v>
      </c>
      <c r="J825" s="3">
        <v>0</v>
      </c>
      <c r="K825" s="3">
        <v>1</v>
      </c>
      <c r="L825" s="3">
        <v>1</v>
      </c>
      <c r="M825" s="3">
        <v>0</v>
      </c>
      <c r="N825" s="3">
        <v>1</v>
      </c>
      <c r="O825" s="3">
        <v>0</v>
      </c>
      <c r="P825" s="3">
        <v>0</v>
      </c>
      <c r="Q825" s="3">
        <v>0</v>
      </c>
      <c r="R825" s="3">
        <v>90.3</v>
      </c>
      <c r="S825" s="2">
        <v>11.2</v>
      </c>
      <c r="T825" t="s">
        <v>92</v>
      </c>
      <c r="U825" s="3">
        <v>1</v>
      </c>
      <c r="V825" s="3">
        <v>1</v>
      </c>
      <c r="W825" s="3">
        <v>0</v>
      </c>
      <c r="X825" s="3">
        <v>0</v>
      </c>
      <c r="Y825" s="3">
        <v>0</v>
      </c>
      <c r="Z825" s="3">
        <v>0</v>
      </c>
      <c r="AA825" s="3">
        <v>0</v>
      </c>
    </row>
    <row r="826" spans="1:27">
      <c r="A826" t="s">
        <v>180</v>
      </c>
      <c r="B826" s="3">
        <v>2</v>
      </c>
      <c r="C826" s="3">
        <v>0</v>
      </c>
      <c r="D826" s="1">
        <v>38226</v>
      </c>
      <c r="E826" s="1">
        <v>39082</v>
      </c>
      <c r="F826" s="2">
        <f t="shared" si="12"/>
        <v>2.3436002737850785</v>
      </c>
      <c r="G826" s="3">
        <v>2</v>
      </c>
      <c r="H826" s="3">
        <v>1</v>
      </c>
      <c r="I826" s="3">
        <v>0</v>
      </c>
      <c r="J826" s="3">
        <v>0</v>
      </c>
      <c r="K826" s="3">
        <v>0</v>
      </c>
      <c r="L826" s="3">
        <v>0</v>
      </c>
      <c r="M826" s="3">
        <v>0</v>
      </c>
      <c r="N826" s="3">
        <v>1</v>
      </c>
      <c r="O826" s="3">
        <v>0</v>
      </c>
      <c r="P826" s="3">
        <v>0</v>
      </c>
      <c r="Q826" s="3">
        <v>0</v>
      </c>
      <c r="R826" s="3">
        <v>90.4</v>
      </c>
      <c r="S826" s="2">
        <v>11.9</v>
      </c>
      <c r="T826" t="s">
        <v>28</v>
      </c>
      <c r="U826" s="3">
        <v>1</v>
      </c>
      <c r="V826" s="3">
        <v>1</v>
      </c>
      <c r="W826" s="3">
        <v>1</v>
      </c>
      <c r="X826" s="3">
        <v>0</v>
      </c>
      <c r="Y826" s="3">
        <v>0</v>
      </c>
      <c r="Z826" s="3">
        <v>0</v>
      </c>
      <c r="AA826" s="3">
        <v>0</v>
      </c>
    </row>
    <row r="827" spans="1:27">
      <c r="A827" t="s">
        <v>917</v>
      </c>
      <c r="B827" s="3">
        <v>3</v>
      </c>
      <c r="C827" s="3">
        <v>1</v>
      </c>
      <c r="D827" s="1">
        <v>38101</v>
      </c>
      <c r="E827" s="1">
        <v>39082</v>
      </c>
      <c r="F827" s="2">
        <f t="shared" si="12"/>
        <v>2.6858316221765914</v>
      </c>
      <c r="G827" s="3">
        <v>2</v>
      </c>
      <c r="H827" s="3">
        <v>1</v>
      </c>
      <c r="I827" s="3">
        <v>0</v>
      </c>
      <c r="J827" s="3">
        <v>0</v>
      </c>
      <c r="K827" s="3">
        <v>0</v>
      </c>
      <c r="L827" s="3">
        <v>0</v>
      </c>
      <c r="M827" s="3">
        <v>1</v>
      </c>
      <c r="N827" s="3">
        <v>1</v>
      </c>
      <c r="O827" s="3">
        <v>0</v>
      </c>
      <c r="P827" s="3">
        <v>1</v>
      </c>
      <c r="Q827" s="3">
        <v>0</v>
      </c>
      <c r="R827" s="3">
        <v>90.4</v>
      </c>
      <c r="S827" s="2">
        <v>12.5</v>
      </c>
      <c r="T827" t="s">
        <v>28</v>
      </c>
      <c r="U827" s="3">
        <v>1</v>
      </c>
      <c r="V827" s="3">
        <v>1</v>
      </c>
      <c r="W827" s="3">
        <v>0</v>
      </c>
      <c r="X827" s="3">
        <v>0</v>
      </c>
      <c r="Y827" s="3">
        <v>0</v>
      </c>
      <c r="Z827" s="3">
        <v>0</v>
      </c>
      <c r="AA827" s="3">
        <v>0</v>
      </c>
    </row>
    <row r="828" spans="1:27">
      <c r="A828" t="s">
        <v>918</v>
      </c>
      <c r="B828" s="3">
        <v>1</v>
      </c>
      <c r="C828" s="3">
        <v>0</v>
      </c>
      <c r="D828" s="1">
        <v>37412</v>
      </c>
      <c r="E828" s="1">
        <v>39082</v>
      </c>
      <c r="F828" s="2">
        <f t="shared" si="12"/>
        <v>4.5722108145106093</v>
      </c>
      <c r="G828" s="3">
        <v>1</v>
      </c>
      <c r="H828" s="3">
        <v>0</v>
      </c>
      <c r="I828" s="3">
        <v>0</v>
      </c>
      <c r="J828" s="3">
        <v>1</v>
      </c>
      <c r="K828" s="3">
        <v>0</v>
      </c>
      <c r="L828" s="3">
        <v>0</v>
      </c>
      <c r="M828" s="3">
        <v>0</v>
      </c>
      <c r="N828" s="3">
        <v>1</v>
      </c>
      <c r="O828" s="3">
        <v>0</v>
      </c>
      <c r="P828" s="3">
        <v>1</v>
      </c>
      <c r="Q828" s="3">
        <v>0</v>
      </c>
      <c r="R828" s="3">
        <v>90.5</v>
      </c>
      <c r="S828" s="2">
        <v>11.7</v>
      </c>
      <c r="T828" t="s">
        <v>336</v>
      </c>
      <c r="U828" s="3">
        <v>1</v>
      </c>
      <c r="V828" s="3">
        <v>1</v>
      </c>
      <c r="W828" s="3">
        <v>0</v>
      </c>
      <c r="X828" s="3">
        <v>0</v>
      </c>
      <c r="Y828" s="3">
        <v>0</v>
      </c>
      <c r="Z828" s="3">
        <v>1</v>
      </c>
      <c r="AA828" s="3">
        <v>0</v>
      </c>
    </row>
    <row r="829" spans="1:27">
      <c r="A829" t="s">
        <v>919</v>
      </c>
      <c r="B829" s="3">
        <v>3</v>
      </c>
      <c r="C829" s="3">
        <v>0</v>
      </c>
      <c r="D829" s="1">
        <v>37257</v>
      </c>
      <c r="E829" s="1">
        <v>39082</v>
      </c>
      <c r="F829" s="2">
        <f t="shared" si="12"/>
        <v>4.9965776865160851</v>
      </c>
      <c r="G829" s="3">
        <v>1</v>
      </c>
      <c r="H829" s="3">
        <v>1</v>
      </c>
      <c r="I829" s="3">
        <v>0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>
        <v>0</v>
      </c>
      <c r="P829" s="3">
        <v>0</v>
      </c>
      <c r="Q829" s="3">
        <v>0</v>
      </c>
      <c r="R829" s="3">
        <v>90.6</v>
      </c>
      <c r="S829" s="2">
        <v>12.9</v>
      </c>
      <c r="T829" t="s">
        <v>28</v>
      </c>
      <c r="U829" s="3">
        <v>0</v>
      </c>
      <c r="V829" s="3">
        <v>0</v>
      </c>
      <c r="W829" s="3">
        <v>1</v>
      </c>
      <c r="X829" s="3">
        <v>1</v>
      </c>
      <c r="Y829" s="3">
        <v>0</v>
      </c>
      <c r="Z829" s="3">
        <v>1</v>
      </c>
      <c r="AA829" s="3">
        <v>0</v>
      </c>
    </row>
    <row r="830" spans="1:27">
      <c r="A830" t="s">
        <v>920</v>
      </c>
      <c r="B830" s="3">
        <v>1</v>
      </c>
      <c r="C830" s="3">
        <v>0</v>
      </c>
      <c r="D830" s="1">
        <v>37338</v>
      </c>
      <c r="E830" s="1">
        <v>39082</v>
      </c>
      <c r="F830" s="2">
        <f t="shared" si="12"/>
        <v>4.774811772758385</v>
      </c>
      <c r="G830" s="3">
        <v>1</v>
      </c>
      <c r="H830" s="3">
        <v>1</v>
      </c>
      <c r="I830" s="3">
        <v>0</v>
      </c>
      <c r="J830" s="3">
        <v>0</v>
      </c>
      <c r="K830" s="3">
        <v>0</v>
      </c>
      <c r="L830" s="3">
        <v>1</v>
      </c>
      <c r="M830" s="3">
        <v>0</v>
      </c>
      <c r="N830" s="3">
        <v>1</v>
      </c>
      <c r="O830" s="3">
        <v>0</v>
      </c>
      <c r="P830" s="3">
        <v>1</v>
      </c>
      <c r="Q830" s="3">
        <v>0</v>
      </c>
      <c r="R830" s="3">
        <v>90.7</v>
      </c>
      <c r="S830" s="2">
        <v>11.3</v>
      </c>
      <c r="T830" t="s">
        <v>44</v>
      </c>
      <c r="U830" s="3">
        <v>1</v>
      </c>
      <c r="V830" s="3">
        <v>1</v>
      </c>
      <c r="W830" s="3">
        <v>0</v>
      </c>
      <c r="X830" s="3">
        <v>0</v>
      </c>
      <c r="Y830" s="3">
        <v>0</v>
      </c>
      <c r="Z830" s="3">
        <v>1</v>
      </c>
      <c r="AA830" s="3">
        <v>0</v>
      </c>
    </row>
    <row r="831" spans="1:27">
      <c r="A831" t="s">
        <v>921</v>
      </c>
      <c r="B831" s="3">
        <v>3</v>
      </c>
      <c r="C831" s="3">
        <v>0</v>
      </c>
      <c r="D831" s="1">
        <v>37309</v>
      </c>
      <c r="E831" s="1">
        <v>39082</v>
      </c>
      <c r="F831" s="2">
        <f t="shared" si="12"/>
        <v>4.8542094455852158</v>
      </c>
      <c r="G831" s="3">
        <v>1</v>
      </c>
      <c r="H831" s="3">
        <v>1</v>
      </c>
      <c r="I831" s="3">
        <v>0</v>
      </c>
      <c r="J831" s="3">
        <v>0</v>
      </c>
      <c r="K831" s="3">
        <v>0</v>
      </c>
      <c r="L831" s="3">
        <v>0</v>
      </c>
      <c r="M831" s="3">
        <v>0</v>
      </c>
      <c r="N831" s="3">
        <v>1</v>
      </c>
      <c r="O831" s="3">
        <v>0</v>
      </c>
      <c r="P831" s="3">
        <v>1</v>
      </c>
      <c r="Q831" s="3">
        <v>0</v>
      </c>
      <c r="R831" s="3">
        <v>90.9</v>
      </c>
      <c r="S831" s="2">
        <v>12.7</v>
      </c>
      <c r="T831" t="s">
        <v>44</v>
      </c>
      <c r="U831" s="3">
        <v>1</v>
      </c>
      <c r="V831" s="3">
        <v>1</v>
      </c>
      <c r="W831" s="3">
        <v>0</v>
      </c>
      <c r="X831" s="3">
        <v>0</v>
      </c>
      <c r="Y831" s="3">
        <v>0</v>
      </c>
      <c r="Z831" s="3">
        <v>1</v>
      </c>
      <c r="AA831" s="3">
        <v>0</v>
      </c>
    </row>
    <row r="832" spans="1:27">
      <c r="A832" t="s">
        <v>922</v>
      </c>
      <c r="B832" s="3">
        <v>3</v>
      </c>
      <c r="C832" s="3">
        <v>0</v>
      </c>
      <c r="D832" s="1">
        <v>38179</v>
      </c>
      <c r="E832" s="1">
        <v>39082</v>
      </c>
      <c r="F832" s="2">
        <f t="shared" si="12"/>
        <v>2.4722792607802875</v>
      </c>
      <c r="G832" s="3">
        <v>2</v>
      </c>
      <c r="H832" s="3">
        <v>1</v>
      </c>
      <c r="I832" s="3">
        <v>0</v>
      </c>
      <c r="J832" s="3">
        <v>1</v>
      </c>
      <c r="K832" s="3">
        <v>0</v>
      </c>
      <c r="L832" s="3">
        <v>0</v>
      </c>
      <c r="M832" s="3">
        <v>1</v>
      </c>
      <c r="N832" s="3">
        <v>0</v>
      </c>
      <c r="O832" s="3">
        <v>0</v>
      </c>
      <c r="P832" s="3">
        <v>1</v>
      </c>
      <c r="Q832" s="3">
        <v>0</v>
      </c>
      <c r="R832" s="3">
        <v>90.9</v>
      </c>
      <c r="S832" s="2">
        <v>12.5</v>
      </c>
      <c r="T832" t="s">
        <v>28</v>
      </c>
      <c r="U832" s="3">
        <v>1</v>
      </c>
      <c r="V832" s="3">
        <v>1</v>
      </c>
      <c r="W832" s="3">
        <v>1</v>
      </c>
      <c r="X832" s="3">
        <v>1</v>
      </c>
      <c r="Y832" s="3">
        <v>1</v>
      </c>
      <c r="Z832" s="3">
        <v>0</v>
      </c>
      <c r="AA832" s="3">
        <v>0</v>
      </c>
    </row>
    <row r="833" spans="1:27">
      <c r="A833" t="s">
        <v>923</v>
      </c>
      <c r="B833" s="3">
        <v>1</v>
      </c>
      <c r="C833" s="3">
        <v>0</v>
      </c>
      <c r="D833" s="1">
        <v>37076</v>
      </c>
      <c r="E833" s="1">
        <v>39082</v>
      </c>
      <c r="F833" s="2">
        <f t="shared" si="12"/>
        <v>5.4921286789869956</v>
      </c>
      <c r="G833" s="3">
        <v>1</v>
      </c>
      <c r="H833" s="3">
        <v>0</v>
      </c>
      <c r="I833" s="3">
        <v>0</v>
      </c>
      <c r="J833" s="3">
        <v>0</v>
      </c>
      <c r="K833" s="3">
        <v>0</v>
      </c>
      <c r="L833" s="3">
        <v>0</v>
      </c>
      <c r="M833" s="3">
        <v>0</v>
      </c>
      <c r="N833" s="3">
        <v>1</v>
      </c>
      <c r="O833" s="3">
        <v>0</v>
      </c>
      <c r="P833" s="3">
        <v>0</v>
      </c>
      <c r="Q833" s="3">
        <v>0</v>
      </c>
      <c r="R833" s="3">
        <v>91</v>
      </c>
      <c r="S833" s="2">
        <v>12.5</v>
      </c>
      <c r="T833" t="s">
        <v>283</v>
      </c>
      <c r="U833" s="3">
        <v>1</v>
      </c>
      <c r="V833" s="3">
        <v>1</v>
      </c>
      <c r="W833" s="3">
        <v>1</v>
      </c>
      <c r="X833" s="3">
        <v>1</v>
      </c>
      <c r="Y833" s="3">
        <v>0</v>
      </c>
      <c r="Z833" s="3">
        <v>1</v>
      </c>
      <c r="AA833" s="3">
        <v>0</v>
      </c>
    </row>
    <row r="834" spans="1:27">
      <c r="A834" t="s">
        <v>924</v>
      </c>
      <c r="B834" s="3">
        <v>3</v>
      </c>
      <c r="C834" s="3">
        <v>0</v>
      </c>
      <c r="D834" s="1">
        <v>38297</v>
      </c>
      <c r="E834" s="1">
        <v>39082</v>
      </c>
      <c r="F834" s="2">
        <f t="shared" si="12"/>
        <v>2.1492128678986995</v>
      </c>
      <c r="G834" s="3">
        <v>1</v>
      </c>
      <c r="H834" s="3">
        <v>1</v>
      </c>
      <c r="I834" s="3">
        <v>0</v>
      </c>
      <c r="J834" s="3">
        <v>0</v>
      </c>
      <c r="K834" s="3">
        <v>0</v>
      </c>
      <c r="L834" s="3">
        <v>0</v>
      </c>
      <c r="M834" s="3">
        <v>0</v>
      </c>
      <c r="N834" s="3">
        <v>1</v>
      </c>
      <c r="O834" s="3">
        <v>0</v>
      </c>
      <c r="P834" s="3">
        <v>1</v>
      </c>
      <c r="Q834" s="3">
        <v>0</v>
      </c>
      <c r="R834" s="3">
        <v>91</v>
      </c>
      <c r="S834" s="2">
        <v>14</v>
      </c>
      <c r="T834" t="s">
        <v>28</v>
      </c>
      <c r="U834" s="3">
        <v>1</v>
      </c>
      <c r="V834" s="3">
        <v>0</v>
      </c>
      <c r="W834" s="3">
        <v>0</v>
      </c>
      <c r="X834" s="3">
        <v>0</v>
      </c>
      <c r="Y834" s="3">
        <v>0</v>
      </c>
      <c r="Z834" s="3">
        <v>1</v>
      </c>
      <c r="AA834" s="3">
        <v>0</v>
      </c>
    </row>
    <row r="835" spans="1:27">
      <c r="A835" t="s">
        <v>925</v>
      </c>
      <c r="B835" s="3">
        <v>1</v>
      </c>
      <c r="C835" s="3">
        <v>0</v>
      </c>
      <c r="D835" s="1">
        <v>38313</v>
      </c>
      <c r="E835" s="1">
        <v>39082</v>
      </c>
      <c r="F835" s="2">
        <f t="shared" ref="F835:F898" si="13">(E835-D835)/365.25</f>
        <v>2.1054072553045859</v>
      </c>
      <c r="G835" s="3">
        <v>1</v>
      </c>
      <c r="H835" s="3">
        <v>0</v>
      </c>
      <c r="I835" s="3">
        <v>1</v>
      </c>
      <c r="J835" s="3">
        <v>1</v>
      </c>
      <c r="K835" s="3">
        <v>1</v>
      </c>
      <c r="L835" s="3">
        <v>1</v>
      </c>
      <c r="M835" s="3">
        <v>0</v>
      </c>
      <c r="N835" s="3">
        <v>1</v>
      </c>
      <c r="O835" s="3">
        <v>0</v>
      </c>
      <c r="P835" s="3">
        <v>0</v>
      </c>
      <c r="Q835" s="3">
        <v>0</v>
      </c>
      <c r="R835" s="3">
        <v>91</v>
      </c>
      <c r="S835" s="2">
        <v>12.4</v>
      </c>
      <c r="T835" t="s">
        <v>92</v>
      </c>
      <c r="U835" s="3">
        <v>1</v>
      </c>
      <c r="V835" s="3">
        <v>1</v>
      </c>
      <c r="W835" s="3">
        <v>1</v>
      </c>
      <c r="X835" s="3">
        <v>1</v>
      </c>
      <c r="Y835" s="3">
        <v>0</v>
      </c>
      <c r="Z835" s="3">
        <v>1</v>
      </c>
      <c r="AA835" s="3">
        <v>0</v>
      </c>
    </row>
    <row r="836" spans="1:27">
      <c r="A836" t="s">
        <v>926</v>
      </c>
      <c r="B836" s="3">
        <v>2</v>
      </c>
      <c r="C836" s="3">
        <v>0</v>
      </c>
      <c r="D836" s="1">
        <v>37154</v>
      </c>
      <c r="E836" s="1">
        <v>39082</v>
      </c>
      <c r="F836" s="2">
        <f t="shared" si="13"/>
        <v>5.2785763175906917</v>
      </c>
      <c r="G836" s="3">
        <v>2</v>
      </c>
      <c r="H836" s="3">
        <v>1</v>
      </c>
      <c r="I836" s="3">
        <v>0</v>
      </c>
      <c r="J836" s="3">
        <v>1</v>
      </c>
      <c r="K836" s="3">
        <v>1</v>
      </c>
      <c r="L836" s="3">
        <v>0</v>
      </c>
      <c r="M836" s="3">
        <v>1</v>
      </c>
      <c r="N836" s="3">
        <v>1</v>
      </c>
      <c r="O836" s="3">
        <v>1</v>
      </c>
      <c r="P836" s="3">
        <v>1</v>
      </c>
      <c r="Q836" s="3">
        <v>0</v>
      </c>
      <c r="R836" s="3">
        <v>91.1</v>
      </c>
      <c r="S836" s="2">
        <v>11.8</v>
      </c>
      <c r="T836" t="s">
        <v>28</v>
      </c>
      <c r="U836" s="3">
        <v>1</v>
      </c>
      <c r="V836" s="3">
        <v>1</v>
      </c>
      <c r="W836" s="3">
        <v>0</v>
      </c>
      <c r="X836" s="3">
        <v>0</v>
      </c>
      <c r="Y836" s="3">
        <v>0</v>
      </c>
      <c r="Z836" s="3">
        <v>0</v>
      </c>
      <c r="AA836" s="3">
        <v>0</v>
      </c>
    </row>
    <row r="837" spans="1:27">
      <c r="A837" t="s">
        <v>927</v>
      </c>
      <c r="B837" s="3">
        <v>1</v>
      </c>
      <c r="C837" s="3">
        <v>0</v>
      </c>
      <c r="D837" s="1">
        <v>37520</v>
      </c>
      <c r="E837" s="1">
        <v>39082</v>
      </c>
      <c r="F837" s="2">
        <f t="shared" si="13"/>
        <v>4.2765229295003424</v>
      </c>
      <c r="G837" s="3">
        <v>1</v>
      </c>
      <c r="H837" s="3">
        <v>0</v>
      </c>
      <c r="I837" s="3">
        <v>0</v>
      </c>
      <c r="J837" s="3">
        <v>0</v>
      </c>
      <c r="K837" s="3">
        <v>0</v>
      </c>
      <c r="L837" s="3">
        <v>0</v>
      </c>
      <c r="M837" s="3">
        <v>0</v>
      </c>
      <c r="N837" s="3">
        <v>1</v>
      </c>
      <c r="O837" s="3">
        <v>1</v>
      </c>
      <c r="P837" s="3">
        <v>1</v>
      </c>
      <c r="Q837" s="3">
        <v>0</v>
      </c>
      <c r="R837" s="3">
        <v>91.2</v>
      </c>
      <c r="S837" s="2">
        <v>13.3</v>
      </c>
      <c r="T837" t="s">
        <v>398</v>
      </c>
      <c r="U837" s="3">
        <v>1</v>
      </c>
      <c r="V837" s="3">
        <v>1</v>
      </c>
      <c r="W837" s="3">
        <v>0</v>
      </c>
      <c r="X837" s="3">
        <v>0</v>
      </c>
      <c r="Y837" s="3">
        <v>0</v>
      </c>
      <c r="Z837" s="3">
        <v>1</v>
      </c>
      <c r="AA837" s="3">
        <v>0</v>
      </c>
    </row>
    <row r="838" spans="1:27">
      <c r="A838" t="s">
        <v>928</v>
      </c>
      <c r="B838" s="3">
        <v>2</v>
      </c>
      <c r="C838" s="3">
        <v>0</v>
      </c>
      <c r="D838" s="1">
        <v>37449</v>
      </c>
      <c r="E838" s="1">
        <v>39082</v>
      </c>
      <c r="F838" s="2">
        <f t="shared" si="13"/>
        <v>4.470910335386721</v>
      </c>
      <c r="G838" s="3">
        <v>2</v>
      </c>
      <c r="H838" s="3">
        <v>0</v>
      </c>
      <c r="I838" s="3">
        <v>0</v>
      </c>
      <c r="J838" s="3">
        <v>0</v>
      </c>
      <c r="K838" s="3">
        <v>0</v>
      </c>
      <c r="L838" s="3">
        <v>0</v>
      </c>
      <c r="M838" s="3">
        <v>0</v>
      </c>
      <c r="N838" s="3">
        <v>1</v>
      </c>
      <c r="O838" s="3">
        <v>0</v>
      </c>
      <c r="P838" s="3">
        <v>0</v>
      </c>
      <c r="Q838" s="3">
        <v>0</v>
      </c>
      <c r="R838" s="3">
        <v>91.2</v>
      </c>
      <c r="S838" s="2">
        <v>11.6</v>
      </c>
      <c r="T838" t="s">
        <v>59</v>
      </c>
      <c r="U838" s="3">
        <v>1</v>
      </c>
      <c r="V838" s="3">
        <v>0</v>
      </c>
      <c r="W838" s="3">
        <v>0</v>
      </c>
      <c r="X838" s="3">
        <v>0</v>
      </c>
      <c r="Y838" s="3">
        <v>0</v>
      </c>
      <c r="Z838" s="3">
        <v>0</v>
      </c>
      <c r="AA838" s="3">
        <v>0</v>
      </c>
    </row>
    <row r="839" spans="1:27">
      <c r="A839" t="s">
        <v>929</v>
      </c>
      <c r="B839" s="3">
        <v>3</v>
      </c>
      <c r="C839" s="3">
        <v>0</v>
      </c>
      <c r="D839" s="1">
        <v>38335</v>
      </c>
      <c r="E839" s="1">
        <v>39082</v>
      </c>
      <c r="F839" s="2">
        <f t="shared" si="13"/>
        <v>2.0451745379876796</v>
      </c>
      <c r="G839" s="3">
        <v>1</v>
      </c>
      <c r="H839" s="3">
        <v>1</v>
      </c>
      <c r="I839" s="3">
        <v>0</v>
      </c>
      <c r="J839" s="3">
        <v>0</v>
      </c>
      <c r="K839" s="3">
        <v>1</v>
      </c>
      <c r="L839" s="3">
        <v>0</v>
      </c>
      <c r="M839" s="3">
        <v>0</v>
      </c>
      <c r="N839" s="3">
        <v>1</v>
      </c>
      <c r="O839" s="3">
        <v>0</v>
      </c>
      <c r="P839" s="3">
        <v>0</v>
      </c>
      <c r="Q839" s="3">
        <v>0</v>
      </c>
      <c r="R839" s="3">
        <v>91.2</v>
      </c>
      <c r="S839" s="2">
        <v>12.2</v>
      </c>
      <c r="T839" t="s">
        <v>44</v>
      </c>
      <c r="U839" s="3">
        <v>1</v>
      </c>
      <c r="V839" s="3">
        <v>1</v>
      </c>
      <c r="W839" s="3">
        <v>1</v>
      </c>
      <c r="X839" s="3">
        <v>0</v>
      </c>
      <c r="Y839" s="3">
        <v>0</v>
      </c>
      <c r="Z839" s="3">
        <v>1</v>
      </c>
      <c r="AA839" s="3">
        <v>0</v>
      </c>
    </row>
    <row r="840" spans="1:27">
      <c r="A840" t="s">
        <v>930</v>
      </c>
      <c r="B840" s="3">
        <v>3</v>
      </c>
      <c r="C840" s="3">
        <v>0</v>
      </c>
      <c r="D840" s="1">
        <v>38032</v>
      </c>
      <c r="E840" s="1">
        <v>39082</v>
      </c>
      <c r="F840" s="2">
        <f t="shared" si="13"/>
        <v>2.8747433264887063</v>
      </c>
      <c r="G840" s="3">
        <v>1</v>
      </c>
      <c r="H840" s="3">
        <v>1</v>
      </c>
      <c r="I840" s="3">
        <v>0</v>
      </c>
      <c r="J840" s="3">
        <v>0</v>
      </c>
      <c r="K840" s="3">
        <v>0</v>
      </c>
      <c r="L840" s="3">
        <v>0</v>
      </c>
      <c r="M840" s="3">
        <v>0</v>
      </c>
      <c r="N840" s="3">
        <v>1</v>
      </c>
      <c r="O840" s="3">
        <v>0</v>
      </c>
      <c r="P840" s="3">
        <v>1</v>
      </c>
      <c r="Q840" s="3">
        <v>0</v>
      </c>
      <c r="R840" s="3">
        <v>91.2</v>
      </c>
      <c r="S840" s="2">
        <v>11.3</v>
      </c>
      <c r="T840" t="s">
        <v>28</v>
      </c>
      <c r="U840" s="3">
        <v>1</v>
      </c>
      <c r="V840" s="3">
        <v>1</v>
      </c>
      <c r="W840" s="3">
        <v>0</v>
      </c>
      <c r="X840" s="3">
        <v>0</v>
      </c>
      <c r="Y840" s="3">
        <v>0</v>
      </c>
      <c r="Z840" s="3">
        <v>1</v>
      </c>
      <c r="AA840" s="3">
        <v>0</v>
      </c>
    </row>
    <row r="841" spans="1:27">
      <c r="A841" t="s">
        <v>931</v>
      </c>
      <c r="B841" s="3">
        <v>2</v>
      </c>
      <c r="C841" s="3">
        <v>0</v>
      </c>
      <c r="D841" s="1">
        <v>36875</v>
      </c>
      <c r="E841" s="1">
        <v>39082</v>
      </c>
      <c r="F841" s="2">
        <f t="shared" si="13"/>
        <v>6.0424366872005475</v>
      </c>
      <c r="G841" s="3">
        <v>2</v>
      </c>
      <c r="H841" s="3">
        <v>1</v>
      </c>
      <c r="I841" s="3">
        <v>0</v>
      </c>
      <c r="J841" s="3">
        <v>0</v>
      </c>
      <c r="K841" s="3">
        <v>0</v>
      </c>
      <c r="L841" s="3">
        <v>0</v>
      </c>
      <c r="M841" s="3">
        <v>0</v>
      </c>
      <c r="N841" s="3">
        <v>1</v>
      </c>
      <c r="O841" s="3">
        <v>0</v>
      </c>
      <c r="P841" s="3">
        <v>0</v>
      </c>
      <c r="Q841" s="3">
        <v>0</v>
      </c>
      <c r="R841" s="3">
        <v>91.2</v>
      </c>
      <c r="S841" s="2">
        <v>10.8</v>
      </c>
      <c r="T841" t="s">
        <v>28</v>
      </c>
      <c r="U841" s="3">
        <v>1</v>
      </c>
      <c r="V841" s="3">
        <v>1</v>
      </c>
      <c r="W841" s="3">
        <v>1</v>
      </c>
      <c r="X841" s="3">
        <v>1</v>
      </c>
      <c r="Y841" s="3">
        <v>1</v>
      </c>
      <c r="Z841" s="3">
        <v>0</v>
      </c>
      <c r="AA841" s="3">
        <v>0</v>
      </c>
    </row>
    <row r="842" spans="1:27">
      <c r="A842" t="s">
        <v>932</v>
      </c>
      <c r="B842" s="3">
        <v>3</v>
      </c>
      <c r="C842" s="3">
        <v>0</v>
      </c>
      <c r="D842" s="1">
        <v>37118</v>
      </c>
      <c r="E842" s="1">
        <v>39082</v>
      </c>
      <c r="F842" s="2">
        <f t="shared" si="13"/>
        <v>5.377138945927447</v>
      </c>
      <c r="G842" s="3">
        <v>1</v>
      </c>
      <c r="H842" s="3">
        <v>0</v>
      </c>
      <c r="I842" s="3">
        <v>1</v>
      </c>
      <c r="J842" s="3">
        <v>0</v>
      </c>
      <c r="K842" s="3">
        <v>1</v>
      </c>
      <c r="L842" s="3">
        <v>0</v>
      </c>
      <c r="M842" s="3">
        <v>1</v>
      </c>
      <c r="N842" s="3">
        <v>1</v>
      </c>
      <c r="O842" s="3">
        <v>0</v>
      </c>
      <c r="P842" s="3">
        <v>0</v>
      </c>
      <c r="Q842" s="3">
        <v>0</v>
      </c>
      <c r="R842" s="3">
        <v>91.2</v>
      </c>
      <c r="S842" s="2">
        <v>12.6</v>
      </c>
      <c r="T842" t="s">
        <v>283</v>
      </c>
      <c r="U842" s="3">
        <v>1</v>
      </c>
      <c r="V842" s="3">
        <v>0</v>
      </c>
      <c r="W842" s="3">
        <v>1</v>
      </c>
      <c r="X842" s="3">
        <v>1</v>
      </c>
      <c r="Y842" s="3">
        <v>0</v>
      </c>
      <c r="Z842" s="3">
        <v>1</v>
      </c>
      <c r="AA842" s="3">
        <v>0</v>
      </c>
    </row>
    <row r="843" spans="1:27">
      <c r="A843" t="s">
        <v>933</v>
      </c>
      <c r="B843" s="3">
        <v>1</v>
      </c>
      <c r="C843" s="3">
        <v>0</v>
      </c>
      <c r="D843" s="1">
        <v>37434</v>
      </c>
      <c r="E843" s="1">
        <v>39082</v>
      </c>
      <c r="F843" s="2">
        <f t="shared" si="13"/>
        <v>4.5119780971937029</v>
      </c>
      <c r="G843" s="3">
        <v>2</v>
      </c>
      <c r="H843" s="3">
        <v>1</v>
      </c>
      <c r="I843" s="3">
        <v>0</v>
      </c>
      <c r="J843" s="3">
        <v>1</v>
      </c>
      <c r="K843" s="3">
        <v>0</v>
      </c>
      <c r="L843" s="3">
        <v>0</v>
      </c>
      <c r="M843" s="3">
        <v>0</v>
      </c>
      <c r="N843" s="3">
        <v>1</v>
      </c>
      <c r="O843" s="3">
        <v>0</v>
      </c>
      <c r="P843" s="3">
        <v>0</v>
      </c>
      <c r="Q843" s="3">
        <v>0</v>
      </c>
      <c r="R843" s="3">
        <v>91.3</v>
      </c>
      <c r="S843" s="2">
        <v>11.9</v>
      </c>
      <c r="T843" t="s">
        <v>689</v>
      </c>
      <c r="U843" s="3">
        <v>1</v>
      </c>
      <c r="V843" s="3">
        <v>1</v>
      </c>
      <c r="W843" s="3">
        <v>1</v>
      </c>
      <c r="X843" s="3">
        <v>1</v>
      </c>
      <c r="Y843" s="3">
        <v>0</v>
      </c>
      <c r="Z843" s="3">
        <v>0</v>
      </c>
      <c r="AA843" s="3">
        <v>0</v>
      </c>
    </row>
    <row r="844" spans="1:27">
      <c r="A844" t="s">
        <v>934</v>
      </c>
      <c r="B844" s="3">
        <v>1</v>
      </c>
      <c r="C844" s="3">
        <v>0</v>
      </c>
      <c r="D844" s="1">
        <v>38213</v>
      </c>
      <c r="E844" s="1">
        <v>39082</v>
      </c>
      <c r="F844" s="2">
        <f t="shared" si="13"/>
        <v>2.3791923340177958</v>
      </c>
      <c r="G844" s="3">
        <v>1</v>
      </c>
      <c r="H844" s="3">
        <v>0</v>
      </c>
      <c r="I844" s="3">
        <v>0</v>
      </c>
      <c r="J844" s="3">
        <v>1</v>
      </c>
      <c r="K844" s="3">
        <v>0</v>
      </c>
      <c r="L844" s="3">
        <v>0</v>
      </c>
      <c r="M844" s="3">
        <v>0</v>
      </c>
      <c r="N844" s="3">
        <v>1</v>
      </c>
      <c r="O844" s="3">
        <v>0</v>
      </c>
      <c r="P844" s="3">
        <v>1</v>
      </c>
      <c r="Q844" s="3">
        <v>0</v>
      </c>
      <c r="R844" s="3">
        <v>91.4</v>
      </c>
      <c r="S844" s="2">
        <v>12.9</v>
      </c>
      <c r="T844" t="s">
        <v>28</v>
      </c>
      <c r="U844" s="3">
        <v>1</v>
      </c>
      <c r="V844" s="3">
        <v>1</v>
      </c>
      <c r="W844" s="3">
        <v>0</v>
      </c>
      <c r="X844" s="3">
        <v>1</v>
      </c>
      <c r="Y844" s="3">
        <v>0</v>
      </c>
      <c r="Z844" s="3">
        <v>1</v>
      </c>
      <c r="AA844" s="3">
        <v>0</v>
      </c>
    </row>
    <row r="845" spans="1:27">
      <c r="A845" t="s">
        <v>935</v>
      </c>
      <c r="B845" s="3">
        <v>2</v>
      </c>
      <c r="C845" s="3">
        <v>0</v>
      </c>
      <c r="D845" s="1">
        <v>37036</v>
      </c>
      <c r="E845" s="1">
        <v>39082</v>
      </c>
      <c r="F845" s="2">
        <f t="shared" si="13"/>
        <v>5.6016427104722792</v>
      </c>
      <c r="G845" s="3">
        <v>1</v>
      </c>
      <c r="H845" s="3">
        <v>1</v>
      </c>
      <c r="I845" s="3">
        <v>0</v>
      </c>
      <c r="J845" s="3">
        <v>0</v>
      </c>
      <c r="K845" s="3">
        <v>0</v>
      </c>
      <c r="L845" s="3">
        <v>0</v>
      </c>
      <c r="M845" s="3">
        <v>0</v>
      </c>
      <c r="N845" s="3">
        <v>0</v>
      </c>
      <c r="O845" s="3">
        <v>0</v>
      </c>
      <c r="P845" s="3">
        <v>0</v>
      </c>
      <c r="Q845" s="3">
        <v>0</v>
      </c>
      <c r="R845" s="3">
        <v>91.5</v>
      </c>
      <c r="S845" s="2">
        <v>13</v>
      </c>
      <c r="T845" t="s">
        <v>28</v>
      </c>
      <c r="U845" s="3">
        <v>1</v>
      </c>
      <c r="V845" s="3">
        <v>1</v>
      </c>
      <c r="W845" s="3">
        <v>0</v>
      </c>
      <c r="X845" s="3">
        <v>0</v>
      </c>
      <c r="Y845" s="3">
        <v>0</v>
      </c>
      <c r="Z845" s="3">
        <v>1</v>
      </c>
      <c r="AA845" s="3">
        <v>0</v>
      </c>
    </row>
    <row r="846" spans="1:27">
      <c r="A846" t="s">
        <v>936</v>
      </c>
      <c r="B846" s="3">
        <v>1</v>
      </c>
      <c r="C846" s="3">
        <v>0</v>
      </c>
      <c r="D846" s="1">
        <v>38299</v>
      </c>
      <c r="E846" s="1">
        <v>39082</v>
      </c>
      <c r="F846" s="2">
        <f t="shared" si="13"/>
        <v>2.1437371663244353</v>
      </c>
      <c r="G846" s="3">
        <v>2</v>
      </c>
      <c r="H846" s="3">
        <v>0</v>
      </c>
      <c r="I846" s="3">
        <v>1</v>
      </c>
      <c r="J846" s="3">
        <v>0</v>
      </c>
      <c r="K846" s="3">
        <v>0</v>
      </c>
      <c r="L846" s="3">
        <v>0</v>
      </c>
      <c r="M846" s="3">
        <v>0</v>
      </c>
      <c r="N846" s="3">
        <v>0</v>
      </c>
      <c r="O846" s="3">
        <v>0</v>
      </c>
      <c r="P846" s="3">
        <v>0</v>
      </c>
      <c r="Q846" s="3">
        <v>0</v>
      </c>
      <c r="R846" s="3">
        <v>91.5</v>
      </c>
      <c r="S846" s="2">
        <v>12.7</v>
      </c>
      <c r="T846" t="s">
        <v>28</v>
      </c>
      <c r="U846" s="3">
        <v>0</v>
      </c>
      <c r="V846" s="3">
        <v>0</v>
      </c>
      <c r="W846" s="3">
        <v>1</v>
      </c>
      <c r="X846" s="3">
        <v>1</v>
      </c>
      <c r="Y846" s="3">
        <v>1</v>
      </c>
      <c r="Z846" s="3">
        <v>0</v>
      </c>
      <c r="AA846" s="3">
        <v>0</v>
      </c>
    </row>
    <row r="847" spans="1:27">
      <c r="A847" t="s">
        <v>937</v>
      </c>
      <c r="B847" s="3">
        <v>2</v>
      </c>
      <c r="C847" s="3">
        <v>0</v>
      </c>
      <c r="D847" s="1">
        <v>36978</v>
      </c>
      <c r="E847" s="1">
        <v>39082</v>
      </c>
      <c r="F847" s="2">
        <f t="shared" si="13"/>
        <v>5.760438056125941</v>
      </c>
      <c r="G847" s="3">
        <v>1</v>
      </c>
      <c r="H847" s="3">
        <v>1</v>
      </c>
      <c r="I847" s="3">
        <v>0</v>
      </c>
      <c r="J847" s="3">
        <v>0</v>
      </c>
      <c r="K847" s="3">
        <v>0</v>
      </c>
      <c r="L847" s="3">
        <v>0</v>
      </c>
      <c r="M847" s="3">
        <v>0</v>
      </c>
      <c r="N847" s="3">
        <v>0</v>
      </c>
      <c r="O847" s="3">
        <v>1</v>
      </c>
      <c r="P847" s="3">
        <v>1</v>
      </c>
      <c r="Q847" s="3">
        <v>0</v>
      </c>
      <c r="R847" s="3">
        <v>91.6</v>
      </c>
      <c r="S847" s="2">
        <v>12.3</v>
      </c>
      <c r="T847" t="s">
        <v>28</v>
      </c>
      <c r="U847" s="3">
        <v>1</v>
      </c>
      <c r="V847" s="3">
        <v>1</v>
      </c>
      <c r="W847" s="3">
        <v>1</v>
      </c>
      <c r="X847" s="3">
        <v>1</v>
      </c>
      <c r="Y847" s="3">
        <v>1</v>
      </c>
      <c r="Z847" s="3">
        <v>1</v>
      </c>
      <c r="AA847" s="3">
        <v>0</v>
      </c>
    </row>
    <row r="848" spans="1:27">
      <c r="A848" t="s">
        <v>938</v>
      </c>
      <c r="B848" s="3">
        <v>2</v>
      </c>
      <c r="C848" s="3">
        <v>0</v>
      </c>
      <c r="D848" s="1">
        <v>37035</v>
      </c>
      <c r="E848" s="1">
        <v>39082</v>
      </c>
      <c r="F848" s="2">
        <f t="shared" si="13"/>
        <v>5.6043805612594113</v>
      </c>
      <c r="G848" s="3">
        <v>2</v>
      </c>
      <c r="H848" s="3">
        <v>1</v>
      </c>
      <c r="I848" s="3">
        <v>0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3">
        <v>0</v>
      </c>
      <c r="Q848" s="3">
        <v>0</v>
      </c>
      <c r="R848" s="3">
        <v>91.6</v>
      </c>
      <c r="S848" s="2">
        <v>11.9</v>
      </c>
      <c r="T848" t="s">
        <v>759</v>
      </c>
      <c r="U848" s="3">
        <v>1</v>
      </c>
      <c r="V848" s="3">
        <v>1</v>
      </c>
      <c r="W848" s="3">
        <v>1</v>
      </c>
      <c r="X848" s="3">
        <v>1</v>
      </c>
      <c r="Y848" s="3">
        <v>1</v>
      </c>
      <c r="Z848" s="3">
        <v>0</v>
      </c>
      <c r="AA848" s="3">
        <v>0</v>
      </c>
    </row>
    <row r="849" spans="1:27">
      <c r="A849" t="s">
        <v>939</v>
      </c>
      <c r="B849" s="3">
        <v>3</v>
      </c>
      <c r="C849" s="3">
        <v>0</v>
      </c>
      <c r="D849" s="1">
        <v>38303</v>
      </c>
      <c r="E849" s="1">
        <v>39082</v>
      </c>
      <c r="F849" s="2">
        <f t="shared" si="13"/>
        <v>2.1327857631759071</v>
      </c>
      <c r="G849" s="3">
        <v>1</v>
      </c>
      <c r="H849" s="3">
        <v>1</v>
      </c>
      <c r="I849" s="3">
        <v>0</v>
      </c>
      <c r="J849" s="3">
        <v>1</v>
      </c>
      <c r="K849" s="3">
        <v>0</v>
      </c>
      <c r="L849" s="3">
        <v>0</v>
      </c>
      <c r="M849" s="3">
        <v>0</v>
      </c>
      <c r="N849" s="3">
        <v>1</v>
      </c>
      <c r="O849" s="3">
        <v>0</v>
      </c>
      <c r="P849" s="3">
        <v>1</v>
      </c>
      <c r="Q849" s="3">
        <v>0</v>
      </c>
      <c r="R849" s="3">
        <v>91.6</v>
      </c>
      <c r="S849" s="2">
        <v>10.5</v>
      </c>
      <c r="T849" t="s">
        <v>44</v>
      </c>
      <c r="U849" s="3">
        <v>0</v>
      </c>
      <c r="V849" s="3">
        <v>1</v>
      </c>
      <c r="W849" s="3">
        <v>0</v>
      </c>
      <c r="X849" s="3">
        <v>0</v>
      </c>
      <c r="Y849" s="3">
        <v>0</v>
      </c>
      <c r="Z849" s="3">
        <v>1</v>
      </c>
      <c r="AA849" s="3">
        <v>0</v>
      </c>
    </row>
    <row r="850" spans="1:27">
      <c r="A850" t="s">
        <v>940</v>
      </c>
      <c r="B850" s="3">
        <v>3</v>
      </c>
      <c r="C850" s="3">
        <v>0</v>
      </c>
      <c r="D850" s="1">
        <v>38047</v>
      </c>
      <c r="E850" s="1">
        <v>39082</v>
      </c>
      <c r="F850" s="2">
        <f t="shared" si="13"/>
        <v>2.8336755646817249</v>
      </c>
      <c r="G850" s="3">
        <v>2</v>
      </c>
      <c r="H850" s="3">
        <v>1</v>
      </c>
      <c r="I850" s="3">
        <v>0</v>
      </c>
      <c r="J850" s="3">
        <v>1</v>
      </c>
      <c r="K850" s="3">
        <v>0</v>
      </c>
      <c r="L850" s="3">
        <v>0</v>
      </c>
      <c r="M850" s="3">
        <v>0</v>
      </c>
      <c r="N850" s="3">
        <v>0</v>
      </c>
      <c r="O850" s="3">
        <v>0</v>
      </c>
      <c r="P850" s="3">
        <v>1</v>
      </c>
      <c r="Q850" s="3">
        <v>0</v>
      </c>
      <c r="R850" s="3">
        <v>91.6</v>
      </c>
      <c r="S850" s="2">
        <v>13.3</v>
      </c>
      <c r="T850" t="s">
        <v>28</v>
      </c>
      <c r="U850" s="3">
        <v>0</v>
      </c>
      <c r="V850" s="3">
        <v>0</v>
      </c>
      <c r="W850" s="3">
        <v>1</v>
      </c>
      <c r="X850" s="3">
        <v>0</v>
      </c>
      <c r="Y850" s="3">
        <v>0</v>
      </c>
      <c r="Z850" s="3">
        <v>0</v>
      </c>
      <c r="AA850" s="3">
        <v>0</v>
      </c>
    </row>
    <row r="851" spans="1:27">
      <c r="A851" t="s">
        <v>941</v>
      </c>
      <c r="B851" s="3">
        <v>1</v>
      </c>
      <c r="C851" s="3">
        <v>0</v>
      </c>
      <c r="D851" s="1">
        <v>37064</v>
      </c>
      <c r="E851" s="1">
        <v>39082</v>
      </c>
      <c r="F851" s="2">
        <f t="shared" si="13"/>
        <v>5.5249828884325805</v>
      </c>
      <c r="G851" s="3">
        <v>2</v>
      </c>
      <c r="H851" s="3">
        <v>0</v>
      </c>
      <c r="I851" s="3">
        <v>0</v>
      </c>
      <c r="J851" s="3">
        <v>0</v>
      </c>
      <c r="K851" s="3">
        <v>0</v>
      </c>
      <c r="L851" s="3">
        <v>1</v>
      </c>
      <c r="M851" s="3">
        <v>0</v>
      </c>
      <c r="N851" s="3">
        <v>1</v>
      </c>
      <c r="O851" s="3">
        <v>0</v>
      </c>
      <c r="P851" s="3">
        <v>1</v>
      </c>
      <c r="Q851" s="3">
        <v>0</v>
      </c>
      <c r="R851" s="3">
        <v>91.7</v>
      </c>
      <c r="S851" s="2">
        <v>13.7</v>
      </c>
      <c r="T851" t="s">
        <v>66</v>
      </c>
      <c r="U851" s="3">
        <v>1</v>
      </c>
      <c r="V851" s="3">
        <v>1</v>
      </c>
      <c r="W851" s="3">
        <v>0</v>
      </c>
      <c r="X851" s="3">
        <v>0</v>
      </c>
      <c r="Y851" s="3">
        <v>0</v>
      </c>
      <c r="Z851" s="3">
        <v>0</v>
      </c>
      <c r="AA851" s="3">
        <v>0</v>
      </c>
    </row>
    <row r="852" spans="1:27">
      <c r="A852" t="s">
        <v>942</v>
      </c>
      <c r="B852" s="3">
        <v>3</v>
      </c>
      <c r="C852" s="3">
        <v>0</v>
      </c>
      <c r="D852" s="1">
        <v>38081</v>
      </c>
      <c r="E852" s="1">
        <v>39082</v>
      </c>
      <c r="F852" s="2">
        <f t="shared" si="13"/>
        <v>2.7405886379192332</v>
      </c>
      <c r="G852" s="3">
        <v>1</v>
      </c>
      <c r="H852" s="3">
        <v>1</v>
      </c>
      <c r="I852" s="3">
        <v>0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3">
        <v>1</v>
      </c>
      <c r="Q852" s="3">
        <v>0</v>
      </c>
      <c r="R852" s="3">
        <v>91.7</v>
      </c>
      <c r="S852" s="2">
        <v>13.3</v>
      </c>
      <c r="T852" t="s">
        <v>44</v>
      </c>
      <c r="U852" s="3">
        <v>0</v>
      </c>
      <c r="V852" s="3">
        <v>0</v>
      </c>
      <c r="W852" s="3">
        <v>0</v>
      </c>
      <c r="X852" s="3">
        <v>1</v>
      </c>
      <c r="Y852" s="3">
        <v>1</v>
      </c>
      <c r="Z852" s="3">
        <v>1</v>
      </c>
      <c r="AA852" s="3">
        <v>0</v>
      </c>
    </row>
    <row r="853" spans="1:27">
      <c r="A853" t="s">
        <v>943</v>
      </c>
      <c r="B853" s="3">
        <v>3</v>
      </c>
      <c r="C853" s="3">
        <v>0</v>
      </c>
      <c r="D853" s="1">
        <v>38045</v>
      </c>
      <c r="E853" s="1">
        <v>39082</v>
      </c>
      <c r="F853" s="2">
        <f t="shared" si="13"/>
        <v>2.839151266255989</v>
      </c>
      <c r="G853" s="3">
        <v>1</v>
      </c>
      <c r="H853" s="3">
        <v>1</v>
      </c>
      <c r="I853" s="3">
        <v>0</v>
      </c>
      <c r="J853" s="3">
        <v>0</v>
      </c>
      <c r="K853" s="3">
        <v>0</v>
      </c>
      <c r="L853" s="3">
        <v>0</v>
      </c>
      <c r="M853" s="3">
        <v>0</v>
      </c>
      <c r="N853" s="3">
        <v>1</v>
      </c>
      <c r="O853" s="3">
        <v>0</v>
      </c>
      <c r="P853" s="3">
        <v>0</v>
      </c>
      <c r="Q853" s="3">
        <v>0</v>
      </c>
      <c r="R853" s="3">
        <v>91.7</v>
      </c>
      <c r="S853" s="2">
        <v>14.1</v>
      </c>
      <c r="T853" t="s">
        <v>82</v>
      </c>
      <c r="U853" s="3">
        <v>1</v>
      </c>
      <c r="V853" s="3">
        <v>1</v>
      </c>
      <c r="W853" s="3">
        <v>0</v>
      </c>
      <c r="X853" s="3">
        <v>0</v>
      </c>
      <c r="Y853" s="3">
        <v>0</v>
      </c>
      <c r="Z853" s="3">
        <v>1</v>
      </c>
      <c r="AA853" s="3">
        <v>0</v>
      </c>
    </row>
    <row r="854" spans="1:27">
      <c r="A854" t="s">
        <v>944</v>
      </c>
      <c r="B854" s="3">
        <v>3</v>
      </c>
      <c r="C854" s="3">
        <v>0</v>
      </c>
      <c r="D854" s="1">
        <v>38344</v>
      </c>
      <c r="E854" s="1">
        <v>39082</v>
      </c>
      <c r="F854" s="2">
        <f t="shared" si="13"/>
        <v>2.020533880903491</v>
      </c>
      <c r="G854" s="3">
        <v>2</v>
      </c>
      <c r="H854" s="3">
        <v>1</v>
      </c>
      <c r="I854" s="3">
        <v>0</v>
      </c>
      <c r="J854" s="3">
        <v>1</v>
      </c>
      <c r="K854" s="3">
        <v>0</v>
      </c>
      <c r="L854" s="3">
        <v>0</v>
      </c>
      <c r="M854" s="3">
        <v>0</v>
      </c>
      <c r="N854" s="3">
        <v>1</v>
      </c>
      <c r="O854" s="3">
        <v>0</v>
      </c>
      <c r="P854" s="3">
        <v>1</v>
      </c>
      <c r="Q854" s="3">
        <v>0</v>
      </c>
      <c r="R854" s="3">
        <v>91.8</v>
      </c>
      <c r="S854" s="2">
        <v>12.2</v>
      </c>
      <c r="T854" t="s">
        <v>28</v>
      </c>
      <c r="U854" s="3">
        <v>1</v>
      </c>
      <c r="V854" s="3">
        <v>1</v>
      </c>
      <c r="W854" s="3">
        <v>0</v>
      </c>
      <c r="X854" s="3">
        <v>0</v>
      </c>
      <c r="Y854" s="3">
        <v>0</v>
      </c>
      <c r="Z854" s="3">
        <v>0</v>
      </c>
      <c r="AA854" s="3">
        <v>0</v>
      </c>
    </row>
    <row r="855" spans="1:27">
      <c r="A855" t="s">
        <v>945</v>
      </c>
      <c r="B855" s="3">
        <v>3</v>
      </c>
      <c r="C855" s="3">
        <v>0</v>
      </c>
      <c r="D855" s="1">
        <v>37270</v>
      </c>
      <c r="E855" s="1">
        <v>39082</v>
      </c>
      <c r="F855" s="2">
        <f t="shared" si="13"/>
        <v>4.9609856262833674</v>
      </c>
      <c r="G855" s="3">
        <v>2</v>
      </c>
      <c r="H855" s="3">
        <v>0</v>
      </c>
      <c r="I855" s="3">
        <v>1</v>
      </c>
      <c r="J855" s="3">
        <v>0</v>
      </c>
      <c r="K855" s="3">
        <v>0</v>
      </c>
      <c r="L855" s="3">
        <v>0</v>
      </c>
      <c r="M855" s="3">
        <v>0</v>
      </c>
      <c r="N855" s="3">
        <v>0</v>
      </c>
      <c r="O855" s="3">
        <v>0</v>
      </c>
      <c r="P855" s="3">
        <v>0</v>
      </c>
      <c r="Q855" s="3">
        <v>0</v>
      </c>
      <c r="R855" s="3">
        <v>91.8</v>
      </c>
      <c r="S855" s="2">
        <v>12.4</v>
      </c>
      <c r="T855" t="s">
        <v>28</v>
      </c>
      <c r="U855" s="3">
        <v>0</v>
      </c>
      <c r="V855" s="3">
        <v>0</v>
      </c>
      <c r="W855" s="3">
        <v>0</v>
      </c>
      <c r="X855" s="3">
        <v>0</v>
      </c>
      <c r="Y855" s="3">
        <v>0</v>
      </c>
      <c r="Z855" s="3">
        <v>0</v>
      </c>
      <c r="AA855" s="3">
        <v>0</v>
      </c>
    </row>
    <row r="856" spans="1:27">
      <c r="A856" t="s">
        <v>946</v>
      </c>
      <c r="B856" s="3">
        <v>2</v>
      </c>
      <c r="C856" s="3">
        <v>0</v>
      </c>
      <c r="D856" s="1">
        <v>37030</v>
      </c>
      <c r="E856" s="1">
        <v>39082</v>
      </c>
      <c r="F856" s="2">
        <f t="shared" si="13"/>
        <v>5.6180698151950716</v>
      </c>
      <c r="G856" s="3">
        <v>1</v>
      </c>
      <c r="H856" s="3">
        <v>0</v>
      </c>
      <c r="I856" s="3">
        <v>0</v>
      </c>
      <c r="J856" s="3">
        <v>0</v>
      </c>
      <c r="K856" s="3">
        <v>0</v>
      </c>
      <c r="L856" s="3">
        <v>0</v>
      </c>
      <c r="M856" s="3">
        <v>0</v>
      </c>
      <c r="N856" s="3">
        <v>0</v>
      </c>
      <c r="O856" s="3">
        <v>0</v>
      </c>
      <c r="P856" s="3">
        <v>1</v>
      </c>
      <c r="Q856" s="3">
        <v>0</v>
      </c>
      <c r="R856" s="3">
        <v>91.9</v>
      </c>
      <c r="S856" s="2">
        <v>13.4</v>
      </c>
      <c r="T856" t="s">
        <v>28</v>
      </c>
      <c r="U856" s="3">
        <v>0</v>
      </c>
      <c r="V856" s="3">
        <v>1</v>
      </c>
      <c r="W856" s="3">
        <v>1</v>
      </c>
      <c r="X856" s="3">
        <v>1</v>
      </c>
      <c r="Y856" s="3">
        <v>1</v>
      </c>
      <c r="Z856" s="3">
        <v>1</v>
      </c>
      <c r="AA856" s="3">
        <v>0</v>
      </c>
    </row>
    <row r="857" spans="1:27">
      <c r="A857" t="s">
        <v>947</v>
      </c>
      <c r="B857" s="3">
        <v>3</v>
      </c>
      <c r="C857" s="3">
        <v>0</v>
      </c>
      <c r="D857" s="1">
        <v>38047</v>
      </c>
      <c r="E857" s="1">
        <v>39082</v>
      </c>
      <c r="F857" s="2">
        <f t="shared" si="13"/>
        <v>2.8336755646817249</v>
      </c>
      <c r="G857" s="3">
        <v>1</v>
      </c>
      <c r="H857" s="3">
        <v>1</v>
      </c>
      <c r="I857" s="3">
        <v>0</v>
      </c>
      <c r="J857" s="3">
        <v>0</v>
      </c>
      <c r="K857" s="3">
        <v>0</v>
      </c>
      <c r="L857" s="3">
        <v>0</v>
      </c>
      <c r="M857" s="3">
        <v>0</v>
      </c>
      <c r="N857" s="3">
        <v>1</v>
      </c>
      <c r="O857" s="3">
        <v>0</v>
      </c>
      <c r="P857" s="3">
        <v>1</v>
      </c>
      <c r="Q857" s="3">
        <v>0</v>
      </c>
      <c r="R857" s="3">
        <v>91.9</v>
      </c>
      <c r="S857" s="2">
        <v>13.3</v>
      </c>
      <c r="T857" t="s">
        <v>66</v>
      </c>
      <c r="U857" s="3">
        <v>0</v>
      </c>
      <c r="V857" s="3">
        <v>1</v>
      </c>
      <c r="W857" s="3">
        <v>0</v>
      </c>
      <c r="X857" s="3">
        <v>0</v>
      </c>
      <c r="Y857" s="3">
        <v>0</v>
      </c>
      <c r="Z857" s="3">
        <v>1</v>
      </c>
      <c r="AA857" s="3">
        <v>0</v>
      </c>
    </row>
    <row r="858" spans="1:27">
      <c r="A858" t="s">
        <v>948</v>
      </c>
      <c r="B858" s="3">
        <v>2</v>
      </c>
      <c r="C858" s="3">
        <v>0</v>
      </c>
      <c r="D858" s="1">
        <v>37070</v>
      </c>
      <c r="E858" s="1">
        <v>39082</v>
      </c>
      <c r="F858" s="2">
        <f t="shared" si="13"/>
        <v>5.508555783709788</v>
      </c>
      <c r="G858" s="3">
        <v>2</v>
      </c>
      <c r="H858" s="3">
        <v>1</v>
      </c>
      <c r="I858" s="3">
        <v>0</v>
      </c>
      <c r="J858" s="3">
        <v>0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3">
        <v>0</v>
      </c>
      <c r="Q858" s="3">
        <v>0</v>
      </c>
      <c r="R858" s="3">
        <v>91.9</v>
      </c>
      <c r="S858" s="2">
        <v>12.8</v>
      </c>
      <c r="T858" t="s">
        <v>300</v>
      </c>
      <c r="U858" s="3">
        <v>1</v>
      </c>
      <c r="V858" s="3">
        <v>1</v>
      </c>
      <c r="W858" s="3">
        <v>0</v>
      </c>
      <c r="X858" s="3">
        <v>0</v>
      </c>
      <c r="Y858" s="3">
        <v>0</v>
      </c>
      <c r="Z858" s="3">
        <v>0</v>
      </c>
      <c r="AA858" s="3">
        <v>0</v>
      </c>
    </row>
    <row r="859" spans="1:27">
      <c r="A859" t="s">
        <v>949</v>
      </c>
      <c r="B859" s="3">
        <v>3</v>
      </c>
      <c r="C859" s="3">
        <v>0</v>
      </c>
      <c r="D859" s="1">
        <v>36800</v>
      </c>
      <c r="E859" s="1">
        <v>39082</v>
      </c>
      <c r="F859" s="2">
        <f t="shared" si="13"/>
        <v>6.2477754962354553</v>
      </c>
      <c r="G859" s="3">
        <v>1</v>
      </c>
      <c r="H859" s="3">
        <v>1</v>
      </c>
      <c r="I859" s="3">
        <v>0</v>
      </c>
      <c r="J859" s="3">
        <v>1</v>
      </c>
      <c r="K859" s="3">
        <v>0</v>
      </c>
      <c r="L859" s="3">
        <v>0</v>
      </c>
      <c r="M859" s="3">
        <v>0</v>
      </c>
      <c r="N859" s="3">
        <v>0</v>
      </c>
      <c r="O859" s="3">
        <v>0</v>
      </c>
      <c r="P859" s="3">
        <v>0</v>
      </c>
      <c r="Q859" s="3">
        <v>0</v>
      </c>
      <c r="R859" s="3">
        <v>91.9</v>
      </c>
      <c r="S859" s="2">
        <v>15.1</v>
      </c>
      <c r="T859" t="s">
        <v>28</v>
      </c>
      <c r="U859" s="3">
        <v>1</v>
      </c>
      <c r="V859" s="3">
        <v>0</v>
      </c>
      <c r="W859" s="3">
        <v>0</v>
      </c>
      <c r="X859" s="3">
        <v>0</v>
      </c>
      <c r="Y859" s="3">
        <v>0</v>
      </c>
      <c r="Z859" s="3">
        <v>1</v>
      </c>
      <c r="AA859" s="3">
        <v>0</v>
      </c>
    </row>
    <row r="860" spans="1:27">
      <c r="A860" t="s">
        <v>335</v>
      </c>
      <c r="B860" s="3">
        <v>2</v>
      </c>
      <c r="C860" s="3">
        <v>0</v>
      </c>
      <c r="D860" s="1">
        <v>36968</v>
      </c>
      <c r="E860" s="1">
        <v>39082</v>
      </c>
      <c r="F860" s="2">
        <f t="shared" si="13"/>
        <v>5.7878165639972625</v>
      </c>
      <c r="G860" s="3">
        <v>2</v>
      </c>
      <c r="H860" s="3">
        <v>1</v>
      </c>
      <c r="I860" s="3">
        <v>0</v>
      </c>
      <c r="J860" s="3">
        <v>1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3">
        <v>0</v>
      </c>
      <c r="Q860" s="3">
        <v>0</v>
      </c>
      <c r="R860" s="3">
        <v>92</v>
      </c>
      <c r="S860" s="2">
        <v>11.6</v>
      </c>
      <c r="T860" t="s">
        <v>44</v>
      </c>
      <c r="U860" s="3">
        <v>1</v>
      </c>
      <c r="V860" s="3">
        <v>1</v>
      </c>
      <c r="W860" s="3">
        <v>0</v>
      </c>
      <c r="X860" s="3">
        <v>0</v>
      </c>
      <c r="Y860" s="3">
        <v>0</v>
      </c>
      <c r="Z860" s="3">
        <v>0</v>
      </c>
      <c r="AA860" s="3">
        <v>0</v>
      </c>
    </row>
    <row r="861" spans="1:27">
      <c r="A861" t="s">
        <v>950</v>
      </c>
      <c r="B861" s="3">
        <v>1</v>
      </c>
      <c r="C861" s="3">
        <v>0</v>
      </c>
      <c r="D861" s="1">
        <v>36771</v>
      </c>
      <c r="E861" s="1">
        <v>39082</v>
      </c>
      <c r="F861" s="2">
        <f t="shared" si="13"/>
        <v>6.3271731690622861</v>
      </c>
      <c r="G861" s="3">
        <v>2</v>
      </c>
      <c r="H861" s="3">
        <v>1</v>
      </c>
      <c r="I861" s="3">
        <v>1</v>
      </c>
      <c r="J861" s="3">
        <v>1</v>
      </c>
      <c r="K861" s="3">
        <v>0</v>
      </c>
      <c r="L861" s="3">
        <v>0</v>
      </c>
      <c r="M861" s="3">
        <v>0</v>
      </c>
      <c r="N861" s="3">
        <v>1</v>
      </c>
      <c r="O861" s="3">
        <v>0</v>
      </c>
      <c r="P861" s="3">
        <v>1</v>
      </c>
      <c r="Q861" s="3">
        <v>0</v>
      </c>
      <c r="R861" s="3">
        <v>92</v>
      </c>
      <c r="S861" s="2">
        <v>11.1</v>
      </c>
      <c r="T861" t="s">
        <v>28</v>
      </c>
      <c r="U861" s="3">
        <v>1</v>
      </c>
      <c r="V861" s="3">
        <v>1</v>
      </c>
      <c r="W861" s="3">
        <v>0</v>
      </c>
      <c r="X861" s="3">
        <v>0</v>
      </c>
      <c r="Y861" s="3">
        <v>0</v>
      </c>
      <c r="Z861" s="3">
        <v>0</v>
      </c>
      <c r="AA861" s="3">
        <v>0</v>
      </c>
    </row>
    <row r="862" spans="1:27">
      <c r="A862" t="s">
        <v>951</v>
      </c>
      <c r="B862" s="3">
        <v>2</v>
      </c>
      <c r="C862" s="3">
        <v>0</v>
      </c>
      <c r="D862" s="1">
        <v>37041</v>
      </c>
      <c r="E862" s="1">
        <v>39082</v>
      </c>
      <c r="F862" s="2">
        <f t="shared" si="13"/>
        <v>5.5879534565366189</v>
      </c>
      <c r="G862" s="3">
        <v>2</v>
      </c>
      <c r="H862" s="3">
        <v>1</v>
      </c>
      <c r="I862" s="3">
        <v>0</v>
      </c>
      <c r="J862" s="3">
        <v>0</v>
      </c>
      <c r="K862" s="3">
        <v>0</v>
      </c>
      <c r="L862" s="3">
        <v>0</v>
      </c>
      <c r="M862" s="3">
        <v>0</v>
      </c>
      <c r="N862" s="3">
        <v>0</v>
      </c>
      <c r="O862" s="3">
        <v>0</v>
      </c>
      <c r="P862" s="3">
        <v>0</v>
      </c>
      <c r="Q862" s="3">
        <v>0</v>
      </c>
      <c r="R862" s="3">
        <v>92.1</v>
      </c>
      <c r="S862" s="2">
        <v>12.1</v>
      </c>
      <c r="T862" t="s">
        <v>28</v>
      </c>
      <c r="U862" s="3">
        <v>1</v>
      </c>
      <c r="V862" s="3">
        <v>1</v>
      </c>
      <c r="W862" s="3">
        <v>1</v>
      </c>
      <c r="X862" s="3">
        <v>1</v>
      </c>
      <c r="Y862" s="3">
        <v>1</v>
      </c>
      <c r="Z862" s="3">
        <v>0</v>
      </c>
      <c r="AA862" s="3">
        <v>0</v>
      </c>
    </row>
    <row r="863" spans="1:27">
      <c r="A863" t="s">
        <v>952</v>
      </c>
      <c r="B863" s="3">
        <v>2</v>
      </c>
      <c r="C863" s="3">
        <v>1</v>
      </c>
      <c r="D863" s="1">
        <v>37008</v>
      </c>
      <c r="E863" s="1">
        <v>39082</v>
      </c>
      <c r="F863" s="2">
        <f t="shared" si="13"/>
        <v>5.678302532511978</v>
      </c>
      <c r="G863" s="3">
        <v>2</v>
      </c>
      <c r="H863" s="3">
        <v>0</v>
      </c>
      <c r="I863" s="3">
        <v>1</v>
      </c>
      <c r="J863" s="3">
        <v>0</v>
      </c>
      <c r="K863" s="3">
        <v>0</v>
      </c>
      <c r="L863" s="3">
        <v>0</v>
      </c>
      <c r="M863" s="3">
        <v>0</v>
      </c>
      <c r="N863" s="3">
        <v>0</v>
      </c>
      <c r="O863" s="3">
        <v>0</v>
      </c>
      <c r="P863" s="3">
        <v>0</v>
      </c>
      <c r="Q863" s="3">
        <v>0</v>
      </c>
      <c r="R863" s="3">
        <v>92.1</v>
      </c>
      <c r="S863" s="2">
        <v>12.1</v>
      </c>
      <c r="T863" t="s">
        <v>44</v>
      </c>
      <c r="U863" s="3">
        <v>1</v>
      </c>
      <c r="V863" s="3">
        <v>1</v>
      </c>
      <c r="W863" s="3">
        <v>1</v>
      </c>
      <c r="X863" s="3">
        <v>1</v>
      </c>
      <c r="Y863" s="3">
        <v>0</v>
      </c>
      <c r="Z863" s="3">
        <v>0</v>
      </c>
      <c r="AA863" s="3">
        <v>0</v>
      </c>
    </row>
    <row r="864" spans="1:27">
      <c r="A864" t="s">
        <v>953</v>
      </c>
      <c r="B864" s="3">
        <v>2</v>
      </c>
      <c r="C864" s="3">
        <v>0</v>
      </c>
      <c r="D864" s="1">
        <v>37787</v>
      </c>
      <c r="E864" s="1">
        <v>39082</v>
      </c>
      <c r="F864" s="2">
        <f t="shared" si="13"/>
        <v>3.5455167693360714</v>
      </c>
      <c r="G864" s="3">
        <v>1</v>
      </c>
      <c r="H864" s="3">
        <v>1</v>
      </c>
      <c r="I864" s="3">
        <v>1</v>
      </c>
      <c r="J864" s="3">
        <v>0</v>
      </c>
      <c r="K864" s="3">
        <v>0</v>
      </c>
      <c r="L864" s="3">
        <v>0</v>
      </c>
      <c r="M864" s="3">
        <v>0</v>
      </c>
      <c r="N864" s="3">
        <v>1</v>
      </c>
      <c r="O864" s="3">
        <v>0</v>
      </c>
      <c r="P864" s="3">
        <v>0</v>
      </c>
      <c r="Q864" s="3">
        <v>0</v>
      </c>
      <c r="R864" s="3">
        <v>92.1</v>
      </c>
      <c r="S864" s="2">
        <v>12.1</v>
      </c>
      <c r="T864" t="s">
        <v>28</v>
      </c>
      <c r="U864" s="3">
        <v>1</v>
      </c>
      <c r="V864" s="3">
        <v>1</v>
      </c>
      <c r="W864" s="3">
        <v>1</v>
      </c>
      <c r="X864" s="3">
        <v>0</v>
      </c>
      <c r="Y864" s="3">
        <v>0</v>
      </c>
      <c r="Z864" s="3">
        <v>1</v>
      </c>
      <c r="AA864" s="3">
        <v>0</v>
      </c>
    </row>
    <row r="865" spans="1:27">
      <c r="A865" t="s">
        <v>954</v>
      </c>
      <c r="B865" s="3">
        <v>1</v>
      </c>
      <c r="C865" s="3">
        <v>0</v>
      </c>
      <c r="D865" s="1">
        <v>38233</v>
      </c>
      <c r="E865" s="1">
        <v>39082</v>
      </c>
      <c r="F865" s="2">
        <f t="shared" si="13"/>
        <v>2.324435318275154</v>
      </c>
      <c r="G865" s="3">
        <v>2</v>
      </c>
      <c r="H865" s="3">
        <v>1</v>
      </c>
      <c r="I865" s="3">
        <v>1</v>
      </c>
      <c r="J865" s="3">
        <v>0</v>
      </c>
      <c r="K865" s="3">
        <v>0</v>
      </c>
      <c r="L865" s="3">
        <v>1</v>
      </c>
      <c r="M865" s="3">
        <v>0</v>
      </c>
      <c r="N865" s="3">
        <v>1</v>
      </c>
      <c r="O865" s="3">
        <v>0</v>
      </c>
      <c r="P865" s="3">
        <v>1</v>
      </c>
      <c r="Q865" s="3">
        <v>0</v>
      </c>
      <c r="R865" s="3">
        <v>92.1</v>
      </c>
      <c r="S865" s="2">
        <v>13.2</v>
      </c>
      <c r="T865" t="s">
        <v>28</v>
      </c>
      <c r="U865" s="3">
        <v>1</v>
      </c>
      <c r="V865" s="3">
        <v>1</v>
      </c>
      <c r="W865" s="3">
        <v>1</v>
      </c>
      <c r="X865" s="3">
        <v>1</v>
      </c>
      <c r="Y865" s="3">
        <v>0</v>
      </c>
      <c r="Z865" s="3">
        <v>0</v>
      </c>
      <c r="AA865" s="3">
        <v>0</v>
      </c>
    </row>
    <row r="866" spans="1:27">
      <c r="A866" t="s">
        <v>955</v>
      </c>
      <c r="B866" s="3">
        <v>3</v>
      </c>
      <c r="C866" s="3">
        <v>0</v>
      </c>
      <c r="D866" s="1">
        <v>37126</v>
      </c>
      <c r="E866" s="1">
        <v>39082</v>
      </c>
      <c r="F866" s="2">
        <f t="shared" si="13"/>
        <v>5.3552361396303905</v>
      </c>
      <c r="G866" s="3">
        <v>2</v>
      </c>
      <c r="H866" s="3">
        <v>1</v>
      </c>
      <c r="I866" s="3">
        <v>0</v>
      </c>
      <c r="J866" s="3">
        <v>0</v>
      </c>
      <c r="K866" s="3">
        <v>0</v>
      </c>
      <c r="L866" s="3">
        <v>0</v>
      </c>
      <c r="M866" s="3">
        <v>0</v>
      </c>
      <c r="N866" s="3">
        <v>1</v>
      </c>
      <c r="O866" s="3">
        <v>0</v>
      </c>
      <c r="P866" s="3">
        <v>1</v>
      </c>
      <c r="Q866" s="3">
        <v>0</v>
      </c>
      <c r="R866" s="3">
        <v>92.2</v>
      </c>
      <c r="S866" s="2">
        <v>12.5</v>
      </c>
      <c r="T866" t="s">
        <v>105</v>
      </c>
      <c r="U866" s="3">
        <v>1</v>
      </c>
      <c r="V866" s="3">
        <v>1</v>
      </c>
      <c r="W866" s="3">
        <v>1</v>
      </c>
      <c r="X866" s="3">
        <v>0</v>
      </c>
      <c r="Y866" s="3">
        <v>0</v>
      </c>
      <c r="Z866" s="3">
        <v>0</v>
      </c>
      <c r="AA866" s="3">
        <v>0</v>
      </c>
    </row>
    <row r="867" spans="1:27">
      <c r="A867" t="s">
        <v>505</v>
      </c>
      <c r="B867" s="3">
        <v>2</v>
      </c>
      <c r="C867" s="3">
        <v>0</v>
      </c>
      <c r="D867" s="1">
        <v>38111</v>
      </c>
      <c r="E867" s="1">
        <v>39082</v>
      </c>
      <c r="F867" s="2">
        <f t="shared" si="13"/>
        <v>2.6584531143052703</v>
      </c>
      <c r="G867" s="3">
        <v>1</v>
      </c>
      <c r="H867" s="3">
        <v>1</v>
      </c>
      <c r="I867" s="3">
        <v>0</v>
      </c>
      <c r="J867" s="3">
        <v>1</v>
      </c>
      <c r="K867" s="3">
        <v>1</v>
      </c>
      <c r="L867" s="3">
        <v>0</v>
      </c>
      <c r="M867" s="3">
        <v>0</v>
      </c>
      <c r="N867" s="3">
        <v>1</v>
      </c>
      <c r="O867" s="3">
        <v>1</v>
      </c>
      <c r="P867" s="3">
        <v>1</v>
      </c>
      <c r="Q867" s="3">
        <v>0</v>
      </c>
      <c r="R867" s="3">
        <v>92.2</v>
      </c>
      <c r="S867" s="2">
        <v>12</v>
      </c>
      <c r="T867" t="s">
        <v>28</v>
      </c>
      <c r="U867" s="3">
        <v>1</v>
      </c>
      <c r="V867" s="3">
        <v>1</v>
      </c>
      <c r="W867" s="3">
        <v>1</v>
      </c>
      <c r="X867" s="3">
        <v>1</v>
      </c>
      <c r="Y867" s="3">
        <v>1</v>
      </c>
      <c r="Z867" s="3">
        <v>1</v>
      </c>
      <c r="AA867" s="3">
        <v>0</v>
      </c>
    </row>
    <row r="868" spans="1:27">
      <c r="A868" t="s">
        <v>956</v>
      </c>
      <c r="B868" s="3">
        <v>3</v>
      </c>
      <c r="C868" s="3">
        <v>0</v>
      </c>
      <c r="D868" s="1">
        <v>36982</v>
      </c>
      <c r="E868" s="1">
        <v>39082</v>
      </c>
      <c r="F868" s="2">
        <f t="shared" si="13"/>
        <v>5.7494866529774127</v>
      </c>
      <c r="G868" s="3">
        <v>2</v>
      </c>
      <c r="H868" s="3">
        <v>1</v>
      </c>
      <c r="I868" s="3">
        <v>0</v>
      </c>
      <c r="J868" s="3">
        <v>1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3">
        <v>0</v>
      </c>
      <c r="Q868" s="3">
        <v>0</v>
      </c>
      <c r="R868" s="3">
        <v>92.2</v>
      </c>
      <c r="S868" s="2">
        <v>13</v>
      </c>
      <c r="T868" t="s">
        <v>28</v>
      </c>
      <c r="U868" s="3">
        <v>0</v>
      </c>
      <c r="V868" s="3">
        <v>0</v>
      </c>
      <c r="W868" s="3">
        <v>1</v>
      </c>
      <c r="X868" s="3">
        <v>1</v>
      </c>
      <c r="Y868" s="3">
        <v>0</v>
      </c>
      <c r="Z868" s="3">
        <v>0</v>
      </c>
      <c r="AA868" s="3">
        <v>0</v>
      </c>
    </row>
    <row r="869" spans="1:27">
      <c r="A869" t="s">
        <v>957</v>
      </c>
      <c r="B869" s="3">
        <v>3</v>
      </c>
      <c r="C869" s="3">
        <v>0</v>
      </c>
      <c r="D869" s="1">
        <v>37067</v>
      </c>
      <c r="E869" s="1">
        <v>39082</v>
      </c>
      <c r="F869" s="2">
        <f t="shared" si="13"/>
        <v>5.5167693360711842</v>
      </c>
      <c r="G869" s="3">
        <v>1</v>
      </c>
      <c r="H869" s="3">
        <v>1</v>
      </c>
      <c r="I869" s="3">
        <v>0</v>
      </c>
      <c r="J869" s="3">
        <v>0</v>
      </c>
      <c r="K869" s="3">
        <v>0</v>
      </c>
      <c r="L869" s="3">
        <v>0</v>
      </c>
      <c r="M869" s="3">
        <v>0</v>
      </c>
      <c r="N869" s="3">
        <v>1</v>
      </c>
      <c r="O869" s="3">
        <v>0</v>
      </c>
      <c r="P869" s="3">
        <v>0</v>
      </c>
      <c r="Q869" s="3">
        <v>0</v>
      </c>
      <c r="R869" s="3">
        <v>92.3</v>
      </c>
      <c r="S869" s="2">
        <v>14</v>
      </c>
      <c r="T869" t="s">
        <v>28</v>
      </c>
      <c r="U869" s="3">
        <v>0</v>
      </c>
      <c r="V869" s="3">
        <v>1</v>
      </c>
      <c r="W869" s="3">
        <v>0</v>
      </c>
      <c r="X869" s="3">
        <v>0</v>
      </c>
      <c r="Y869" s="3">
        <v>0</v>
      </c>
      <c r="Z869" s="3">
        <v>1</v>
      </c>
      <c r="AA869" s="3">
        <v>0</v>
      </c>
    </row>
    <row r="870" spans="1:27">
      <c r="A870" t="s">
        <v>958</v>
      </c>
      <c r="B870" s="3">
        <v>2</v>
      </c>
      <c r="C870" s="3">
        <v>0</v>
      </c>
      <c r="D870" s="1">
        <v>36740</v>
      </c>
      <c r="E870" s="1">
        <v>39082</v>
      </c>
      <c r="F870" s="2">
        <f t="shared" si="13"/>
        <v>6.4120465434633811</v>
      </c>
      <c r="G870" s="3">
        <v>2</v>
      </c>
      <c r="H870" s="3">
        <v>1</v>
      </c>
      <c r="I870" s="3">
        <v>0</v>
      </c>
      <c r="J870" s="3">
        <v>0</v>
      </c>
      <c r="K870" s="3">
        <v>0</v>
      </c>
      <c r="L870" s="3">
        <v>0</v>
      </c>
      <c r="M870" s="3">
        <v>0</v>
      </c>
      <c r="N870" s="3">
        <v>1</v>
      </c>
      <c r="O870" s="3">
        <v>1</v>
      </c>
      <c r="P870" s="3">
        <v>1</v>
      </c>
      <c r="Q870" s="3">
        <v>0</v>
      </c>
      <c r="R870" s="3">
        <v>92.3</v>
      </c>
      <c r="S870" s="2">
        <v>11.2</v>
      </c>
      <c r="T870" t="s">
        <v>28</v>
      </c>
      <c r="U870" s="3">
        <v>1</v>
      </c>
      <c r="V870" s="3">
        <v>1</v>
      </c>
      <c r="W870" s="3">
        <v>1</v>
      </c>
      <c r="X870" s="3">
        <v>1</v>
      </c>
      <c r="Y870" s="3">
        <v>1</v>
      </c>
      <c r="Z870" s="3">
        <v>0</v>
      </c>
      <c r="AA870" s="3">
        <v>0</v>
      </c>
    </row>
    <row r="871" spans="1:27">
      <c r="A871" t="s">
        <v>959</v>
      </c>
      <c r="B871" s="3">
        <v>3</v>
      </c>
      <c r="C871" s="3">
        <v>0</v>
      </c>
      <c r="D871" s="1">
        <v>38092</v>
      </c>
      <c r="E871" s="1">
        <v>39082</v>
      </c>
      <c r="F871" s="2">
        <f t="shared" si="13"/>
        <v>2.7104722792607805</v>
      </c>
      <c r="G871" s="3">
        <v>2</v>
      </c>
      <c r="H871" s="3">
        <v>1</v>
      </c>
      <c r="I871" s="3">
        <v>0</v>
      </c>
      <c r="J871" s="3">
        <v>1</v>
      </c>
      <c r="K871" s="3">
        <v>0</v>
      </c>
      <c r="L871" s="3">
        <v>0</v>
      </c>
      <c r="M871" s="3">
        <v>0</v>
      </c>
      <c r="N871" s="3">
        <v>0</v>
      </c>
      <c r="O871" s="3">
        <v>0</v>
      </c>
      <c r="P871" s="3">
        <v>1</v>
      </c>
      <c r="Q871" s="3">
        <v>0</v>
      </c>
      <c r="R871" s="3">
        <v>92.3</v>
      </c>
      <c r="S871" s="2">
        <v>13.2</v>
      </c>
      <c r="T871" t="s">
        <v>66</v>
      </c>
      <c r="U871" s="3">
        <v>0</v>
      </c>
      <c r="V871" s="3">
        <v>0</v>
      </c>
      <c r="W871" s="3">
        <v>0</v>
      </c>
      <c r="X871" s="3">
        <v>0</v>
      </c>
      <c r="Y871" s="3">
        <v>0</v>
      </c>
      <c r="Z871" s="3">
        <v>0</v>
      </c>
      <c r="AA871" s="3">
        <v>0</v>
      </c>
    </row>
    <row r="872" spans="1:27">
      <c r="A872" t="s">
        <v>960</v>
      </c>
      <c r="B872" s="3">
        <v>1</v>
      </c>
      <c r="C872" s="3">
        <v>0</v>
      </c>
      <c r="D872" s="1">
        <v>36924</v>
      </c>
      <c r="E872" s="1">
        <v>39082</v>
      </c>
      <c r="F872" s="2">
        <f t="shared" si="13"/>
        <v>5.9082819986310744</v>
      </c>
      <c r="G872" s="3">
        <v>2</v>
      </c>
      <c r="H872" s="3">
        <v>1</v>
      </c>
      <c r="I872" s="3">
        <v>1</v>
      </c>
      <c r="J872" s="3">
        <v>1</v>
      </c>
      <c r="K872" s="3">
        <v>0</v>
      </c>
      <c r="L872" s="3">
        <v>0</v>
      </c>
      <c r="M872" s="3">
        <v>0</v>
      </c>
      <c r="N872" s="3">
        <v>1</v>
      </c>
      <c r="O872" s="3">
        <v>0</v>
      </c>
      <c r="P872" s="3">
        <v>0</v>
      </c>
      <c r="Q872" s="3">
        <v>0</v>
      </c>
      <c r="R872" s="3">
        <v>92.3</v>
      </c>
      <c r="S872" s="2">
        <v>10.8</v>
      </c>
      <c r="T872" t="s">
        <v>28</v>
      </c>
      <c r="U872" s="3">
        <v>1</v>
      </c>
      <c r="V872" s="3">
        <v>1</v>
      </c>
      <c r="W872" s="3">
        <v>1</v>
      </c>
      <c r="X872" s="3">
        <v>0</v>
      </c>
      <c r="Y872" s="3">
        <v>0</v>
      </c>
      <c r="Z872" s="3">
        <v>0</v>
      </c>
      <c r="AA872" s="3">
        <v>0</v>
      </c>
    </row>
    <row r="873" spans="1:27">
      <c r="A873" t="s">
        <v>961</v>
      </c>
      <c r="B873" s="3">
        <v>3</v>
      </c>
      <c r="C873" s="3">
        <v>0</v>
      </c>
      <c r="D873" s="1">
        <v>38071</v>
      </c>
      <c r="E873" s="1">
        <v>39082</v>
      </c>
      <c r="F873" s="2">
        <f t="shared" si="13"/>
        <v>2.7679671457905544</v>
      </c>
      <c r="G873" s="3">
        <v>1</v>
      </c>
      <c r="H873" s="3">
        <v>1</v>
      </c>
      <c r="I873" s="3">
        <v>0</v>
      </c>
      <c r="J873" s="3">
        <v>0</v>
      </c>
      <c r="K873" s="3">
        <v>0</v>
      </c>
      <c r="L873" s="3">
        <v>0</v>
      </c>
      <c r="M873" s="3">
        <v>0</v>
      </c>
      <c r="N873" s="3">
        <v>0</v>
      </c>
      <c r="O873" s="3">
        <v>0</v>
      </c>
      <c r="P873" s="3">
        <v>0</v>
      </c>
      <c r="Q873" s="3">
        <v>0</v>
      </c>
      <c r="R873" s="3">
        <v>92.4</v>
      </c>
      <c r="S873" s="2">
        <v>14.1</v>
      </c>
      <c r="T873" t="s">
        <v>28</v>
      </c>
      <c r="U873" s="3">
        <v>0</v>
      </c>
      <c r="V873" s="3">
        <v>1</v>
      </c>
      <c r="W873" s="3">
        <v>0</v>
      </c>
      <c r="X873" s="3">
        <v>0</v>
      </c>
      <c r="Y873" s="3">
        <v>0</v>
      </c>
      <c r="Z873" s="3">
        <v>1</v>
      </c>
      <c r="AA873" s="3">
        <v>0</v>
      </c>
    </row>
    <row r="874" spans="1:27">
      <c r="A874" t="s">
        <v>962</v>
      </c>
      <c r="B874" s="3">
        <v>3</v>
      </c>
      <c r="C874" s="3">
        <v>0</v>
      </c>
      <c r="D874" s="1">
        <v>38264</v>
      </c>
      <c r="E874" s="1">
        <v>39082</v>
      </c>
      <c r="F874" s="2">
        <f t="shared" si="13"/>
        <v>2.239561943874059</v>
      </c>
      <c r="G874" s="3">
        <v>1</v>
      </c>
      <c r="H874" s="3">
        <v>1</v>
      </c>
      <c r="I874" s="3">
        <v>0</v>
      </c>
      <c r="J874" s="3">
        <v>0</v>
      </c>
      <c r="K874" s="3">
        <v>0</v>
      </c>
      <c r="L874" s="3">
        <v>0</v>
      </c>
      <c r="M874" s="3">
        <v>0</v>
      </c>
      <c r="N874" s="3">
        <v>1</v>
      </c>
      <c r="O874" s="3">
        <v>0</v>
      </c>
      <c r="P874" s="3">
        <v>0</v>
      </c>
      <c r="Q874" s="3">
        <v>0</v>
      </c>
      <c r="R874" s="3">
        <v>92.4</v>
      </c>
      <c r="S874" s="2">
        <v>12.6</v>
      </c>
      <c r="T874" t="s">
        <v>105</v>
      </c>
      <c r="U874" s="3">
        <v>0</v>
      </c>
      <c r="V874" s="3">
        <v>1</v>
      </c>
      <c r="W874" s="3">
        <v>1</v>
      </c>
      <c r="X874" s="3">
        <v>1</v>
      </c>
      <c r="Y874" s="3">
        <v>0</v>
      </c>
      <c r="Z874" s="3">
        <v>1</v>
      </c>
      <c r="AA874" s="3">
        <v>0</v>
      </c>
    </row>
    <row r="875" spans="1:27">
      <c r="A875" t="s">
        <v>963</v>
      </c>
      <c r="B875" s="3">
        <v>3</v>
      </c>
      <c r="C875" s="3">
        <v>0</v>
      </c>
      <c r="D875" s="1">
        <v>38261</v>
      </c>
      <c r="E875" s="1">
        <v>39082</v>
      </c>
      <c r="F875" s="2">
        <f t="shared" si="13"/>
        <v>2.2477754962354553</v>
      </c>
      <c r="G875" s="3">
        <v>1</v>
      </c>
      <c r="H875" s="3">
        <v>1</v>
      </c>
      <c r="I875" s="3">
        <v>0</v>
      </c>
      <c r="J875" s="3">
        <v>1</v>
      </c>
      <c r="K875" s="3">
        <v>0</v>
      </c>
      <c r="L875" s="3">
        <v>0</v>
      </c>
      <c r="M875" s="3">
        <v>0</v>
      </c>
      <c r="N875" s="3">
        <v>0</v>
      </c>
      <c r="O875" s="3">
        <v>0</v>
      </c>
      <c r="P875" s="3">
        <v>1</v>
      </c>
      <c r="Q875" s="3">
        <v>0</v>
      </c>
      <c r="R875" s="3">
        <v>92.4</v>
      </c>
      <c r="S875" s="2">
        <v>13.4</v>
      </c>
      <c r="T875" t="s">
        <v>28</v>
      </c>
      <c r="U875" s="3">
        <v>0</v>
      </c>
      <c r="V875" s="3">
        <v>0</v>
      </c>
      <c r="W875" s="3">
        <v>1</v>
      </c>
      <c r="X875" s="3">
        <v>0</v>
      </c>
      <c r="Y875" s="3">
        <v>0</v>
      </c>
      <c r="Z875" s="3">
        <v>1</v>
      </c>
      <c r="AA875" s="3">
        <v>0</v>
      </c>
    </row>
    <row r="876" spans="1:27">
      <c r="A876" t="s">
        <v>964</v>
      </c>
      <c r="B876" s="3">
        <v>1</v>
      </c>
      <c r="C876" s="3">
        <v>0</v>
      </c>
      <c r="D876" s="1">
        <v>37206</v>
      </c>
      <c r="E876" s="1">
        <v>39082</v>
      </c>
      <c r="F876" s="2">
        <f t="shared" si="13"/>
        <v>5.1362080766598224</v>
      </c>
      <c r="G876" s="3">
        <v>1</v>
      </c>
      <c r="H876" s="3">
        <v>0</v>
      </c>
      <c r="I876" s="3">
        <v>1</v>
      </c>
      <c r="J876" s="3">
        <v>0</v>
      </c>
      <c r="K876" s="3">
        <v>0</v>
      </c>
      <c r="L876" s="3">
        <v>0</v>
      </c>
      <c r="M876" s="3">
        <v>0</v>
      </c>
      <c r="N876" s="3">
        <v>1</v>
      </c>
      <c r="O876" s="3">
        <v>0</v>
      </c>
      <c r="P876" s="3">
        <v>0</v>
      </c>
      <c r="Q876" s="3">
        <v>0</v>
      </c>
      <c r="R876" s="3">
        <v>92.4</v>
      </c>
      <c r="S876" s="2">
        <v>12.6</v>
      </c>
      <c r="T876" t="s">
        <v>28</v>
      </c>
      <c r="U876" s="3">
        <v>1</v>
      </c>
      <c r="V876" s="3">
        <v>1</v>
      </c>
      <c r="W876" s="3">
        <v>0</v>
      </c>
      <c r="X876" s="3">
        <v>0</v>
      </c>
      <c r="Y876" s="3">
        <v>0</v>
      </c>
      <c r="Z876" s="3">
        <v>1</v>
      </c>
      <c r="AA876" s="3">
        <v>0</v>
      </c>
    </row>
    <row r="877" spans="1:27">
      <c r="A877" t="s">
        <v>965</v>
      </c>
      <c r="B877" s="3">
        <v>1</v>
      </c>
      <c r="C877" s="3">
        <v>0</v>
      </c>
      <c r="D877" s="1">
        <v>37018</v>
      </c>
      <c r="E877" s="1">
        <v>39082</v>
      </c>
      <c r="F877" s="2">
        <f t="shared" si="13"/>
        <v>5.6509240246406574</v>
      </c>
      <c r="G877" s="3">
        <v>1</v>
      </c>
      <c r="H877" s="3">
        <v>1</v>
      </c>
      <c r="I877" s="3">
        <v>1</v>
      </c>
      <c r="J877" s="3">
        <v>0</v>
      </c>
      <c r="K877" s="3">
        <v>0</v>
      </c>
      <c r="L877" s="3">
        <v>0</v>
      </c>
      <c r="M877" s="3">
        <v>0</v>
      </c>
      <c r="N877" s="3">
        <v>0</v>
      </c>
      <c r="O877" s="3">
        <v>0</v>
      </c>
      <c r="P877" s="3">
        <v>0</v>
      </c>
      <c r="Q877" s="3">
        <v>0</v>
      </c>
      <c r="R877" s="3">
        <v>92.4</v>
      </c>
      <c r="S877" s="2">
        <v>13.2</v>
      </c>
      <c r="T877" t="s">
        <v>28</v>
      </c>
      <c r="U877" s="3">
        <v>1</v>
      </c>
      <c r="V877" s="3">
        <v>1</v>
      </c>
      <c r="W877" s="3">
        <v>1</v>
      </c>
      <c r="X877" s="3">
        <v>1</v>
      </c>
      <c r="Y877" s="3">
        <v>0</v>
      </c>
      <c r="Z877" s="3">
        <v>1</v>
      </c>
      <c r="AA877" s="3">
        <v>0</v>
      </c>
    </row>
    <row r="878" spans="1:27">
      <c r="A878" t="s">
        <v>966</v>
      </c>
      <c r="B878" s="3">
        <v>2</v>
      </c>
      <c r="C878" s="3">
        <v>1</v>
      </c>
      <c r="D878" s="1">
        <v>36722</v>
      </c>
      <c r="E878" s="1">
        <v>39082</v>
      </c>
      <c r="F878" s="2">
        <f t="shared" si="13"/>
        <v>6.4613278576317592</v>
      </c>
      <c r="G878" s="3">
        <v>1</v>
      </c>
      <c r="H878" s="3">
        <v>1</v>
      </c>
      <c r="I878" s="3">
        <v>0</v>
      </c>
      <c r="J878" s="3">
        <v>0</v>
      </c>
      <c r="K878" s="3">
        <v>0</v>
      </c>
      <c r="L878" s="3">
        <v>0</v>
      </c>
      <c r="M878" s="3">
        <v>0</v>
      </c>
      <c r="N878" s="3">
        <v>0</v>
      </c>
      <c r="O878" s="3">
        <v>1</v>
      </c>
      <c r="P878" s="3">
        <v>0</v>
      </c>
      <c r="Q878" s="3">
        <v>0</v>
      </c>
      <c r="R878" s="3">
        <v>92.5</v>
      </c>
      <c r="S878" s="2">
        <v>13</v>
      </c>
      <c r="T878" t="s">
        <v>66</v>
      </c>
      <c r="U878" s="3">
        <v>1</v>
      </c>
      <c r="V878" s="3">
        <v>1</v>
      </c>
      <c r="W878" s="3">
        <v>1</v>
      </c>
      <c r="X878" s="3">
        <v>1</v>
      </c>
      <c r="Y878" s="3">
        <v>0</v>
      </c>
      <c r="Z878" s="3">
        <v>1</v>
      </c>
      <c r="AA878" s="3">
        <v>0</v>
      </c>
    </row>
    <row r="879" spans="1:27">
      <c r="A879" t="s">
        <v>967</v>
      </c>
      <c r="B879" s="3">
        <v>3</v>
      </c>
      <c r="C879" s="3">
        <v>0</v>
      </c>
      <c r="D879" s="1">
        <v>37494</v>
      </c>
      <c r="E879" s="1">
        <v>39082</v>
      </c>
      <c r="F879" s="2">
        <f t="shared" si="13"/>
        <v>4.3477070499657771</v>
      </c>
      <c r="G879" s="3">
        <v>2</v>
      </c>
      <c r="H879" s="3">
        <v>1</v>
      </c>
      <c r="I879" s="3">
        <v>0</v>
      </c>
      <c r="J879" s="3">
        <v>0</v>
      </c>
      <c r="K879" s="3">
        <v>0</v>
      </c>
      <c r="L879" s="3">
        <v>0</v>
      </c>
      <c r="M879" s="3">
        <v>0</v>
      </c>
      <c r="N879" s="3">
        <v>1</v>
      </c>
      <c r="O879" s="3">
        <v>0</v>
      </c>
      <c r="P879" s="3">
        <v>1</v>
      </c>
      <c r="Q879" s="3">
        <v>0</v>
      </c>
      <c r="R879" s="3">
        <v>92.5</v>
      </c>
      <c r="S879" s="2">
        <v>11.1</v>
      </c>
      <c r="T879" t="s">
        <v>82</v>
      </c>
      <c r="U879" s="3">
        <v>1</v>
      </c>
      <c r="V879" s="3">
        <v>1</v>
      </c>
      <c r="W879" s="3">
        <v>0</v>
      </c>
      <c r="X879" s="3">
        <v>0</v>
      </c>
      <c r="Y879" s="3">
        <v>0</v>
      </c>
      <c r="Z879" s="3">
        <v>0</v>
      </c>
      <c r="AA879" s="3">
        <v>0</v>
      </c>
    </row>
    <row r="880" spans="1:27">
      <c r="A880" t="s">
        <v>968</v>
      </c>
      <c r="B880" s="3">
        <v>2</v>
      </c>
      <c r="C880" s="3">
        <v>0</v>
      </c>
      <c r="D880" s="1">
        <v>36585</v>
      </c>
      <c r="E880" s="1">
        <v>39082</v>
      </c>
      <c r="F880" s="2">
        <f t="shared" si="13"/>
        <v>6.8364134154688569</v>
      </c>
      <c r="G880" s="3">
        <v>1</v>
      </c>
      <c r="H880" s="3">
        <v>0</v>
      </c>
      <c r="I880" s="3">
        <v>1</v>
      </c>
      <c r="J880" s="3">
        <v>0</v>
      </c>
      <c r="K880" s="3">
        <v>0</v>
      </c>
      <c r="L880" s="3">
        <v>0</v>
      </c>
      <c r="M880" s="3">
        <v>0</v>
      </c>
      <c r="N880" s="3">
        <v>1</v>
      </c>
      <c r="O880" s="3">
        <v>0</v>
      </c>
      <c r="P880" s="3">
        <v>1</v>
      </c>
      <c r="Q880" s="3">
        <v>0</v>
      </c>
      <c r="R880" s="3">
        <v>92.5</v>
      </c>
      <c r="S880" s="2">
        <v>11.9</v>
      </c>
      <c r="T880" t="s">
        <v>28</v>
      </c>
      <c r="U880" s="3">
        <v>1</v>
      </c>
      <c r="V880" s="3">
        <v>1</v>
      </c>
      <c r="W880" s="3">
        <v>0</v>
      </c>
      <c r="X880" s="3">
        <v>0</v>
      </c>
      <c r="Y880" s="3">
        <v>0</v>
      </c>
      <c r="Z880" s="3">
        <v>1</v>
      </c>
      <c r="AA880" s="3">
        <v>0</v>
      </c>
    </row>
    <row r="881" spans="1:27">
      <c r="A881" t="s">
        <v>969</v>
      </c>
      <c r="B881" s="3">
        <v>1</v>
      </c>
      <c r="C881" s="3">
        <v>0</v>
      </c>
      <c r="D881" s="1">
        <v>38175</v>
      </c>
      <c r="E881" s="1">
        <v>39082</v>
      </c>
      <c r="F881" s="2">
        <f t="shared" si="13"/>
        <v>2.4832306639288158</v>
      </c>
      <c r="G881" s="3">
        <v>1</v>
      </c>
      <c r="H881" s="3">
        <v>0</v>
      </c>
      <c r="I881" s="3">
        <v>1</v>
      </c>
      <c r="J881" s="3">
        <v>1</v>
      </c>
      <c r="K881" s="3">
        <v>0</v>
      </c>
      <c r="L881" s="3">
        <v>0</v>
      </c>
      <c r="M881" s="3">
        <v>0</v>
      </c>
      <c r="N881" s="3">
        <v>1</v>
      </c>
      <c r="O881" s="3">
        <v>0</v>
      </c>
      <c r="P881" s="3">
        <v>0</v>
      </c>
      <c r="Q881" s="3">
        <v>0</v>
      </c>
      <c r="R881" s="3">
        <v>92.5</v>
      </c>
      <c r="S881" s="2">
        <v>12.7</v>
      </c>
      <c r="T881" t="s">
        <v>92</v>
      </c>
      <c r="U881" s="3">
        <v>0</v>
      </c>
      <c r="V881" s="3">
        <v>1</v>
      </c>
      <c r="W881" s="3">
        <v>1</v>
      </c>
      <c r="X881" s="3">
        <v>1</v>
      </c>
      <c r="Y881" s="3">
        <v>0</v>
      </c>
      <c r="Z881" s="3">
        <v>1</v>
      </c>
      <c r="AA881" s="3">
        <v>0</v>
      </c>
    </row>
    <row r="882" spans="1:27">
      <c r="A882" t="s">
        <v>970</v>
      </c>
      <c r="B882" s="3">
        <v>3</v>
      </c>
      <c r="C882" s="3">
        <v>0</v>
      </c>
      <c r="D882" s="1">
        <v>38280</v>
      </c>
      <c r="E882" s="1">
        <v>39082</v>
      </c>
      <c r="F882" s="2">
        <f t="shared" si="13"/>
        <v>2.1957563312799451</v>
      </c>
      <c r="G882" s="3">
        <v>1</v>
      </c>
      <c r="H882" s="3">
        <v>1</v>
      </c>
      <c r="I882" s="3">
        <v>0</v>
      </c>
      <c r="J882" s="3">
        <v>0</v>
      </c>
      <c r="K882" s="3">
        <v>0</v>
      </c>
      <c r="L882" s="3">
        <v>0</v>
      </c>
      <c r="M882" s="3">
        <v>0</v>
      </c>
      <c r="N882" s="3">
        <v>0</v>
      </c>
      <c r="O882" s="3">
        <v>0</v>
      </c>
      <c r="P882" s="3">
        <v>0</v>
      </c>
      <c r="Q882" s="3">
        <v>0</v>
      </c>
      <c r="R882" s="3">
        <v>92.6</v>
      </c>
      <c r="S882" s="2">
        <v>14.2</v>
      </c>
      <c r="T882" t="s">
        <v>28</v>
      </c>
      <c r="U882" s="3">
        <v>0</v>
      </c>
      <c r="V882" s="3">
        <v>1</v>
      </c>
      <c r="W882" s="3">
        <v>1</v>
      </c>
      <c r="X882" s="3">
        <v>1</v>
      </c>
      <c r="Y882" s="3">
        <v>1</v>
      </c>
      <c r="Z882" s="3">
        <v>1</v>
      </c>
      <c r="AA882" s="3">
        <v>0</v>
      </c>
    </row>
    <row r="883" spans="1:27">
      <c r="A883" t="s">
        <v>971</v>
      </c>
      <c r="B883" s="3">
        <v>2</v>
      </c>
      <c r="C883" s="3">
        <v>0</v>
      </c>
      <c r="D883" s="1">
        <v>37073</v>
      </c>
      <c r="E883" s="1">
        <v>39082</v>
      </c>
      <c r="F883" s="2">
        <f t="shared" si="13"/>
        <v>5.5003422313483918</v>
      </c>
      <c r="G883" s="3">
        <v>2</v>
      </c>
      <c r="H883" s="3">
        <v>1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1</v>
      </c>
      <c r="O883" s="3">
        <v>0</v>
      </c>
      <c r="P883" s="3">
        <v>1</v>
      </c>
      <c r="Q883" s="3">
        <v>0</v>
      </c>
      <c r="R883" s="3">
        <v>92.6</v>
      </c>
      <c r="S883" s="2">
        <v>12.2</v>
      </c>
      <c r="T883" t="s">
        <v>28</v>
      </c>
      <c r="U883" s="3">
        <v>1</v>
      </c>
      <c r="V883" s="3">
        <v>1</v>
      </c>
      <c r="W883" s="3">
        <v>1</v>
      </c>
      <c r="X883" s="3">
        <v>1</v>
      </c>
      <c r="Y883" s="3">
        <v>1</v>
      </c>
      <c r="Z883" s="3">
        <v>0</v>
      </c>
      <c r="AA883" s="3">
        <v>0</v>
      </c>
    </row>
    <row r="884" spans="1:27">
      <c r="A884" t="s">
        <v>972</v>
      </c>
      <c r="B884" s="3">
        <v>3</v>
      </c>
      <c r="C884" s="3">
        <v>0</v>
      </c>
      <c r="D884" s="1">
        <v>37988</v>
      </c>
      <c r="E884" s="1">
        <v>39082</v>
      </c>
      <c r="F884" s="2">
        <f t="shared" si="13"/>
        <v>2.9952087611225187</v>
      </c>
      <c r="G884" s="3">
        <v>2</v>
      </c>
      <c r="H884" s="3">
        <v>1</v>
      </c>
      <c r="I884" s="3">
        <v>0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>
        <v>0</v>
      </c>
      <c r="P884" s="3">
        <v>0</v>
      </c>
      <c r="Q884" s="3">
        <v>0</v>
      </c>
      <c r="R884" s="3">
        <v>92.6</v>
      </c>
      <c r="S884" s="2">
        <v>13.2</v>
      </c>
      <c r="T884" t="s">
        <v>28</v>
      </c>
      <c r="U884" s="3">
        <v>0</v>
      </c>
      <c r="V884" s="3">
        <v>1</v>
      </c>
      <c r="W884" s="3">
        <v>1</v>
      </c>
      <c r="X884" s="3">
        <v>1</v>
      </c>
      <c r="Y884" s="3">
        <v>1</v>
      </c>
      <c r="Z884" s="3">
        <v>0</v>
      </c>
      <c r="AA884" s="3">
        <v>0</v>
      </c>
    </row>
    <row r="885" spans="1:27">
      <c r="A885" t="s">
        <v>179</v>
      </c>
      <c r="B885" s="3">
        <v>3</v>
      </c>
      <c r="C885" s="3">
        <v>0</v>
      </c>
      <c r="D885" s="1">
        <v>38255</v>
      </c>
      <c r="E885" s="1">
        <v>39082</v>
      </c>
      <c r="F885" s="2">
        <f t="shared" si="13"/>
        <v>2.2642026009582477</v>
      </c>
      <c r="G885" s="3">
        <v>1</v>
      </c>
      <c r="H885" s="3">
        <v>1</v>
      </c>
      <c r="I885" s="3">
        <v>0</v>
      </c>
      <c r="J885" s="3">
        <v>1</v>
      </c>
      <c r="K885" s="3">
        <v>0</v>
      </c>
      <c r="L885" s="3">
        <v>0</v>
      </c>
      <c r="M885" s="3">
        <v>1</v>
      </c>
      <c r="N885" s="3">
        <v>0</v>
      </c>
      <c r="O885" s="3">
        <v>0</v>
      </c>
      <c r="P885" s="3">
        <v>1</v>
      </c>
      <c r="Q885" s="3">
        <v>0</v>
      </c>
      <c r="R885" s="3">
        <v>92.6</v>
      </c>
      <c r="S885" s="2">
        <v>12.5</v>
      </c>
      <c r="T885" t="s">
        <v>28</v>
      </c>
      <c r="U885" s="3">
        <v>1</v>
      </c>
      <c r="V885" s="3">
        <v>1</v>
      </c>
      <c r="W885" s="3">
        <v>1</v>
      </c>
      <c r="X885" s="3">
        <v>1</v>
      </c>
      <c r="Y885" s="3">
        <v>0</v>
      </c>
      <c r="Z885" s="3">
        <v>1</v>
      </c>
      <c r="AA885" s="3">
        <v>0</v>
      </c>
    </row>
    <row r="886" spans="1:27">
      <c r="A886" t="s">
        <v>973</v>
      </c>
      <c r="B886" s="3">
        <v>1</v>
      </c>
      <c r="C886" s="3">
        <v>0</v>
      </c>
      <c r="D886" s="1">
        <v>37154</v>
      </c>
      <c r="E886" s="1">
        <v>39082</v>
      </c>
      <c r="F886" s="2">
        <f t="shared" si="13"/>
        <v>5.2785763175906917</v>
      </c>
      <c r="G886" s="3">
        <v>1</v>
      </c>
      <c r="H886" s="3">
        <v>1</v>
      </c>
      <c r="I886" s="3">
        <v>1</v>
      </c>
      <c r="J886" s="3">
        <v>0</v>
      </c>
      <c r="K886" s="3">
        <v>0</v>
      </c>
      <c r="L886" s="3">
        <v>0</v>
      </c>
      <c r="M886" s="3">
        <v>0</v>
      </c>
      <c r="N886" s="3">
        <v>1</v>
      </c>
      <c r="O886" s="3">
        <v>0</v>
      </c>
      <c r="P886" s="3">
        <v>0</v>
      </c>
      <c r="Q886" s="3">
        <v>0</v>
      </c>
      <c r="R886" s="3">
        <v>92.6</v>
      </c>
      <c r="S886" s="2">
        <v>13.4</v>
      </c>
      <c r="T886" t="s">
        <v>28</v>
      </c>
      <c r="U886" s="3">
        <v>1</v>
      </c>
      <c r="V886" s="3">
        <v>1</v>
      </c>
      <c r="W886" s="3">
        <v>0</v>
      </c>
      <c r="X886" s="3">
        <v>0</v>
      </c>
      <c r="Y886" s="3">
        <v>0</v>
      </c>
      <c r="Z886" s="3">
        <v>1</v>
      </c>
      <c r="AA886" s="3">
        <v>0</v>
      </c>
    </row>
    <row r="887" spans="1:27">
      <c r="A887" t="s">
        <v>974</v>
      </c>
      <c r="B887" s="3">
        <v>1</v>
      </c>
      <c r="C887" s="3">
        <v>0</v>
      </c>
      <c r="D887" s="1">
        <v>37163</v>
      </c>
      <c r="E887" s="1">
        <v>39082</v>
      </c>
      <c r="F887" s="2">
        <f t="shared" si="13"/>
        <v>5.2539356605065022</v>
      </c>
      <c r="G887" s="3">
        <v>1</v>
      </c>
      <c r="H887" s="3">
        <v>0</v>
      </c>
      <c r="I887" s="3">
        <v>0</v>
      </c>
      <c r="J887" s="3">
        <v>0</v>
      </c>
      <c r="K887" s="3">
        <v>1</v>
      </c>
      <c r="L887" s="3">
        <v>0</v>
      </c>
      <c r="M887" s="3">
        <v>1</v>
      </c>
      <c r="N887" s="3">
        <v>1</v>
      </c>
      <c r="O887" s="3">
        <v>0</v>
      </c>
      <c r="P887" s="3">
        <v>1</v>
      </c>
      <c r="Q887" s="3">
        <v>0</v>
      </c>
      <c r="R887" s="3">
        <v>92.7</v>
      </c>
      <c r="S887" s="2">
        <v>13</v>
      </c>
      <c r="T887" t="s">
        <v>44</v>
      </c>
      <c r="U887" s="3">
        <v>1</v>
      </c>
      <c r="V887" s="3">
        <v>1</v>
      </c>
      <c r="W887" s="3">
        <v>0</v>
      </c>
      <c r="X887" s="3">
        <v>0</v>
      </c>
      <c r="Y887" s="3">
        <v>0</v>
      </c>
      <c r="Z887" s="3">
        <v>1</v>
      </c>
      <c r="AA887" s="3">
        <v>0</v>
      </c>
    </row>
    <row r="888" spans="1:27">
      <c r="A888" t="s">
        <v>975</v>
      </c>
      <c r="B888" s="3">
        <v>2</v>
      </c>
      <c r="C888" s="3">
        <v>1</v>
      </c>
      <c r="D888" s="1">
        <v>36713</v>
      </c>
      <c r="E888" s="1">
        <v>39082</v>
      </c>
      <c r="F888" s="2">
        <f t="shared" si="13"/>
        <v>6.4859685147159478</v>
      </c>
      <c r="G888" s="3">
        <v>2</v>
      </c>
      <c r="H888" s="3">
        <v>1</v>
      </c>
      <c r="I888" s="3">
        <v>0</v>
      </c>
      <c r="J888" s="3">
        <v>0</v>
      </c>
      <c r="K888" s="3">
        <v>0</v>
      </c>
      <c r="L888" s="3">
        <v>1</v>
      </c>
      <c r="M888" s="3">
        <v>0</v>
      </c>
      <c r="N888" s="3">
        <v>0</v>
      </c>
      <c r="O888" s="3">
        <v>0</v>
      </c>
      <c r="P888" s="3">
        <v>0</v>
      </c>
      <c r="Q888" s="3">
        <v>0</v>
      </c>
      <c r="R888" s="3">
        <v>92.7</v>
      </c>
      <c r="S888" s="2">
        <v>10.7</v>
      </c>
      <c r="T888" t="s">
        <v>28</v>
      </c>
      <c r="U888" s="3">
        <v>0</v>
      </c>
      <c r="V888" s="3">
        <v>0</v>
      </c>
      <c r="W888" s="3">
        <v>1</v>
      </c>
      <c r="X888" s="3">
        <v>0</v>
      </c>
      <c r="Y888" s="3">
        <v>0</v>
      </c>
      <c r="Z888" s="3">
        <v>0</v>
      </c>
      <c r="AA888" s="3">
        <v>0</v>
      </c>
    </row>
    <row r="889" spans="1:27">
      <c r="A889" t="s">
        <v>725</v>
      </c>
      <c r="B889" s="3">
        <v>3</v>
      </c>
      <c r="C889" s="3">
        <v>0</v>
      </c>
      <c r="D889" s="1">
        <v>38118</v>
      </c>
      <c r="E889" s="1">
        <v>39082</v>
      </c>
      <c r="F889" s="2">
        <f t="shared" si="13"/>
        <v>2.6392881587953458</v>
      </c>
      <c r="G889" s="3">
        <v>2</v>
      </c>
      <c r="H889" s="3">
        <v>1</v>
      </c>
      <c r="I889" s="3">
        <v>0</v>
      </c>
      <c r="J889" s="3">
        <v>1</v>
      </c>
      <c r="K889" s="3">
        <v>0</v>
      </c>
      <c r="L889" s="3">
        <v>0</v>
      </c>
      <c r="M889" s="3">
        <v>0</v>
      </c>
      <c r="N889" s="3">
        <v>0</v>
      </c>
      <c r="O889" s="3">
        <v>0</v>
      </c>
      <c r="P889" s="3">
        <v>1</v>
      </c>
      <c r="Q889" s="3">
        <v>0</v>
      </c>
      <c r="R889" s="3">
        <v>92.7</v>
      </c>
      <c r="S889" s="2">
        <v>12.9</v>
      </c>
      <c r="T889" t="s">
        <v>50</v>
      </c>
      <c r="U889" s="3">
        <v>1</v>
      </c>
      <c r="V889" s="3">
        <v>1</v>
      </c>
      <c r="W889" s="3">
        <v>1</v>
      </c>
      <c r="X889" s="3">
        <v>1</v>
      </c>
      <c r="Y889" s="3">
        <v>1</v>
      </c>
      <c r="Z889" s="3">
        <v>0</v>
      </c>
      <c r="AA889" s="3">
        <v>0</v>
      </c>
    </row>
    <row r="890" spans="1:27">
      <c r="A890" t="s">
        <v>976</v>
      </c>
      <c r="B890" s="3">
        <v>1</v>
      </c>
      <c r="C890" s="3">
        <v>0</v>
      </c>
      <c r="D890" s="1">
        <v>38335</v>
      </c>
      <c r="E890" s="1">
        <v>39082</v>
      </c>
      <c r="F890" s="2">
        <f t="shared" si="13"/>
        <v>2.0451745379876796</v>
      </c>
      <c r="G890" s="3">
        <v>1</v>
      </c>
      <c r="H890" s="3">
        <v>1</v>
      </c>
      <c r="I890" s="3">
        <v>1</v>
      </c>
      <c r="J890" s="3">
        <v>0</v>
      </c>
      <c r="K890" s="3">
        <v>0</v>
      </c>
      <c r="L890" s="3">
        <v>1</v>
      </c>
      <c r="M890" s="3">
        <v>0</v>
      </c>
      <c r="N890" s="3">
        <v>1</v>
      </c>
      <c r="O890" s="3">
        <v>0</v>
      </c>
      <c r="P890" s="3">
        <v>1</v>
      </c>
      <c r="Q890" s="3">
        <v>0</v>
      </c>
      <c r="R890" s="3">
        <v>92.7</v>
      </c>
      <c r="S890" s="2">
        <v>14</v>
      </c>
      <c r="T890" t="s">
        <v>44</v>
      </c>
      <c r="U890" s="3">
        <v>0</v>
      </c>
      <c r="V890" s="3">
        <v>1</v>
      </c>
      <c r="W890" s="3">
        <v>1</v>
      </c>
      <c r="X890" s="3">
        <v>1</v>
      </c>
      <c r="Y890" s="3">
        <v>0</v>
      </c>
      <c r="Z890" s="3">
        <v>1</v>
      </c>
      <c r="AA890" s="3">
        <v>0</v>
      </c>
    </row>
    <row r="891" spans="1:27">
      <c r="A891" t="s">
        <v>137</v>
      </c>
      <c r="B891" s="3">
        <v>2</v>
      </c>
      <c r="C891" s="3">
        <v>0</v>
      </c>
      <c r="D891" s="1">
        <v>37049</v>
      </c>
      <c r="E891" s="1">
        <v>39082</v>
      </c>
      <c r="F891" s="2">
        <f t="shared" si="13"/>
        <v>5.5660506502395624</v>
      </c>
      <c r="G891" s="3">
        <v>1</v>
      </c>
      <c r="H891" s="3">
        <v>1</v>
      </c>
      <c r="I891" s="3">
        <v>1</v>
      </c>
      <c r="J891" s="3">
        <v>0</v>
      </c>
      <c r="K891" s="3">
        <v>0</v>
      </c>
      <c r="L891" s="3">
        <v>0</v>
      </c>
      <c r="M891" s="3">
        <v>0</v>
      </c>
      <c r="N891" s="3">
        <v>0</v>
      </c>
      <c r="O891" s="3">
        <v>0</v>
      </c>
      <c r="P891" s="3">
        <v>0</v>
      </c>
      <c r="Q891" s="3">
        <v>0</v>
      </c>
      <c r="R891" s="3">
        <v>92.7</v>
      </c>
      <c r="S891" s="2">
        <v>13.8</v>
      </c>
      <c r="T891" t="s">
        <v>300</v>
      </c>
      <c r="U891" s="3">
        <v>1</v>
      </c>
      <c r="V891" s="3">
        <v>1</v>
      </c>
      <c r="W891" s="3">
        <v>1</v>
      </c>
      <c r="X891" s="3">
        <v>0</v>
      </c>
      <c r="Y891" s="3">
        <v>0</v>
      </c>
      <c r="Z891" s="3">
        <v>1</v>
      </c>
      <c r="AA891" s="3">
        <v>0</v>
      </c>
    </row>
    <row r="892" spans="1:27">
      <c r="A892" t="s">
        <v>177</v>
      </c>
      <c r="B892" s="3">
        <v>2</v>
      </c>
      <c r="C892" s="3">
        <v>0</v>
      </c>
      <c r="D892" s="1">
        <v>36841</v>
      </c>
      <c r="E892" s="1">
        <v>39082</v>
      </c>
      <c r="F892" s="2">
        <f t="shared" si="13"/>
        <v>6.1355236139630387</v>
      </c>
      <c r="G892" s="3">
        <v>1</v>
      </c>
      <c r="H892" s="3">
        <v>0</v>
      </c>
      <c r="I892" s="3">
        <v>0</v>
      </c>
      <c r="J892" s="3">
        <v>0</v>
      </c>
      <c r="K892" s="3">
        <v>0</v>
      </c>
      <c r="L892" s="3">
        <v>0</v>
      </c>
      <c r="M892" s="3">
        <v>1</v>
      </c>
      <c r="N892" s="3">
        <v>0</v>
      </c>
      <c r="O892" s="3">
        <v>0</v>
      </c>
      <c r="P892" s="3">
        <v>0</v>
      </c>
      <c r="Q892" s="3">
        <v>0</v>
      </c>
      <c r="R892" s="3">
        <v>92.9</v>
      </c>
      <c r="S892" s="2">
        <v>14.2</v>
      </c>
      <c r="T892" t="s">
        <v>28</v>
      </c>
      <c r="U892" s="3">
        <v>1</v>
      </c>
      <c r="V892" s="3">
        <v>1</v>
      </c>
      <c r="W892" s="3">
        <v>0</v>
      </c>
      <c r="X892" s="3">
        <v>0</v>
      </c>
      <c r="Y892" s="3">
        <v>0</v>
      </c>
      <c r="Z892" s="3">
        <v>1</v>
      </c>
      <c r="AA892" s="3">
        <v>0</v>
      </c>
    </row>
    <row r="893" spans="1:27">
      <c r="A893" t="s">
        <v>977</v>
      </c>
      <c r="B893" s="3">
        <v>1</v>
      </c>
      <c r="C893" s="3">
        <v>0</v>
      </c>
      <c r="D893" s="1">
        <v>37127</v>
      </c>
      <c r="E893" s="1">
        <v>39082</v>
      </c>
      <c r="F893" s="2">
        <f t="shared" si="13"/>
        <v>5.3524982888432584</v>
      </c>
      <c r="G893" s="3">
        <v>2</v>
      </c>
      <c r="H893" s="3">
        <v>0</v>
      </c>
      <c r="I893" s="3">
        <v>0</v>
      </c>
      <c r="J893" s="3">
        <v>0</v>
      </c>
      <c r="K893" s="3">
        <v>0</v>
      </c>
      <c r="L893" s="3">
        <v>1</v>
      </c>
      <c r="M893" s="3">
        <v>0</v>
      </c>
      <c r="N893" s="3">
        <v>1</v>
      </c>
      <c r="O893" s="3">
        <v>1</v>
      </c>
      <c r="P893" s="3">
        <v>0</v>
      </c>
      <c r="Q893" s="3">
        <v>0</v>
      </c>
      <c r="R893" s="3">
        <v>93</v>
      </c>
      <c r="S893" s="2">
        <v>13.7</v>
      </c>
      <c r="T893" t="s">
        <v>28</v>
      </c>
      <c r="U893" s="3">
        <v>1</v>
      </c>
      <c r="V893" s="3">
        <v>1</v>
      </c>
      <c r="W893" s="3">
        <v>1</v>
      </c>
      <c r="X893" s="3">
        <v>0</v>
      </c>
      <c r="Y893" s="3">
        <v>0</v>
      </c>
      <c r="Z893" s="3">
        <v>0</v>
      </c>
      <c r="AA893" s="3">
        <v>0</v>
      </c>
    </row>
    <row r="894" spans="1:27">
      <c r="A894" t="s">
        <v>978</v>
      </c>
      <c r="B894" s="3">
        <v>3</v>
      </c>
      <c r="C894" s="3">
        <v>0</v>
      </c>
      <c r="D894" s="1">
        <v>37297</v>
      </c>
      <c r="E894" s="1">
        <v>39082</v>
      </c>
      <c r="F894" s="2">
        <f t="shared" si="13"/>
        <v>4.8870636550308006</v>
      </c>
      <c r="G894" s="3">
        <v>2</v>
      </c>
      <c r="H894" s="3">
        <v>1</v>
      </c>
      <c r="I894" s="3">
        <v>0</v>
      </c>
      <c r="J894" s="3">
        <v>0</v>
      </c>
      <c r="K894" s="3">
        <v>0</v>
      </c>
      <c r="L894" s="3">
        <v>0</v>
      </c>
      <c r="M894" s="3">
        <v>0</v>
      </c>
      <c r="N894" s="3">
        <v>0</v>
      </c>
      <c r="O894" s="3">
        <v>0</v>
      </c>
      <c r="P894" s="3">
        <v>0</v>
      </c>
      <c r="Q894" s="3">
        <v>0</v>
      </c>
      <c r="R894" s="3">
        <v>93</v>
      </c>
      <c r="S894" s="2">
        <v>13.3</v>
      </c>
      <c r="T894" t="s">
        <v>979</v>
      </c>
      <c r="U894" s="3">
        <v>0</v>
      </c>
      <c r="V894" s="3">
        <v>0</v>
      </c>
      <c r="W894" s="3">
        <v>1</v>
      </c>
      <c r="X894" s="3">
        <v>0</v>
      </c>
      <c r="Y894" s="3">
        <v>0</v>
      </c>
      <c r="Z894" s="3">
        <v>0</v>
      </c>
      <c r="AA894" s="3">
        <v>0</v>
      </c>
    </row>
    <row r="895" spans="1:27">
      <c r="A895" t="s">
        <v>980</v>
      </c>
      <c r="B895" s="3">
        <v>1</v>
      </c>
      <c r="C895" s="3">
        <v>0</v>
      </c>
      <c r="D895" s="1">
        <v>36676</v>
      </c>
      <c r="E895" s="1">
        <v>39082</v>
      </c>
      <c r="F895" s="2">
        <f t="shared" si="13"/>
        <v>6.5872689938398361</v>
      </c>
      <c r="G895" s="3">
        <v>1</v>
      </c>
      <c r="H895" s="3">
        <v>0</v>
      </c>
      <c r="I895" s="3">
        <v>1</v>
      </c>
      <c r="J895" s="3">
        <v>1</v>
      </c>
      <c r="K895" s="3">
        <v>0</v>
      </c>
      <c r="L895" s="3">
        <v>0</v>
      </c>
      <c r="M895" s="3">
        <v>0</v>
      </c>
      <c r="N895" s="3">
        <v>0</v>
      </c>
      <c r="O895" s="3">
        <v>0</v>
      </c>
      <c r="P895" s="3">
        <v>0</v>
      </c>
      <c r="Q895" s="3">
        <v>0</v>
      </c>
      <c r="R895" s="3">
        <v>93</v>
      </c>
      <c r="S895" s="2">
        <v>12.5</v>
      </c>
      <c r="T895" t="s">
        <v>283</v>
      </c>
      <c r="U895" s="3">
        <v>1</v>
      </c>
      <c r="V895" s="3">
        <v>1</v>
      </c>
      <c r="W895" s="3">
        <v>1</v>
      </c>
      <c r="X895" s="3">
        <v>1</v>
      </c>
      <c r="Y895" s="3">
        <v>0</v>
      </c>
      <c r="Z895" s="3">
        <v>1</v>
      </c>
      <c r="AA895" s="3">
        <v>0</v>
      </c>
    </row>
    <row r="896" spans="1:27">
      <c r="A896" t="s">
        <v>981</v>
      </c>
      <c r="B896" s="3">
        <v>1</v>
      </c>
      <c r="C896" s="3">
        <v>0</v>
      </c>
      <c r="D896" s="1">
        <v>37292</v>
      </c>
      <c r="E896" s="1">
        <v>39082</v>
      </c>
      <c r="F896" s="2">
        <f t="shared" si="13"/>
        <v>4.900752908966461</v>
      </c>
      <c r="G896" s="3">
        <v>2</v>
      </c>
      <c r="H896" s="3">
        <v>1</v>
      </c>
      <c r="I896" s="3">
        <v>0</v>
      </c>
      <c r="J896" s="3">
        <v>0</v>
      </c>
      <c r="K896" s="3">
        <v>0</v>
      </c>
      <c r="L896" s="3">
        <v>1</v>
      </c>
      <c r="M896" s="3">
        <v>0</v>
      </c>
      <c r="N896" s="3">
        <v>1</v>
      </c>
      <c r="O896" s="3">
        <v>0</v>
      </c>
      <c r="P896" s="3">
        <v>1</v>
      </c>
      <c r="Q896" s="3">
        <v>0</v>
      </c>
      <c r="R896" s="3">
        <v>93.1</v>
      </c>
      <c r="S896" s="2">
        <v>13.1</v>
      </c>
      <c r="T896" t="s">
        <v>28</v>
      </c>
      <c r="U896" s="3">
        <v>0</v>
      </c>
      <c r="V896" s="3">
        <v>1</v>
      </c>
      <c r="W896" s="3">
        <v>1</v>
      </c>
      <c r="X896" s="3">
        <v>0</v>
      </c>
      <c r="Y896" s="3">
        <v>0</v>
      </c>
      <c r="Z896" s="3">
        <v>0</v>
      </c>
      <c r="AA896" s="3">
        <v>0</v>
      </c>
    </row>
    <row r="897" spans="1:27">
      <c r="A897" t="s">
        <v>982</v>
      </c>
      <c r="B897" s="3">
        <v>3</v>
      </c>
      <c r="C897" s="3">
        <v>0</v>
      </c>
      <c r="D897" s="1">
        <v>38348</v>
      </c>
      <c r="E897" s="1">
        <v>39082</v>
      </c>
      <c r="F897" s="2">
        <f t="shared" si="13"/>
        <v>2.0095824777549622</v>
      </c>
      <c r="G897" s="3">
        <v>2</v>
      </c>
      <c r="H897" s="3">
        <v>1</v>
      </c>
      <c r="I897" s="3">
        <v>0</v>
      </c>
      <c r="J897" s="3">
        <v>0</v>
      </c>
      <c r="K897" s="3">
        <v>0</v>
      </c>
      <c r="L897" s="3">
        <v>0</v>
      </c>
      <c r="M897" s="3">
        <v>0</v>
      </c>
      <c r="N897" s="3">
        <v>1</v>
      </c>
      <c r="O897" s="3">
        <v>0</v>
      </c>
      <c r="P897" s="3">
        <v>0</v>
      </c>
      <c r="Q897" s="3">
        <v>0</v>
      </c>
      <c r="R897" s="3">
        <v>93.1</v>
      </c>
      <c r="S897" s="2">
        <v>13.9</v>
      </c>
      <c r="T897" t="s">
        <v>670</v>
      </c>
      <c r="U897" s="3">
        <v>1</v>
      </c>
      <c r="V897" s="3">
        <v>1</v>
      </c>
      <c r="W897" s="3">
        <v>0</v>
      </c>
      <c r="X897" s="3">
        <v>0</v>
      </c>
      <c r="Y897" s="3">
        <v>0</v>
      </c>
      <c r="Z897" s="3">
        <v>0</v>
      </c>
      <c r="AA897" s="3">
        <v>0</v>
      </c>
    </row>
    <row r="898" spans="1:27">
      <c r="A898" t="s">
        <v>983</v>
      </c>
      <c r="B898" s="3">
        <v>1</v>
      </c>
      <c r="C898" s="3">
        <v>0</v>
      </c>
      <c r="D898" s="1">
        <v>36682</v>
      </c>
      <c r="E898" s="1">
        <v>39082</v>
      </c>
      <c r="F898" s="2">
        <f t="shared" si="13"/>
        <v>6.5708418891170428</v>
      </c>
      <c r="G898" s="3">
        <v>2</v>
      </c>
      <c r="H898" s="3">
        <v>1</v>
      </c>
      <c r="I898" s="3">
        <v>1</v>
      </c>
      <c r="J898" s="3">
        <v>0</v>
      </c>
      <c r="K898" s="3">
        <v>0</v>
      </c>
      <c r="L898" s="3">
        <v>0</v>
      </c>
      <c r="M898" s="3">
        <v>0</v>
      </c>
      <c r="N898" s="3">
        <v>1</v>
      </c>
      <c r="O898" s="3">
        <v>0</v>
      </c>
      <c r="P898" s="3">
        <v>1</v>
      </c>
      <c r="Q898" s="3">
        <v>0</v>
      </c>
      <c r="R898" s="3">
        <v>93.1</v>
      </c>
      <c r="S898" s="2">
        <v>12.3</v>
      </c>
      <c r="T898" t="s">
        <v>199</v>
      </c>
      <c r="U898" s="3">
        <v>1</v>
      </c>
      <c r="V898" s="3">
        <v>1</v>
      </c>
      <c r="W898" s="3">
        <v>0</v>
      </c>
      <c r="X898" s="3">
        <v>0</v>
      </c>
      <c r="Y898" s="3">
        <v>0</v>
      </c>
      <c r="Z898" s="3">
        <v>0</v>
      </c>
      <c r="AA898" s="3">
        <v>0</v>
      </c>
    </row>
    <row r="899" spans="1:27">
      <c r="A899" t="s">
        <v>984</v>
      </c>
      <c r="B899" s="3">
        <v>1</v>
      </c>
      <c r="C899" s="3">
        <v>0</v>
      </c>
      <c r="D899" s="1">
        <v>37155</v>
      </c>
      <c r="E899" s="1">
        <v>39082</v>
      </c>
      <c r="F899" s="2">
        <f t="shared" ref="F899:F962" si="14">(E899-D899)/365.25</f>
        <v>5.2758384668035596</v>
      </c>
      <c r="G899" s="3">
        <v>1</v>
      </c>
      <c r="H899" s="3">
        <v>0</v>
      </c>
      <c r="I899" s="3">
        <v>1</v>
      </c>
      <c r="J899" s="3">
        <v>0</v>
      </c>
      <c r="K899" s="3">
        <v>0</v>
      </c>
      <c r="L899" s="3">
        <v>1</v>
      </c>
      <c r="M899" s="3">
        <v>0</v>
      </c>
      <c r="N899" s="3">
        <v>1</v>
      </c>
      <c r="O899" s="3">
        <v>0</v>
      </c>
      <c r="P899" s="3">
        <v>1</v>
      </c>
      <c r="Q899" s="3">
        <v>0</v>
      </c>
      <c r="R899" s="3">
        <v>93.2</v>
      </c>
      <c r="S899" s="2">
        <v>12.6</v>
      </c>
      <c r="T899" t="s">
        <v>28</v>
      </c>
      <c r="U899" s="3">
        <v>0</v>
      </c>
      <c r="V899" s="3">
        <v>1</v>
      </c>
      <c r="W899" s="3">
        <v>0</v>
      </c>
      <c r="X899" s="3">
        <v>0</v>
      </c>
      <c r="Y899" s="3">
        <v>0</v>
      </c>
      <c r="Z899" s="3">
        <v>1</v>
      </c>
      <c r="AA899" s="3">
        <v>0</v>
      </c>
    </row>
    <row r="900" spans="1:27">
      <c r="A900" t="s">
        <v>985</v>
      </c>
      <c r="B900" s="3">
        <v>1</v>
      </c>
      <c r="C900" s="3">
        <v>0</v>
      </c>
      <c r="D900" s="1">
        <v>37183</v>
      </c>
      <c r="E900" s="1">
        <v>39082</v>
      </c>
      <c r="F900" s="2">
        <f t="shared" si="14"/>
        <v>5.1991786447638599</v>
      </c>
      <c r="G900" s="3">
        <v>2</v>
      </c>
      <c r="H900" s="3">
        <v>1</v>
      </c>
      <c r="I900" s="3">
        <v>0</v>
      </c>
      <c r="J900" s="3">
        <v>0</v>
      </c>
      <c r="K900" s="3">
        <v>0</v>
      </c>
      <c r="L900" s="3">
        <v>0</v>
      </c>
      <c r="M900" s="3">
        <v>0</v>
      </c>
      <c r="N900" s="3">
        <v>1</v>
      </c>
      <c r="O900" s="3">
        <v>0</v>
      </c>
      <c r="P900" s="3">
        <v>0</v>
      </c>
      <c r="Q900" s="3">
        <v>0</v>
      </c>
      <c r="R900" s="3">
        <v>93.3</v>
      </c>
      <c r="S900" s="2">
        <v>12.4</v>
      </c>
      <c r="T900" t="s">
        <v>28</v>
      </c>
      <c r="U900" s="3">
        <v>1</v>
      </c>
      <c r="V900" s="3">
        <v>1</v>
      </c>
      <c r="W900" s="3">
        <v>0</v>
      </c>
      <c r="X900" s="3">
        <v>0</v>
      </c>
      <c r="Y900" s="3">
        <v>0</v>
      </c>
      <c r="Z900" s="3">
        <v>0</v>
      </c>
      <c r="AA900" s="3">
        <v>0</v>
      </c>
    </row>
    <row r="901" spans="1:27">
      <c r="A901" t="s">
        <v>986</v>
      </c>
      <c r="B901" s="3">
        <v>3</v>
      </c>
      <c r="C901" s="3">
        <v>0</v>
      </c>
      <c r="D901" s="1">
        <v>37060</v>
      </c>
      <c r="E901" s="1">
        <v>39082</v>
      </c>
      <c r="F901" s="2">
        <f t="shared" si="14"/>
        <v>5.5359342915811087</v>
      </c>
      <c r="G901" s="3">
        <v>1</v>
      </c>
      <c r="H901" s="3">
        <v>1</v>
      </c>
      <c r="I901" s="3">
        <v>0</v>
      </c>
      <c r="J901" s="3">
        <v>1</v>
      </c>
      <c r="K901" s="3">
        <v>0</v>
      </c>
      <c r="L901" s="3">
        <v>0</v>
      </c>
      <c r="M901" s="3">
        <v>0</v>
      </c>
      <c r="N901" s="3">
        <v>1</v>
      </c>
      <c r="O901" s="3">
        <v>0</v>
      </c>
      <c r="P901" s="3">
        <v>0</v>
      </c>
      <c r="Q901" s="3">
        <v>0</v>
      </c>
      <c r="R901" s="3">
        <v>93.3</v>
      </c>
      <c r="S901" s="2">
        <v>12.9</v>
      </c>
      <c r="T901" t="s">
        <v>44</v>
      </c>
      <c r="U901" s="3">
        <v>0</v>
      </c>
      <c r="V901" s="3">
        <v>1</v>
      </c>
      <c r="W901" s="3">
        <v>0</v>
      </c>
      <c r="X901" s="3">
        <v>0</v>
      </c>
      <c r="Y901" s="3">
        <v>0</v>
      </c>
      <c r="Z901" s="3">
        <v>1</v>
      </c>
      <c r="AA901" s="3">
        <v>0</v>
      </c>
    </row>
    <row r="902" spans="1:27">
      <c r="A902" t="s">
        <v>987</v>
      </c>
      <c r="B902" s="3">
        <v>3</v>
      </c>
      <c r="C902" s="3">
        <v>0</v>
      </c>
      <c r="D902" s="1">
        <v>37144</v>
      </c>
      <c r="E902" s="1">
        <v>39082</v>
      </c>
      <c r="F902" s="2">
        <f t="shared" si="14"/>
        <v>5.3059548254620124</v>
      </c>
      <c r="G902" s="3">
        <v>2</v>
      </c>
      <c r="H902" s="3">
        <v>1</v>
      </c>
      <c r="I902" s="3">
        <v>0</v>
      </c>
      <c r="J902" s="3">
        <v>1</v>
      </c>
      <c r="K902" s="3">
        <v>0</v>
      </c>
      <c r="L902" s="3">
        <v>0</v>
      </c>
      <c r="M902" s="3">
        <v>0</v>
      </c>
      <c r="N902" s="3">
        <v>1</v>
      </c>
      <c r="O902" s="3">
        <v>0</v>
      </c>
      <c r="P902" s="3">
        <v>1</v>
      </c>
      <c r="Q902" s="3">
        <v>0</v>
      </c>
      <c r="R902" s="3">
        <v>93.3</v>
      </c>
      <c r="S902" s="2">
        <v>14</v>
      </c>
      <c r="T902" t="s">
        <v>28</v>
      </c>
      <c r="U902" s="3">
        <v>1</v>
      </c>
      <c r="V902" s="3">
        <v>1</v>
      </c>
      <c r="W902" s="3">
        <v>0</v>
      </c>
      <c r="X902" s="3">
        <v>0</v>
      </c>
      <c r="Y902" s="3">
        <v>0</v>
      </c>
      <c r="Z902" s="3">
        <v>0</v>
      </c>
      <c r="AA902" s="3">
        <v>0</v>
      </c>
    </row>
    <row r="903" spans="1:27">
      <c r="A903" t="s">
        <v>988</v>
      </c>
      <c r="B903" s="3">
        <v>3</v>
      </c>
      <c r="C903" s="3">
        <v>0</v>
      </c>
      <c r="D903" s="1">
        <v>38169</v>
      </c>
      <c r="E903" s="1">
        <v>39082</v>
      </c>
      <c r="F903" s="2">
        <f t="shared" si="14"/>
        <v>2.4996577686516086</v>
      </c>
      <c r="G903" s="3">
        <v>2</v>
      </c>
      <c r="H903" s="3">
        <v>1</v>
      </c>
      <c r="I903" s="3">
        <v>0</v>
      </c>
      <c r="J903" s="3">
        <v>1</v>
      </c>
      <c r="K903" s="3">
        <v>0</v>
      </c>
      <c r="L903" s="3">
        <v>0</v>
      </c>
      <c r="M903" s="3">
        <v>0</v>
      </c>
      <c r="N903" s="3">
        <v>0</v>
      </c>
      <c r="O903" s="3">
        <v>0</v>
      </c>
      <c r="P903" s="3">
        <v>0</v>
      </c>
      <c r="Q903" s="3">
        <v>0</v>
      </c>
      <c r="R903" s="3">
        <v>93.3</v>
      </c>
      <c r="S903" s="2">
        <v>12.8</v>
      </c>
      <c r="T903" t="s">
        <v>989</v>
      </c>
      <c r="U903" s="3">
        <v>0</v>
      </c>
      <c r="V903" s="3">
        <v>0</v>
      </c>
      <c r="W903" s="3">
        <v>0</v>
      </c>
      <c r="X903" s="3">
        <v>1</v>
      </c>
      <c r="Y903" s="3">
        <v>0</v>
      </c>
      <c r="Z903" s="3">
        <v>0</v>
      </c>
      <c r="AA903" s="3">
        <v>0</v>
      </c>
    </row>
    <row r="904" spans="1:27">
      <c r="A904" t="s">
        <v>990</v>
      </c>
      <c r="B904" s="3">
        <v>2</v>
      </c>
      <c r="C904" s="3">
        <v>0</v>
      </c>
      <c r="D904" s="1">
        <v>38275</v>
      </c>
      <c r="E904" s="1">
        <v>39082</v>
      </c>
      <c r="F904" s="2">
        <f t="shared" si="14"/>
        <v>2.2094455852156059</v>
      </c>
      <c r="G904" s="3">
        <v>1</v>
      </c>
      <c r="H904" s="3">
        <v>0</v>
      </c>
      <c r="I904" s="3">
        <v>1</v>
      </c>
      <c r="J904" s="3">
        <v>0</v>
      </c>
      <c r="K904" s="3">
        <v>0</v>
      </c>
      <c r="L904" s="3">
        <v>0</v>
      </c>
      <c r="M904" s="3">
        <v>0</v>
      </c>
      <c r="N904" s="3">
        <v>1</v>
      </c>
      <c r="O904" s="3">
        <v>0</v>
      </c>
      <c r="P904" s="3">
        <v>0</v>
      </c>
      <c r="Q904" s="3">
        <v>0</v>
      </c>
      <c r="R904" s="3">
        <v>93.3</v>
      </c>
      <c r="S904" s="2">
        <v>13.2</v>
      </c>
      <c r="T904" t="s">
        <v>28</v>
      </c>
      <c r="U904" s="3">
        <v>1</v>
      </c>
      <c r="V904" s="5" t="e">
        <v>#NULL!</v>
      </c>
      <c r="W904" s="3">
        <v>0</v>
      </c>
      <c r="X904" s="3">
        <v>1</v>
      </c>
      <c r="Y904" s="3">
        <v>1</v>
      </c>
      <c r="Z904" s="3">
        <v>1</v>
      </c>
      <c r="AA904" s="3">
        <v>0</v>
      </c>
    </row>
    <row r="905" spans="1:27">
      <c r="A905" t="s">
        <v>991</v>
      </c>
      <c r="B905" s="3">
        <v>1</v>
      </c>
      <c r="C905" s="3">
        <v>0</v>
      </c>
      <c r="D905" s="1">
        <v>37050</v>
      </c>
      <c r="E905" s="1">
        <v>39082</v>
      </c>
      <c r="F905" s="2">
        <f t="shared" si="14"/>
        <v>5.5633127994524294</v>
      </c>
      <c r="G905" s="3">
        <v>2</v>
      </c>
      <c r="H905" s="3">
        <v>1</v>
      </c>
      <c r="I905" s="3">
        <v>0</v>
      </c>
      <c r="J905" s="3">
        <v>0</v>
      </c>
      <c r="K905" s="3">
        <v>0</v>
      </c>
      <c r="L905" s="3">
        <v>0</v>
      </c>
      <c r="M905" s="3">
        <v>0</v>
      </c>
      <c r="N905" s="3">
        <v>1</v>
      </c>
      <c r="O905" s="3">
        <v>1</v>
      </c>
      <c r="P905" s="3">
        <v>1</v>
      </c>
      <c r="Q905" s="3">
        <v>0</v>
      </c>
      <c r="R905" s="3">
        <v>93.4</v>
      </c>
      <c r="S905" s="2">
        <v>12.2</v>
      </c>
      <c r="T905" t="s">
        <v>28</v>
      </c>
      <c r="U905" s="3">
        <v>1</v>
      </c>
      <c r="V905" s="3">
        <v>1</v>
      </c>
      <c r="W905" s="3">
        <v>0</v>
      </c>
      <c r="X905" s="3">
        <v>0</v>
      </c>
      <c r="Y905" s="3">
        <v>0</v>
      </c>
      <c r="Z905" s="3">
        <v>0</v>
      </c>
      <c r="AA905" s="3">
        <v>0</v>
      </c>
    </row>
    <row r="906" spans="1:27">
      <c r="A906" t="s">
        <v>992</v>
      </c>
      <c r="B906" s="3">
        <v>3</v>
      </c>
      <c r="C906" s="3">
        <v>0</v>
      </c>
      <c r="D906" s="1">
        <v>36897</v>
      </c>
      <c r="E906" s="1">
        <v>39082</v>
      </c>
      <c r="F906" s="2">
        <f t="shared" si="14"/>
        <v>5.9822039698836411</v>
      </c>
      <c r="G906" s="3">
        <v>2</v>
      </c>
      <c r="H906" s="3">
        <v>1</v>
      </c>
      <c r="I906" s="3">
        <v>0</v>
      </c>
      <c r="J906" s="3">
        <v>0</v>
      </c>
      <c r="K906" s="3">
        <v>0</v>
      </c>
      <c r="L906" s="3">
        <v>0</v>
      </c>
      <c r="M906" s="3">
        <v>1</v>
      </c>
      <c r="N906" s="3">
        <v>0</v>
      </c>
      <c r="O906" s="3">
        <v>0</v>
      </c>
      <c r="P906" s="3">
        <v>0</v>
      </c>
      <c r="Q906" s="3">
        <v>0</v>
      </c>
      <c r="R906" s="3">
        <v>93.4</v>
      </c>
      <c r="S906" s="2">
        <v>12.8</v>
      </c>
      <c r="T906" t="s">
        <v>28</v>
      </c>
      <c r="U906" s="3">
        <v>0</v>
      </c>
      <c r="V906" s="3">
        <v>0</v>
      </c>
      <c r="W906" s="3">
        <v>0</v>
      </c>
      <c r="X906" s="3">
        <v>0</v>
      </c>
      <c r="Y906" s="3">
        <v>0</v>
      </c>
      <c r="Z906" s="3">
        <v>0</v>
      </c>
      <c r="AA906" s="3">
        <v>0</v>
      </c>
    </row>
    <row r="907" spans="1:27">
      <c r="A907" t="s">
        <v>993</v>
      </c>
      <c r="B907" s="3">
        <v>3</v>
      </c>
      <c r="C907" s="3">
        <v>0</v>
      </c>
      <c r="D907" s="1">
        <v>38292</v>
      </c>
      <c r="E907" s="1">
        <v>39082</v>
      </c>
      <c r="F907" s="2">
        <f t="shared" si="14"/>
        <v>2.1629021218343598</v>
      </c>
      <c r="G907" s="3">
        <v>2</v>
      </c>
      <c r="H907" s="3">
        <v>1</v>
      </c>
      <c r="I907" s="3">
        <v>0</v>
      </c>
      <c r="J907" s="3">
        <v>1</v>
      </c>
      <c r="K907" s="3">
        <v>0</v>
      </c>
      <c r="L907" s="3">
        <v>0</v>
      </c>
      <c r="M907" s="3">
        <v>0</v>
      </c>
      <c r="N907" s="3">
        <v>0</v>
      </c>
      <c r="O907" s="3">
        <v>0</v>
      </c>
      <c r="P907" s="3">
        <v>0</v>
      </c>
      <c r="Q907" s="3">
        <v>0</v>
      </c>
      <c r="R907" s="3">
        <v>93.4</v>
      </c>
      <c r="S907" s="2">
        <v>13.4</v>
      </c>
      <c r="T907" t="s">
        <v>28</v>
      </c>
      <c r="U907" s="3">
        <v>0</v>
      </c>
      <c r="V907" s="3">
        <v>0</v>
      </c>
      <c r="W907" s="3">
        <v>1</v>
      </c>
      <c r="X907" s="3">
        <v>0</v>
      </c>
      <c r="Y907" s="3">
        <v>0</v>
      </c>
      <c r="Z907" s="3">
        <v>0</v>
      </c>
      <c r="AA907" s="3">
        <v>0</v>
      </c>
    </row>
    <row r="908" spans="1:27">
      <c r="A908" t="s">
        <v>994</v>
      </c>
      <c r="B908" s="3">
        <v>1</v>
      </c>
      <c r="C908" s="3">
        <v>0</v>
      </c>
      <c r="D908" s="1">
        <v>37347</v>
      </c>
      <c r="E908" s="1">
        <v>39082</v>
      </c>
      <c r="F908" s="2">
        <f t="shared" si="14"/>
        <v>4.7501711156741955</v>
      </c>
      <c r="G908" s="3">
        <v>1</v>
      </c>
      <c r="H908" s="3">
        <v>1</v>
      </c>
      <c r="I908" s="3">
        <v>1</v>
      </c>
      <c r="J908" s="3">
        <v>1</v>
      </c>
      <c r="K908" s="3">
        <v>0</v>
      </c>
      <c r="L908" s="3">
        <v>1</v>
      </c>
      <c r="M908" s="3">
        <v>0</v>
      </c>
      <c r="N908" s="3">
        <v>1</v>
      </c>
      <c r="O908" s="3">
        <v>1</v>
      </c>
      <c r="P908" s="3">
        <v>0</v>
      </c>
      <c r="Q908" s="3">
        <v>0</v>
      </c>
      <c r="R908" s="3">
        <v>93.4</v>
      </c>
      <c r="S908" s="2">
        <v>12.4</v>
      </c>
      <c r="T908" t="s">
        <v>92</v>
      </c>
      <c r="U908" s="3">
        <v>1</v>
      </c>
      <c r="V908" s="3">
        <v>1</v>
      </c>
      <c r="W908" s="3">
        <v>0</v>
      </c>
      <c r="X908" s="3">
        <v>1</v>
      </c>
      <c r="Y908" s="3">
        <v>0</v>
      </c>
      <c r="Z908" s="3">
        <v>1</v>
      </c>
      <c r="AA908" s="3">
        <v>0</v>
      </c>
    </row>
    <row r="909" spans="1:27">
      <c r="A909" t="s">
        <v>995</v>
      </c>
      <c r="B909" s="3">
        <v>2</v>
      </c>
      <c r="C909" s="3">
        <v>0</v>
      </c>
      <c r="D909" s="1">
        <v>37012</v>
      </c>
      <c r="E909" s="1">
        <v>39082</v>
      </c>
      <c r="F909" s="2">
        <f t="shared" si="14"/>
        <v>5.6673511293634498</v>
      </c>
      <c r="G909" s="3">
        <v>1</v>
      </c>
      <c r="H909" s="3">
        <v>1</v>
      </c>
      <c r="I909" s="3">
        <v>0</v>
      </c>
      <c r="J909" s="3">
        <v>0</v>
      </c>
      <c r="K909" s="3">
        <v>1</v>
      </c>
      <c r="L909" s="3">
        <v>1</v>
      </c>
      <c r="M909" s="3">
        <v>0</v>
      </c>
      <c r="N909" s="3">
        <v>1</v>
      </c>
      <c r="O909" s="3">
        <v>1</v>
      </c>
      <c r="P909" s="3">
        <v>1</v>
      </c>
      <c r="Q909" s="3">
        <v>0</v>
      </c>
      <c r="R909" s="3">
        <v>93.5</v>
      </c>
      <c r="S909" s="2">
        <v>13.3</v>
      </c>
      <c r="T909" t="s">
        <v>28</v>
      </c>
      <c r="U909" s="3">
        <v>1</v>
      </c>
      <c r="V909" s="3">
        <v>1</v>
      </c>
      <c r="W909" s="3">
        <v>1</v>
      </c>
      <c r="X909" s="3">
        <v>1</v>
      </c>
      <c r="Y909" s="3">
        <v>0</v>
      </c>
      <c r="Z909" s="3">
        <v>1</v>
      </c>
      <c r="AA909" s="3">
        <v>0</v>
      </c>
    </row>
    <row r="910" spans="1:27">
      <c r="A910" t="s">
        <v>996</v>
      </c>
      <c r="B910" s="3">
        <v>1</v>
      </c>
      <c r="C910" s="3">
        <v>0</v>
      </c>
      <c r="D910" s="1">
        <v>37313</v>
      </c>
      <c r="E910" s="1">
        <v>39082</v>
      </c>
      <c r="F910" s="2">
        <f t="shared" si="14"/>
        <v>4.8432580424366876</v>
      </c>
      <c r="G910" s="3">
        <v>1</v>
      </c>
      <c r="H910" s="3">
        <v>1</v>
      </c>
      <c r="I910" s="3">
        <v>1</v>
      </c>
      <c r="J910" s="3">
        <v>0</v>
      </c>
      <c r="K910" s="3">
        <v>0</v>
      </c>
      <c r="L910" s="3">
        <v>1</v>
      </c>
      <c r="M910" s="3">
        <v>0</v>
      </c>
      <c r="N910" s="3">
        <v>1</v>
      </c>
      <c r="O910" s="3">
        <v>0</v>
      </c>
      <c r="P910" s="3">
        <v>1</v>
      </c>
      <c r="Q910" s="3">
        <v>0</v>
      </c>
      <c r="R910" s="3">
        <v>93.5</v>
      </c>
      <c r="S910" s="2">
        <v>12.6</v>
      </c>
      <c r="T910" t="s">
        <v>123</v>
      </c>
      <c r="U910" s="3">
        <v>1</v>
      </c>
      <c r="V910" s="3">
        <v>1</v>
      </c>
      <c r="W910" s="3">
        <v>1</v>
      </c>
      <c r="X910" s="3">
        <v>0</v>
      </c>
      <c r="Y910" s="3">
        <v>0</v>
      </c>
      <c r="Z910" s="3">
        <v>1</v>
      </c>
      <c r="AA910" s="3">
        <v>0</v>
      </c>
    </row>
    <row r="911" spans="1:27">
      <c r="A911" t="s">
        <v>997</v>
      </c>
      <c r="B911" s="3">
        <v>3</v>
      </c>
      <c r="C911" s="3">
        <v>0</v>
      </c>
      <c r="D911" s="1">
        <v>38320</v>
      </c>
      <c r="E911" s="1">
        <v>39082</v>
      </c>
      <c r="F911" s="2">
        <f t="shared" si="14"/>
        <v>2.086242299794661</v>
      </c>
      <c r="G911" s="3">
        <v>1</v>
      </c>
      <c r="H911" s="3">
        <v>1</v>
      </c>
      <c r="I911" s="3">
        <v>0</v>
      </c>
      <c r="J911" s="3">
        <v>0</v>
      </c>
      <c r="K911" s="3">
        <v>0</v>
      </c>
      <c r="L911" s="3">
        <v>0</v>
      </c>
      <c r="M911" s="3">
        <v>0</v>
      </c>
      <c r="N911" s="3">
        <v>0</v>
      </c>
      <c r="O911" s="3">
        <v>0</v>
      </c>
      <c r="P911" s="3">
        <v>0</v>
      </c>
      <c r="Q911" s="3">
        <v>0</v>
      </c>
      <c r="R911" s="3">
        <v>93.6</v>
      </c>
      <c r="S911" s="2">
        <v>10.8</v>
      </c>
      <c r="T911" t="s">
        <v>199</v>
      </c>
      <c r="U911" s="3">
        <v>1</v>
      </c>
      <c r="V911" s="3">
        <v>1</v>
      </c>
      <c r="W911" s="3">
        <v>1</v>
      </c>
      <c r="X911" s="3">
        <v>0</v>
      </c>
      <c r="Y911" s="3">
        <v>0</v>
      </c>
      <c r="Z911" s="3">
        <v>1</v>
      </c>
      <c r="AA911" s="3">
        <v>0</v>
      </c>
    </row>
    <row r="912" spans="1:27">
      <c r="A912" t="s">
        <v>998</v>
      </c>
      <c r="B912" s="3">
        <v>2</v>
      </c>
      <c r="C912" s="3">
        <v>1</v>
      </c>
      <c r="D912" s="1">
        <v>36771</v>
      </c>
      <c r="E912" s="1">
        <v>39082</v>
      </c>
      <c r="F912" s="2">
        <f t="shared" si="14"/>
        <v>6.3271731690622861</v>
      </c>
      <c r="G912" s="3">
        <v>1</v>
      </c>
      <c r="H912" s="3">
        <v>1</v>
      </c>
      <c r="I912" s="3">
        <v>0</v>
      </c>
      <c r="J912" s="3">
        <v>1</v>
      </c>
      <c r="K912" s="3">
        <v>0</v>
      </c>
      <c r="L912" s="3">
        <v>1</v>
      </c>
      <c r="M912" s="3">
        <v>0</v>
      </c>
      <c r="N912" s="3">
        <v>0</v>
      </c>
      <c r="O912" s="3">
        <v>0</v>
      </c>
      <c r="P912" s="3">
        <v>0</v>
      </c>
      <c r="Q912" s="3">
        <v>0</v>
      </c>
      <c r="R912" s="3">
        <v>93.6</v>
      </c>
      <c r="S912" s="2">
        <v>12.1</v>
      </c>
      <c r="T912" t="s">
        <v>69</v>
      </c>
      <c r="U912" s="3">
        <v>0</v>
      </c>
      <c r="V912" s="3">
        <v>0</v>
      </c>
      <c r="W912" s="3">
        <v>0</v>
      </c>
      <c r="X912" s="3">
        <v>0</v>
      </c>
      <c r="Y912" s="3">
        <v>0</v>
      </c>
      <c r="Z912" s="3">
        <v>1</v>
      </c>
      <c r="AA912" s="3">
        <v>0</v>
      </c>
    </row>
    <row r="913" spans="1:27">
      <c r="A913" t="s">
        <v>999</v>
      </c>
      <c r="B913" s="3">
        <v>3</v>
      </c>
      <c r="C913" s="3">
        <v>0</v>
      </c>
      <c r="D913" s="1">
        <v>38261</v>
      </c>
      <c r="E913" s="1">
        <v>39082</v>
      </c>
      <c r="F913" s="2">
        <f t="shared" si="14"/>
        <v>2.2477754962354553</v>
      </c>
      <c r="G913" s="3">
        <v>2</v>
      </c>
      <c r="H913" s="3">
        <v>1</v>
      </c>
      <c r="I913" s="3">
        <v>0</v>
      </c>
      <c r="J913" s="3">
        <v>1</v>
      </c>
      <c r="K913" s="3">
        <v>1</v>
      </c>
      <c r="L913" s="3">
        <v>0</v>
      </c>
      <c r="M913" s="3">
        <v>1</v>
      </c>
      <c r="N913" s="3">
        <v>1</v>
      </c>
      <c r="O913" s="3">
        <v>0</v>
      </c>
      <c r="P913" s="3">
        <v>1</v>
      </c>
      <c r="Q913" s="3">
        <v>0</v>
      </c>
      <c r="R913" s="3">
        <v>93.6</v>
      </c>
      <c r="S913" s="2">
        <v>12.3</v>
      </c>
      <c r="T913" t="s">
        <v>28</v>
      </c>
      <c r="U913" s="3">
        <v>1</v>
      </c>
      <c r="V913" s="3">
        <v>1</v>
      </c>
      <c r="W913" s="3">
        <v>1</v>
      </c>
      <c r="X913" s="3">
        <v>1</v>
      </c>
      <c r="Y913" s="3">
        <v>1</v>
      </c>
      <c r="Z913" s="3">
        <v>0</v>
      </c>
      <c r="AA913" s="3">
        <v>0</v>
      </c>
    </row>
    <row r="914" spans="1:27">
      <c r="A914" t="s">
        <v>1000</v>
      </c>
      <c r="B914" s="3">
        <v>2</v>
      </c>
      <c r="C914" s="3">
        <v>0</v>
      </c>
      <c r="D914" s="1">
        <v>36940</v>
      </c>
      <c r="E914" s="1">
        <v>39082</v>
      </c>
      <c r="F914" s="2">
        <f t="shared" si="14"/>
        <v>5.8644763860369613</v>
      </c>
      <c r="G914" s="3">
        <v>2</v>
      </c>
      <c r="H914" s="3">
        <v>1</v>
      </c>
      <c r="I914" s="3">
        <v>0</v>
      </c>
      <c r="J914" s="3">
        <v>0</v>
      </c>
      <c r="K914" s="3">
        <v>1</v>
      </c>
      <c r="L914" s="3">
        <v>0</v>
      </c>
      <c r="M914" s="3">
        <v>0</v>
      </c>
      <c r="N914" s="3">
        <v>0</v>
      </c>
      <c r="O914" s="3">
        <v>0</v>
      </c>
      <c r="P914" s="3">
        <v>0</v>
      </c>
      <c r="Q914" s="3">
        <v>0</v>
      </c>
      <c r="R914" s="3">
        <v>93.7</v>
      </c>
      <c r="S914" s="2">
        <v>12.5</v>
      </c>
      <c r="T914" t="s">
        <v>232</v>
      </c>
      <c r="U914" s="3">
        <v>1</v>
      </c>
      <c r="V914" s="3">
        <v>0</v>
      </c>
      <c r="W914" s="3">
        <v>1</v>
      </c>
      <c r="X914" s="3">
        <v>0</v>
      </c>
      <c r="Y914" s="3">
        <v>0</v>
      </c>
      <c r="Z914" s="3">
        <v>0</v>
      </c>
      <c r="AA914" s="3">
        <v>0</v>
      </c>
    </row>
    <row r="915" spans="1:27">
      <c r="A915" t="s">
        <v>1001</v>
      </c>
      <c r="B915" s="3">
        <v>3</v>
      </c>
      <c r="C915" s="3">
        <v>0</v>
      </c>
      <c r="D915" s="1">
        <v>38026</v>
      </c>
      <c r="E915" s="1">
        <v>39082</v>
      </c>
      <c r="F915" s="2">
        <f t="shared" si="14"/>
        <v>2.8911704312114992</v>
      </c>
      <c r="G915" s="3">
        <v>1</v>
      </c>
      <c r="H915" s="3">
        <v>1</v>
      </c>
      <c r="I915" s="3">
        <v>0</v>
      </c>
      <c r="J915" s="3">
        <v>0</v>
      </c>
      <c r="K915" s="3">
        <v>0</v>
      </c>
      <c r="L915" s="3">
        <v>0</v>
      </c>
      <c r="M915" s="3">
        <v>0</v>
      </c>
      <c r="N915" s="3">
        <v>1</v>
      </c>
      <c r="O915" s="3">
        <v>0</v>
      </c>
      <c r="P915" s="3">
        <v>0</v>
      </c>
      <c r="Q915" s="3">
        <v>0</v>
      </c>
      <c r="R915" s="3">
        <v>93.8</v>
      </c>
      <c r="S915" s="2">
        <v>13.9</v>
      </c>
      <c r="T915" t="s">
        <v>670</v>
      </c>
      <c r="U915" s="3">
        <v>0</v>
      </c>
      <c r="V915" s="3">
        <v>1</v>
      </c>
      <c r="W915" s="3">
        <v>0</v>
      </c>
      <c r="X915" s="3">
        <v>0</v>
      </c>
      <c r="Y915" s="3">
        <v>0</v>
      </c>
      <c r="Z915" s="3">
        <v>1</v>
      </c>
      <c r="AA915" s="3">
        <v>0</v>
      </c>
    </row>
    <row r="916" spans="1:27">
      <c r="A916" t="s">
        <v>1002</v>
      </c>
      <c r="B916" s="3">
        <v>1</v>
      </c>
      <c r="C916" s="3">
        <v>0</v>
      </c>
      <c r="D916" s="1">
        <v>36942</v>
      </c>
      <c r="E916" s="1">
        <v>39082</v>
      </c>
      <c r="F916" s="2">
        <f t="shared" si="14"/>
        <v>5.8590006844626972</v>
      </c>
      <c r="G916" s="3">
        <v>1</v>
      </c>
      <c r="H916" s="3">
        <v>0</v>
      </c>
      <c r="I916" s="3">
        <v>1</v>
      </c>
      <c r="J916" s="3">
        <v>0</v>
      </c>
      <c r="K916" s="3">
        <v>0</v>
      </c>
      <c r="L916" s="3">
        <v>0</v>
      </c>
      <c r="M916" s="3">
        <v>0</v>
      </c>
      <c r="N916" s="3">
        <v>1</v>
      </c>
      <c r="O916" s="3">
        <v>0</v>
      </c>
      <c r="P916" s="3">
        <v>0</v>
      </c>
      <c r="Q916" s="3">
        <v>0</v>
      </c>
      <c r="R916" s="3">
        <v>93.8</v>
      </c>
      <c r="S916" s="2">
        <v>12.3</v>
      </c>
      <c r="T916" t="s">
        <v>123</v>
      </c>
      <c r="U916" s="3">
        <v>1</v>
      </c>
      <c r="V916" s="3">
        <v>1</v>
      </c>
      <c r="W916" s="3">
        <v>0</v>
      </c>
      <c r="X916" s="3">
        <v>0</v>
      </c>
      <c r="Y916" s="3">
        <v>0</v>
      </c>
      <c r="Z916" s="3">
        <v>1</v>
      </c>
      <c r="AA916" s="3">
        <v>0</v>
      </c>
    </row>
    <row r="917" spans="1:27">
      <c r="A917" t="s">
        <v>1003</v>
      </c>
      <c r="B917" s="3">
        <v>1</v>
      </c>
      <c r="C917" s="3">
        <v>0</v>
      </c>
      <c r="D917" s="1">
        <v>37085</v>
      </c>
      <c r="E917" s="1">
        <v>39082</v>
      </c>
      <c r="F917" s="2">
        <f t="shared" si="14"/>
        <v>5.4674880219028061</v>
      </c>
      <c r="G917" s="3">
        <v>2</v>
      </c>
      <c r="H917" s="3">
        <v>0</v>
      </c>
      <c r="I917" s="3">
        <v>1</v>
      </c>
      <c r="J917" s="3">
        <v>0</v>
      </c>
      <c r="K917" s="3">
        <v>0</v>
      </c>
      <c r="L917" s="3">
        <v>0</v>
      </c>
      <c r="M917" s="3">
        <v>0</v>
      </c>
      <c r="N917" s="3">
        <v>1</v>
      </c>
      <c r="O917" s="3">
        <v>0</v>
      </c>
      <c r="P917" s="3">
        <v>1</v>
      </c>
      <c r="Q917" s="3">
        <v>0</v>
      </c>
      <c r="R917" s="3">
        <v>93.8</v>
      </c>
      <c r="S917" s="2">
        <v>11.2</v>
      </c>
      <c r="T917" t="s">
        <v>28</v>
      </c>
      <c r="U917" s="3">
        <v>1</v>
      </c>
      <c r="V917" s="3">
        <v>1</v>
      </c>
      <c r="W917" s="3">
        <v>0</v>
      </c>
      <c r="X917" s="3">
        <v>0</v>
      </c>
      <c r="Y917" s="3">
        <v>0</v>
      </c>
      <c r="Z917" s="3">
        <v>0</v>
      </c>
      <c r="AA917" s="3">
        <v>0</v>
      </c>
    </row>
    <row r="918" spans="1:27">
      <c r="A918" t="s">
        <v>1004</v>
      </c>
      <c r="B918" s="3">
        <v>1</v>
      </c>
      <c r="C918" s="3">
        <v>0</v>
      </c>
      <c r="D918" s="1">
        <v>38165</v>
      </c>
      <c r="E918" s="1">
        <v>39082</v>
      </c>
      <c r="F918" s="2">
        <f t="shared" si="14"/>
        <v>2.5106091718001369</v>
      </c>
      <c r="G918" s="3">
        <v>1</v>
      </c>
      <c r="H918" s="3">
        <v>1</v>
      </c>
      <c r="I918" s="3">
        <v>1</v>
      </c>
      <c r="J918" s="3">
        <v>0</v>
      </c>
      <c r="K918" s="3">
        <v>1</v>
      </c>
      <c r="L918" s="3">
        <v>0</v>
      </c>
      <c r="M918" s="3">
        <v>0</v>
      </c>
      <c r="N918" s="3">
        <v>1</v>
      </c>
      <c r="O918" s="3">
        <v>1</v>
      </c>
      <c r="P918" s="3">
        <v>1</v>
      </c>
      <c r="Q918" s="3">
        <v>0</v>
      </c>
      <c r="R918" s="3">
        <v>93.9</v>
      </c>
      <c r="S918" s="2">
        <v>13.5</v>
      </c>
      <c r="T918" t="s">
        <v>28</v>
      </c>
      <c r="U918" s="3">
        <v>1</v>
      </c>
      <c r="V918" s="3">
        <v>1</v>
      </c>
      <c r="W918" s="3">
        <v>0</v>
      </c>
      <c r="X918" s="3">
        <v>1</v>
      </c>
      <c r="Y918" s="3">
        <v>0</v>
      </c>
      <c r="Z918" s="3">
        <v>1</v>
      </c>
      <c r="AA918" s="3">
        <v>0</v>
      </c>
    </row>
    <row r="919" spans="1:27">
      <c r="A919" t="s">
        <v>125</v>
      </c>
      <c r="B919" s="3">
        <v>3</v>
      </c>
      <c r="C919" s="3">
        <v>0</v>
      </c>
      <c r="D919" s="1">
        <v>38322</v>
      </c>
      <c r="E919" s="1">
        <v>39082</v>
      </c>
      <c r="F919" s="2">
        <f t="shared" si="14"/>
        <v>2.0807665982203969</v>
      </c>
      <c r="G919" s="3">
        <v>1</v>
      </c>
      <c r="H919" s="3">
        <v>1</v>
      </c>
      <c r="I919" s="3">
        <v>1</v>
      </c>
      <c r="J919" s="3">
        <v>1</v>
      </c>
      <c r="K919" s="3">
        <v>0</v>
      </c>
      <c r="L919" s="3">
        <v>0</v>
      </c>
      <c r="M919" s="3">
        <v>0</v>
      </c>
      <c r="N919" s="3">
        <v>1</v>
      </c>
      <c r="O919" s="3">
        <v>0</v>
      </c>
      <c r="P919" s="3">
        <v>0</v>
      </c>
      <c r="Q919" s="3">
        <v>0</v>
      </c>
      <c r="R919" s="3">
        <v>93.9</v>
      </c>
      <c r="S919" s="2">
        <v>13</v>
      </c>
      <c r="T919" t="s">
        <v>40</v>
      </c>
      <c r="U919" s="3">
        <v>0</v>
      </c>
      <c r="V919" s="3">
        <v>0</v>
      </c>
      <c r="W919" s="3">
        <v>1</v>
      </c>
      <c r="X919" s="3">
        <v>0</v>
      </c>
      <c r="Y919" s="3">
        <v>0</v>
      </c>
      <c r="Z919" s="3">
        <v>1</v>
      </c>
      <c r="AA919" s="3">
        <v>0</v>
      </c>
    </row>
    <row r="920" spans="1:27">
      <c r="A920" t="s">
        <v>1005</v>
      </c>
      <c r="B920" s="3">
        <v>3</v>
      </c>
      <c r="C920" s="3">
        <v>0</v>
      </c>
      <c r="D920" s="1">
        <v>38336</v>
      </c>
      <c r="E920" s="1">
        <v>39082</v>
      </c>
      <c r="F920" s="2">
        <f t="shared" si="14"/>
        <v>2.0424366872005475</v>
      </c>
      <c r="G920" s="3">
        <v>2</v>
      </c>
      <c r="H920" s="3">
        <v>1</v>
      </c>
      <c r="I920" s="3">
        <v>0</v>
      </c>
      <c r="J920" s="3">
        <v>0</v>
      </c>
      <c r="K920" s="3">
        <v>0</v>
      </c>
      <c r="L920" s="3">
        <v>0</v>
      </c>
      <c r="M920" s="3">
        <v>0</v>
      </c>
      <c r="N920" s="3">
        <v>1</v>
      </c>
      <c r="O920" s="3">
        <v>0</v>
      </c>
      <c r="P920" s="3">
        <v>0</v>
      </c>
      <c r="Q920" s="3">
        <v>0</v>
      </c>
      <c r="R920" s="3">
        <v>94</v>
      </c>
      <c r="S920" s="2">
        <v>14.8</v>
      </c>
      <c r="T920" t="s">
        <v>28</v>
      </c>
      <c r="U920" s="3">
        <v>1</v>
      </c>
      <c r="V920" s="3">
        <v>1</v>
      </c>
      <c r="W920" s="3">
        <v>0</v>
      </c>
      <c r="X920" s="3">
        <v>0</v>
      </c>
      <c r="Y920" s="3">
        <v>0</v>
      </c>
      <c r="Z920" s="3">
        <v>0</v>
      </c>
      <c r="AA920" s="3">
        <v>0</v>
      </c>
    </row>
    <row r="921" spans="1:27">
      <c r="A921" t="s">
        <v>1006</v>
      </c>
      <c r="B921" s="3">
        <v>3</v>
      </c>
      <c r="C921" s="3">
        <v>0</v>
      </c>
      <c r="D921" s="1">
        <v>38018</v>
      </c>
      <c r="E921" s="1">
        <v>39082</v>
      </c>
      <c r="F921" s="2">
        <f t="shared" si="14"/>
        <v>2.9130732375085557</v>
      </c>
      <c r="G921" s="3">
        <v>1</v>
      </c>
      <c r="H921" s="3">
        <v>0</v>
      </c>
      <c r="I921" s="3">
        <v>0</v>
      </c>
      <c r="J921" s="3">
        <v>1</v>
      </c>
      <c r="K921" s="3">
        <v>1</v>
      </c>
      <c r="L921" s="3">
        <v>0</v>
      </c>
      <c r="M921" s="3">
        <v>0</v>
      </c>
      <c r="N921" s="3">
        <v>1</v>
      </c>
      <c r="O921" s="3">
        <v>0</v>
      </c>
      <c r="P921" s="3">
        <v>1</v>
      </c>
      <c r="Q921" s="3">
        <v>0</v>
      </c>
      <c r="R921" s="3">
        <v>94</v>
      </c>
      <c r="S921" s="2">
        <v>14.2</v>
      </c>
      <c r="T921" t="s">
        <v>28</v>
      </c>
      <c r="U921" s="3">
        <v>1</v>
      </c>
      <c r="V921" s="3">
        <v>1</v>
      </c>
      <c r="W921" s="3">
        <v>0</v>
      </c>
      <c r="X921" s="3">
        <v>0</v>
      </c>
      <c r="Y921" s="3">
        <v>0</v>
      </c>
      <c r="Z921" s="3">
        <v>1</v>
      </c>
      <c r="AA921" s="3">
        <v>0</v>
      </c>
    </row>
    <row r="922" spans="1:27">
      <c r="A922" t="s">
        <v>965</v>
      </c>
      <c r="B922" s="3">
        <v>1</v>
      </c>
      <c r="C922" s="3">
        <v>1</v>
      </c>
      <c r="D922" s="1">
        <v>37107</v>
      </c>
      <c r="E922" s="1">
        <v>39082</v>
      </c>
      <c r="F922" s="2">
        <f t="shared" si="14"/>
        <v>5.4072553045858998</v>
      </c>
      <c r="G922" s="3">
        <v>1</v>
      </c>
      <c r="H922" s="3">
        <v>0</v>
      </c>
      <c r="I922" s="3">
        <v>1</v>
      </c>
      <c r="J922" s="3">
        <v>0</v>
      </c>
      <c r="K922" s="3">
        <v>0</v>
      </c>
      <c r="L922" s="3">
        <v>0</v>
      </c>
      <c r="M922" s="3">
        <v>0</v>
      </c>
      <c r="N922" s="3">
        <v>1</v>
      </c>
      <c r="O922" s="3">
        <v>0</v>
      </c>
      <c r="P922" s="3">
        <v>1</v>
      </c>
      <c r="Q922" s="3">
        <v>0</v>
      </c>
      <c r="R922" s="3">
        <v>94</v>
      </c>
      <c r="S922" s="2">
        <v>14</v>
      </c>
      <c r="T922" t="s">
        <v>28</v>
      </c>
      <c r="U922" s="3">
        <v>1</v>
      </c>
      <c r="V922" s="3">
        <v>1</v>
      </c>
      <c r="W922" s="3">
        <v>0</v>
      </c>
      <c r="X922" s="3">
        <v>0</v>
      </c>
      <c r="Y922" s="3">
        <v>0</v>
      </c>
      <c r="Z922" s="3">
        <v>1</v>
      </c>
      <c r="AA922" s="3">
        <v>0</v>
      </c>
    </row>
    <row r="923" spans="1:27">
      <c r="A923" t="s">
        <v>1007</v>
      </c>
      <c r="B923" s="3">
        <v>2</v>
      </c>
      <c r="C923" s="3">
        <v>0</v>
      </c>
      <c r="D923" s="1">
        <v>36883</v>
      </c>
      <c r="E923" s="1">
        <v>39082</v>
      </c>
      <c r="F923" s="2">
        <f t="shared" si="14"/>
        <v>6.020533880903491</v>
      </c>
      <c r="G923" s="3">
        <v>1</v>
      </c>
      <c r="H923" s="3">
        <v>1</v>
      </c>
      <c r="I923" s="3">
        <v>0</v>
      </c>
      <c r="J923" s="3">
        <v>0</v>
      </c>
      <c r="K923" s="3">
        <v>1</v>
      </c>
      <c r="L923" s="3">
        <v>0</v>
      </c>
      <c r="M923" s="3">
        <v>0</v>
      </c>
      <c r="N923" s="3">
        <v>0</v>
      </c>
      <c r="O923" s="3">
        <v>0</v>
      </c>
      <c r="P923" s="3">
        <v>1</v>
      </c>
      <c r="Q923" s="3">
        <v>0</v>
      </c>
      <c r="R923" s="3">
        <v>94.1</v>
      </c>
      <c r="S923" s="2">
        <v>12.4</v>
      </c>
      <c r="T923" t="s">
        <v>28</v>
      </c>
      <c r="U923" s="3">
        <v>1</v>
      </c>
      <c r="V923" s="3">
        <v>1</v>
      </c>
      <c r="W923" s="3">
        <v>1</v>
      </c>
      <c r="X923" s="3">
        <v>1</v>
      </c>
      <c r="Y923" s="3">
        <v>1</v>
      </c>
      <c r="Z923" s="3">
        <v>1</v>
      </c>
      <c r="AA923" s="3">
        <v>0</v>
      </c>
    </row>
    <row r="924" spans="1:27">
      <c r="A924" t="s">
        <v>1008</v>
      </c>
      <c r="B924" s="3">
        <v>3</v>
      </c>
      <c r="C924" s="3">
        <v>0</v>
      </c>
      <c r="D924" s="1">
        <v>37070</v>
      </c>
      <c r="E924" s="1">
        <v>39082</v>
      </c>
      <c r="F924" s="2">
        <f t="shared" si="14"/>
        <v>5.508555783709788</v>
      </c>
      <c r="G924" s="3">
        <v>2</v>
      </c>
      <c r="H924" s="3">
        <v>0</v>
      </c>
      <c r="I924" s="3">
        <v>0</v>
      </c>
      <c r="J924" s="3">
        <v>0</v>
      </c>
      <c r="K924" s="3">
        <v>0</v>
      </c>
      <c r="L924" s="3">
        <v>0</v>
      </c>
      <c r="M924" s="3">
        <v>0</v>
      </c>
      <c r="N924" s="3">
        <v>0</v>
      </c>
      <c r="O924" s="3">
        <v>0</v>
      </c>
      <c r="P924" s="3">
        <v>0</v>
      </c>
      <c r="Q924" s="3">
        <v>0</v>
      </c>
      <c r="R924" s="3">
        <v>94.2</v>
      </c>
      <c r="S924" s="2">
        <v>13.9</v>
      </c>
      <c r="T924" t="s">
        <v>44</v>
      </c>
      <c r="U924" s="3">
        <v>1</v>
      </c>
      <c r="V924" s="3">
        <v>1</v>
      </c>
      <c r="W924" s="3">
        <v>0</v>
      </c>
      <c r="X924" s="3">
        <v>0</v>
      </c>
      <c r="Y924" s="3">
        <v>0</v>
      </c>
      <c r="Z924" s="3">
        <v>0</v>
      </c>
      <c r="AA924" s="3">
        <v>0</v>
      </c>
    </row>
    <row r="925" spans="1:27">
      <c r="A925" t="s">
        <v>1009</v>
      </c>
      <c r="B925" s="3">
        <v>1</v>
      </c>
      <c r="C925" s="3">
        <v>0</v>
      </c>
      <c r="D925" s="1">
        <v>37098</v>
      </c>
      <c r="E925" s="1">
        <v>39082</v>
      </c>
      <c r="F925" s="2">
        <f t="shared" si="14"/>
        <v>5.4318959616700893</v>
      </c>
      <c r="G925" s="3">
        <v>1</v>
      </c>
      <c r="H925" s="3">
        <v>1</v>
      </c>
      <c r="I925" s="3">
        <v>0</v>
      </c>
      <c r="J925" s="3">
        <v>0</v>
      </c>
      <c r="K925" s="3">
        <v>0</v>
      </c>
      <c r="L925" s="3">
        <v>0</v>
      </c>
      <c r="M925" s="3">
        <v>1</v>
      </c>
      <c r="N925" s="3">
        <v>1</v>
      </c>
      <c r="O925" s="3">
        <v>0</v>
      </c>
      <c r="P925" s="3">
        <v>0</v>
      </c>
      <c r="Q925" s="3">
        <v>0</v>
      </c>
      <c r="R925" s="3">
        <v>94.3</v>
      </c>
      <c r="S925" s="2">
        <v>13.1</v>
      </c>
      <c r="T925" t="s">
        <v>69</v>
      </c>
      <c r="U925" s="3">
        <v>1</v>
      </c>
      <c r="V925" s="3">
        <v>0</v>
      </c>
      <c r="W925" s="3">
        <v>0</v>
      </c>
      <c r="X925" s="3">
        <v>0</v>
      </c>
      <c r="Y925" s="3">
        <v>0</v>
      </c>
      <c r="Z925" s="3">
        <v>1</v>
      </c>
      <c r="AA925" s="3">
        <v>0</v>
      </c>
    </row>
    <row r="926" spans="1:27">
      <c r="A926" t="s">
        <v>1010</v>
      </c>
      <c r="B926" s="3">
        <v>1</v>
      </c>
      <c r="C926" s="3">
        <v>0</v>
      </c>
      <c r="D926" s="1">
        <v>37358</v>
      </c>
      <c r="E926" s="1">
        <v>39082</v>
      </c>
      <c r="F926" s="2">
        <f t="shared" si="14"/>
        <v>4.7200547570157427</v>
      </c>
      <c r="G926" s="3">
        <v>2</v>
      </c>
      <c r="H926" s="3">
        <v>1</v>
      </c>
      <c r="I926" s="3">
        <v>1</v>
      </c>
      <c r="J926" s="3">
        <v>1</v>
      </c>
      <c r="K926" s="3">
        <v>0</v>
      </c>
      <c r="L926" s="3">
        <v>0</v>
      </c>
      <c r="M926" s="3">
        <v>0</v>
      </c>
      <c r="N926" s="3">
        <v>1</v>
      </c>
      <c r="O926" s="3">
        <v>0</v>
      </c>
      <c r="P926" s="3">
        <v>1</v>
      </c>
      <c r="Q926" s="3">
        <v>0</v>
      </c>
      <c r="R926" s="3">
        <v>94.3</v>
      </c>
      <c r="S926" s="2">
        <v>11.8</v>
      </c>
      <c r="T926" t="s">
        <v>44</v>
      </c>
      <c r="U926" s="3">
        <v>1</v>
      </c>
      <c r="V926" s="3">
        <v>1</v>
      </c>
      <c r="W926" s="3">
        <v>0</v>
      </c>
      <c r="X926" s="3">
        <v>0</v>
      </c>
      <c r="Y926" s="3">
        <v>0</v>
      </c>
      <c r="Z926" s="3">
        <v>0</v>
      </c>
      <c r="AA926" s="3">
        <v>0</v>
      </c>
    </row>
    <row r="927" spans="1:27">
      <c r="A927" t="s">
        <v>177</v>
      </c>
      <c r="B927" s="3">
        <v>2</v>
      </c>
      <c r="C927" s="3">
        <v>0</v>
      </c>
      <c r="D927" s="1">
        <v>37156</v>
      </c>
      <c r="E927" s="1">
        <v>39082</v>
      </c>
      <c r="F927" s="2">
        <f t="shared" si="14"/>
        <v>5.2731006160164275</v>
      </c>
      <c r="G927" s="3">
        <v>1</v>
      </c>
      <c r="H927" s="3">
        <v>1</v>
      </c>
      <c r="I927" s="3">
        <v>0</v>
      </c>
      <c r="J927" s="3">
        <v>0</v>
      </c>
      <c r="K927" s="3">
        <v>0</v>
      </c>
      <c r="L927" s="3">
        <v>0</v>
      </c>
      <c r="M927" s="3">
        <v>0</v>
      </c>
      <c r="N927" s="3">
        <v>1</v>
      </c>
      <c r="O927" s="3">
        <v>0</v>
      </c>
      <c r="P927" s="3">
        <v>0</v>
      </c>
      <c r="Q927" s="3">
        <v>0</v>
      </c>
      <c r="R927" s="3">
        <v>94.4</v>
      </c>
      <c r="S927" s="2">
        <v>14</v>
      </c>
      <c r="T927" t="s">
        <v>69</v>
      </c>
      <c r="U927" s="3">
        <v>1</v>
      </c>
      <c r="V927" s="3">
        <v>1</v>
      </c>
      <c r="W927" s="3">
        <v>0</v>
      </c>
      <c r="X927" s="3">
        <v>0</v>
      </c>
      <c r="Y927" s="3">
        <v>0</v>
      </c>
      <c r="Z927" s="3">
        <v>1</v>
      </c>
      <c r="AA927" s="3">
        <v>0</v>
      </c>
    </row>
    <row r="928" spans="1:27">
      <c r="A928" t="s">
        <v>1011</v>
      </c>
      <c r="B928" s="3">
        <v>2</v>
      </c>
      <c r="C928" s="3">
        <v>0</v>
      </c>
      <c r="D928" s="1">
        <v>36965</v>
      </c>
      <c r="E928" s="1">
        <v>39082</v>
      </c>
      <c r="F928" s="2">
        <f t="shared" si="14"/>
        <v>5.7960301163586587</v>
      </c>
      <c r="G928" s="3">
        <v>1</v>
      </c>
      <c r="H928" s="3">
        <v>1</v>
      </c>
      <c r="I928" s="3">
        <v>0</v>
      </c>
      <c r="J928" s="3">
        <v>1</v>
      </c>
      <c r="K928" s="3">
        <v>1</v>
      </c>
      <c r="L928" s="3">
        <v>0</v>
      </c>
      <c r="M928" s="3">
        <v>0</v>
      </c>
      <c r="N928" s="3">
        <v>1</v>
      </c>
      <c r="O928" s="3">
        <v>0</v>
      </c>
      <c r="P928" s="3">
        <v>0</v>
      </c>
      <c r="Q928" s="3">
        <v>0</v>
      </c>
      <c r="R928" s="3">
        <v>94.4</v>
      </c>
      <c r="S928" s="2">
        <v>13</v>
      </c>
      <c r="T928" t="s">
        <v>28</v>
      </c>
      <c r="U928" s="3">
        <v>1</v>
      </c>
      <c r="V928" s="3">
        <v>1</v>
      </c>
      <c r="W928" s="3">
        <v>1</v>
      </c>
      <c r="X928" s="3">
        <v>1</v>
      </c>
      <c r="Y928" s="3">
        <v>1</v>
      </c>
      <c r="Z928" s="3">
        <v>1</v>
      </c>
      <c r="AA928" s="3">
        <v>0</v>
      </c>
    </row>
    <row r="929" spans="1:27">
      <c r="A929" t="s">
        <v>1012</v>
      </c>
      <c r="B929" s="3">
        <v>1</v>
      </c>
      <c r="C929" s="3">
        <v>0</v>
      </c>
      <c r="D929" s="1">
        <v>37536</v>
      </c>
      <c r="E929" s="1">
        <v>39082</v>
      </c>
      <c r="F929" s="2">
        <f t="shared" si="14"/>
        <v>4.2327173169062284</v>
      </c>
      <c r="G929" s="3">
        <v>2</v>
      </c>
      <c r="H929" s="3">
        <v>1</v>
      </c>
      <c r="I929" s="3">
        <v>1</v>
      </c>
      <c r="J929" s="3">
        <v>0</v>
      </c>
      <c r="K929" s="3">
        <v>0</v>
      </c>
      <c r="L929" s="3">
        <v>0</v>
      </c>
      <c r="M929" s="3">
        <v>0</v>
      </c>
      <c r="N929" s="3">
        <v>1</v>
      </c>
      <c r="O929" s="3">
        <v>0</v>
      </c>
      <c r="P929" s="3">
        <v>1</v>
      </c>
      <c r="Q929" s="3">
        <v>0</v>
      </c>
      <c r="R929" s="3">
        <v>94.4</v>
      </c>
      <c r="S929" s="2">
        <v>10.4</v>
      </c>
      <c r="T929" t="s">
        <v>28</v>
      </c>
      <c r="U929" s="3">
        <v>1</v>
      </c>
      <c r="V929" s="3">
        <v>1</v>
      </c>
      <c r="W929" s="3">
        <v>0</v>
      </c>
      <c r="X929" s="3">
        <v>1</v>
      </c>
      <c r="Y929" s="3">
        <v>0</v>
      </c>
      <c r="Z929" s="3">
        <v>0</v>
      </c>
      <c r="AA929" s="3">
        <v>0</v>
      </c>
    </row>
    <row r="930" spans="1:27">
      <c r="A930" t="s">
        <v>1013</v>
      </c>
      <c r="B930" s="3">
        <v>3</v>
      </c>
      <c r="C930" s="3">
        <v>0</v>
      </c>
      <c r="D930" s="1">
        <v>37267</v>
      </c>
      <c r="E930" s="1">
        <v>39082</v>
      </c>
      <c r="F930" s="2">
        <f t="shared" si="14"/>
        <v>4.9691991786447636</v>
      </c>
      <c r="G930" s="3">
        <v>2</v>
      </c>
      <c r="H930" s="3">
        <v>1</v>
      </c>
      <c r="I930" s="3">
        <v>1</v>
      </c>
      <c r="J930" s="3">
        <v>1</v>
      </c>
      <c r="K930" s="3">
        <v>1</v>
      </c>
      <c r="L930" s="3">
        <v>0</v>
      </c>
      <c r="M930" s="3">
        <v>0</v>
      </c>
      <c r="N930" s="3">
        <v>1</v>
      </c>
      <c r="O930" s="3">
        <v>0</v>
      </c>
      <c r="P930" s="3">
        <v>1</v>
      </c>
      <c r="Q930" s="3">
        <v>0</v>
      </c>
      <c r="R930" s="3">
        <v>94.4</v>
      </c>
      <c r="S930" s="2">
        <v>12.8</v>
      </c>
      <c r="T930" t="s">
        <v>28</v>
      </c>
      <c r="U930" s="3">
        <v>0</v>
      </c>
      <c r="V930" s="3">
        <v>1</v>
      </c>
      <c r="W930" s="3">
        <v>1</v>
      </c>
      <c r="X930" s="3">
        <v>1</v>
      </c>
      <c r="Y930" s="3">
        <v>1</v>
      </c>
      <c r="Z930" s="3">
        <v>0</v>
      </c>
      <c r="AA930" s="3">
        <v>0</v>
      </c>
    </row>
    <row r="931" spans="1:27">
      <c r="A931" t="s">
        <v>1014</v>
      </c>
      <c r="B931" s="3">
        <v>3</v>
      </c>
      <c r="C931" s="3">
        <v>0</v>
      </c>
      <c r="D931" s="1">
        <v>38261</v>
      </c>
      <c r="E931" s="1">
        <v>39082</v>
      </c>
      <c r="F931" s="2">
        <f t="shared" si="14"/>
        <v>2.2477754962354553</v>
      </c>
      <c r="G931" s="3">
        <v>1</v>
      </c>
      <c r="H931" s="3">
        <v>1</v>
      </c>
      <c r="I931" s="3">
        <v>0</v>
      </c>
      <c r="J931" s="3">
        <v>1</v>
      </c>
      <c r="K931" s="3">
        <v>1</v>
      </c>
      <c r="L931" s="3">
        <v>0</v>
      </c>
      <c r="M931" s="3">
        <v>0</v>
      </c>
      <c r="N931" s="3">
        <v>1</v>
      </c>
      <c r="O931" s="3">
        <v>0</v>
      </c>
      <c r="P931" s="3">
        <v>1</v>
      </c>
      <c r="Q931" s="3">
        <v>0</v>
      </c>
      <c r="R931" s="3">
        <v>94.5</v>
      </c>
      <c r="S931" s="2">
        <v>14.6</v>
      </c>
      <c r="T931" t="s">
        <v>28</v>
      </c>
      <c r="U931" s="3">
        <v>1</v>
      </c>
      <c r="V931" s="3">
        <v>1</v>
      </c>
      <c r="W931" s="3">
        <v>0</v>
      </c>
      <c r="X931" s="3">
        <v>0</v>
      </c>
      <c r="Y931" s="3">
        <v>0</v>
      </c>
      <c r="Z931" s="3">
        <v>1</v>
      </c>
      <c r="AA931" s="3">
        <v>0</v>
      </c>
    </row>
    <row r="932" spans="1:27">
      <c r="A932" t="s">
        <v>1015</v>
      </c>
      <c r="B932" s="3">
        <v>1</v>
      </c>
      <c r="C932" s="3">
        <v>0</v>
      </c>
      <c r="D932" s="1">
        <v>37223</v>
      </c>
      <c r="E932" s="1">
        <v>39082</v>
      </c>
      <c r="F932" s="2">
        <f t="shared" si="14"/>
        <v>5.0896646132785763</v>
      </c>
      <c r="G932" s="3">
        <v>2</v>
      </c>
      <c r="H932" s="3">
        <v>0</v>
      </c>
      <c r="I932" s="3">
        <v>1</v>
      </c>
      <c r="J932" s="3">
        <v>0</v>
      </c>
      <c r="K932" s="3">
        <v>0</v>
      </c>
      <c r="L932" s="3">
        <v>1</v>
      </c>
      <c r="M932" s="3">
        <v>0</v>
      </c>
      <c r="N932" s="3">
        <v>1</v>
      </c>
      <c r="O932" s="3">
        <v>1</v>
      </c>
      <c r="P932" s="3">
        <v>1</v>
      </c>
      <c r="Q932" s="3">
        <v>0</v>
      </c>
      <c r="R932" s="3">
        <v>94.5</v>
      </c>
      <c r="S932" s="2">
        <v>13.2</v>
      </c>
      <c r="T932" t="s">
        <v>123</v>
      </c>
      <c r="U932" s="3">
        <v>1</v>
      </c>
      <c r="V932" s="3">
        <v>1</v>
      </c>
      <c r="W932" s="3">
        <v>0</v>
      </c>
      <c r="X932" s="3">
        <v>0</v>
      </c>
      <c r="Y932" s="3">
        <v>0</v>
      </c>
      <c r="Z932" s="3">
        <v>0</v>
      </c>
      <c r="AA932" s="3">
        <v>0</v>
      </c>
    </row>
    <row r="933" spans="1:27">
      <c r="A933" t="s">
        <v>1016</v>
      </c>
      <c r="B933" s="3">
        <v>1</v>
      </c>
      <c r="C933" s="3">
        <v>0</v>
      </c>
      <c r="D933" s="1">
        <v>37077</v>
      </c>
      <c r="E933" s="1">
        <v>39082</v>
      </c>
      <c r="F933" s="2">
        <f t="shared" si="14"/>
        <v>5.4893908281998627</v>
      </c>
      <c r="G933" s="3">
        <v>2</v>
      </c>
      <c r="H933" s="3">
        <v>0</v>
      </c>
      <c r="I933" s="3">
        <v>1</v>
      </c>
      <c r="J933" s="3">
        <v>0</v>
      </c>
      <c r="K933" s="3">
        <v>0</v>
      </c>
      <c r="L933" s="3">
        <v>0</v>
      </c>
      <c r="M933" s="3">
        <v>0</v>
      </c>
      <c r="N933" s="3">
        <v>1</v>
      </c>
      <c r="O933" s="3">
        <v>0</v>
      </c>
      <c r="P933" s="3">
        <v>1</v>
      </c>
      <c r="Q933" s="3">
        <v>0</v>
      </c>
      <c r="R933" s="3">
        <v>94.5</v>
      </c>
      <c r="S933" s="2">
        <v>12.1</v>
      </c>
      <c r="T933" t="s">
        <v>1017</v>
      </c>
      <c r="U933" s="3">
        <v>1</v>
      </c>
      <c r="V933" s="3">
        <v>1</v>
      </c>
      <c r="W933" s="3">
        <v>0</v>
      </c>
      <c r="X933" s="3">
        <v>0</v>
      </c>
      <c r="Y933" s="3">
        <v>0</v>
      </c>
      <c r="Z933" s="3">
        <v>0</v>
      </c>
      <c r="AA933" s="3">
        <v>0</v>
      </c>
    </row>
    <row r="934" spans="1:27">
      <c r="A934" t="s">
        <v>1018</v>
      </c>
      <c r="B934" s="3">
        <v>2</v>
      </c>
      <c r="C934" s="3">
        <v>0</v>
      </c>
      <c r="D934" s="1">
        <v>37831</v>
      </c>
      <c r="E934" s="1">
        <v>39082</v>
      </c>
      <c r="F934" s="2">
        <f t="shared" si="14"/>
        <v>3.4250513347022586</v>
      </c>
      <c r="G934" s="3">
        <v>1</v>
      </c>
      <c r="H934" s="3">
        <v>1</v>
      </c>
      <c r="I934" s="3">
        <v>1</v>
      </c>
      <c r="J934" s="3">
        <v>0</v>
      </c>
      <c r="K934" s="3">
        <v>1</v>
      </c>
      <c r="L934" s="3">
        <v>0</v>
      </c>
      <c r="M934" s="3">
        <v>0</v>
      </c>
      <c r="N934" s="3">
        <v>1</v>
      </c>
      <c r="O934" s="3">
        <v>0</v>
      </c>
      <c r="P934" s="3">
        <v>1</v>
      </c>
      <c r="Q934" s="3">
        <v>0</v>
      </c>
      <c r="R934" s="3">
        <v>94.5</v>
      </c>
      <c r="S934" s="2">
        <v>10.7</v>
      </c>
      <c r="T934" t="s">
        <v>28</v>
      </c>
      <c r="U934" s="3">
        <v>0</v>
      </c>
      <c r="V934" s="3">
        <v>1</v>
      </c>
      <c r="W934" s="3">
        <v>1</v>
      </c>
      <c r="X934" s="3">
        <v>0</v>
      </c>
      <c r="Y934" s="3">
        <v>0</v>
      </c>
      <c r="Z934" s="3">
        <v>1</v>
      </c>
      <c r="AA934" s="3">
        <v>0</v>
      </c>
    </row>
    <row r="935" spans="1:27">
      <c r="A935" t="s">
        <v>1019</v>
      </c>
      <c r="B935" s="3">
        <v>1</v>
      </c>
      <c r="C935" s="3">
        <v>0</v>
      </c>
      <c r="D935" s="1">
        <v>37055</v>
      </c>
      <c r="E935" s="1">
        <v>39082</v>
      </c>
      <c r="F935" s="2">
        <f t="shared" si="14"/>
        <v>5.5496235455167691</v>
      </c>
      <c r="G935" s="3">
        <v>2</v>
      </c>
      <c r="H935" s="3">
        <v>0</v>
      </c>
      <c r="I935" s="3">
        <v>0</v>
      </c>
      <c r="J935" s="3">
        <v>0</v>
      </c>
      <c r="K935" s="3">
        <v>1</v>
      </c>
      <c r="L935" s="3">
        <v>0</v>
      </c>
      <c r="M935" s="3">
        <v>0</v>
      </c>
      <c r="N935" s="3">
        <v>1</v>
      </c>
      <c r="O935" s="3">
        <v>0</v>
      </c>
      <c r="P935" s="3">
        <v>1</v>
      </c>
      <c r="Q935" s="3">
        <v>0</v>
      </c>
      <c r="R935" s="3">
        <v>94.6</v>
      </c>
      <c r="S935" s="2">
        <v>12.8</v>
      </c>
      <c r="T935" t="s">
        <v>328</v>
      </c>
      <c r="U935" s="3">
        <v>1</v>
      </c>
      <c r="V935" s="3">
        <v>1</v>
      </c>
      <c r="W935" s="3">
        <v>0</v>
      </c>
      <c r="X935" s="3">
        <v>0</v>
      </c>
      <c r="Y935" s="3">
        <v>0</v>
      </c>
      <c r="Z935" s="3">
        <v>0</v>
      </c>
      <c r="AA935" s="3">
        <v>0</v>
      </c>
    </row>
    <row r="936" spans="1:27">
      <c r="A936" t="s">
        <v>1020</v>
      </c>
      <c r="B936" s="3">
        <v>3</v>
      </c>
      <c r="C936" s="3">
        <v>0</v>
      </c>
      <c r="D936" s="1">
        <v>38221</v>
      </c>
      <c r="E936" s="1">
        <v>39082</v>
      </c>
      <c r="F936" s="2">
        <f t="shared" si="14"/>
        <v>2.3572895277207393</v>
      </c>
      <c r="G936" s="3">
        <v>2</v>
      </c>
      <c r="H936" s="3">
        <v>1</v>
      </c>
      <c r="I936" s="3">
        <v>0</v>
      </c>
      <c r="J936" s="3">
        <v>0</v>
      </c>
      <c r="K936" s="3">
        <v>1</v>
      </c>
      <c r="L936" s="3">
        <v>1</v>
      </c>
      <c r="M936" s="3">
        <v>0</v>
      </c>
      <c r="N936" s="3">
        <v>1</v>
      </c>
      <c r="O936" s="3">
        <v>0</v>
      </c>
      <c r="P936" s="3">
        <v>1</v>
      </c>
      <c r="Q936" s="3">
        <v>0</v>
      </c>
      <c r="R936" s="3">
        <v>94.6</v>
      </c>
      <c r="S936" s="2">
        <v>12.6</v>
      </c>
      <c r="T936" t="s">
        <v>28</v>
      </c>
      <c r="U936" s="3">
        <v>0</v>
      </c>
      <c r="V936" s="3">
        <v>1</v>
      </c>
      <c r="W936" s="3">
        <v>1</v>
      </c>
      <c r="X936" s="3">
        <v>0</v>
      </c>
      <c r="Y936" s="3">
        <v>0</v>
      </c>
      <c r="Z936" s="3">
        <v>0</v>
      </c>
      <c r="AA936" s="3">
        <v>0</v>
      </c>
    </row>
    <row r="937" spans="1:27">
      <c r="A937" t="s">
        <v>1021</v>
      </c>
      <c r="B937" s="3">
        <v>3</v>
      </c>
      <c r="C937" s="3">
        <v>0</v>
      </c>
      <c r="D937" s="1">
        <v>37136</v>
      </c>
      <c r="E937" s="1">
        <v>39082</v>
      </c>
      <c r="F937" s="2">
        <f t="shared" si="14"/>
        <v>5.3278576317590689</v>
      </c>
      <c r="G937" s="3">
        <v>2</v>
      </c>
      <c r="H937" s="3">
        <v>1</v>
      </c>
      <c r="I937" s="3">
        <v>0</v>
      </c>
      <c r="J937" s="3">
        <v>0</v>
      </c>
      <c r="K937" s="3">
        <v>0</v>
      </c>
      <c r="L937" s="3">
        <v>0</v>
      </c>
      <c r="M937" s="3">
        <v>1</v>
      </c>
      <c r="N937" s="3">
        <v>1</v>
      </c>
      <c r="O937" s="3">
        <v>0</v>
      </c>
      <c r="P937" s="3">
        <v>1</v>
      </c>
      <c r="Q937" s="3">
        <v>0</v>
      </c>
      <c r="R937" s="3">
        <v>94.6</v>
      </c>
      <c r="S937" s="2">
        <v>16</v>
      </c>
      <c r="T937" t="s">
        <v>28</v>
      </c>
      <c r="U937" s="3">
        <v>1</v>
      </c>
      <c r="V937" s="3">
        <v>1</v>
      </c>
      <c r="W937" s="3">
        <v>1</v>
      </c>
      <c r="X937" s="3">
        <v>0</v>
      </c>
      <c r="Y937" s="3">
        <v>0</v>
      </c>
      <c r="Z937" s="3">
        <v>0</v>
      </c>
      <c r="AA937" s="3">
        <v>0</v>
      </c>
    </row>
    <row r="938" spans="1:27">
      <c r="A938" t="s">
        <v>1022</v>
      </c>
      <c r="B938" s="3">
        <v>2</v>
      </c>
      <c r="C938" s="3">
        <v>0</v>
      </c>
      <c r="D938" s="1">
        <v>36845</v>
      </c>
      <c r="E938" s="1">
        <v>39082</v>
      </c>
      <c r="F938" s="2">
        <f t="shared" si="14"/>
        <v>6.1245722108145104</v>
      </c>
      <c r="G938" s="3">
        <v>1</v>
      </c>
      <c r="H938" s="3">
        <v>1</v>
      </c>
      <c r="I938" s="3">
        <v>1</v>
      </c>
      <c r="J938" s="3">
        <v>0</v>
      </c>
      <c r="K938" s="3">
        <v>0</v>
      </c>
      <c r="L938" s="3">
        <v>0</v>
      </c>
      <c r="M938" s="3">
        <v>0</v>
      </c>
      <c r="N938" s="3">
        <v>1</v>
      </c>
      <c r="O938" s="3">
        <v>0</v>
      </c>
      <c r="P938" s="3">
        <v>1</v>
      </c>
      <c r="Q938" s="3">
        <v>0</v>
      </c>
      <c r="R938" s="3">
        <v>94.6</v>
      </c>
      <c r="S938" s="2">
        <v>13.5</v>
      </c>
      <c r="T938" t="s">
        <v>69</v>
      </c>
      <c r="U938" s="3">
        <v>1</v>
      </c>
      <c r="V938" s="3">
        <v>1</v>
      </c>
      <c r="W938" s="3">
        <v>1</v>
      </c>
      <c r="X938" s="3">
        <v>1</v>
      </c>
      <c r="Y938" s="3">
        <v>1</v>
      </c>
      <c r="Z938" s="3">
        <v>1</v>
      </c>
      <c r="AA938" s="3">
        <v>0</v>
      </c>
    </row>
    <row r="939" spans="1:27">
      <c r="A939" t="s">
        <v>1023</v>
      </c>
      <c r="B939" s="3">
        <v>2</v>
      </c>
      <c r="C939" s="3">
        <v>0</v>
      </c>
      <c r="D939" s="1">
        <v>36809</v>
      </c>
      <c r="E939" s="1">
        <v>39082</v>
      </c>
      <c r="F939" s="2">
        <f t="shared" si="14"/>
        <v>6.2231348391512666</v>
      </c>
      <c r="G939" s="3">
        <v>1</v>
      </c>
      <c r="H939" s="3">
        <v>1</v>
      </c>
      <c r="I939" s="3">
        <v>0</v>
      </c>
      <c r="J939" s="3">
        <v>1</v>
      </c>
      <c r="K939" s="3">
        <v>1</v>
      </c>
      <c r="L939" s="3">
        <v>0</v>
      </c>
      <c r="M939" s="3">
        <v>0</v>
      </c>
      <c r="N939" s="3">
        <v>0</v>
      </c>
      <c r="O939" s="3">
        <v>0</v>
      </c>
      <c r="P939" s="3">
        <v>0</v>
      </c>
      <c r="Q939" s="3">
        <v>0</v>
      </c>
      <c r="R939" s="3">
        <v>94.7</v>
      </c>
      <c r="S939" s="2">
        <v>13</v>
      </c>
      <c r="T939" t="s">
        <v>66</v>
      </c>
      <c r="U939" s="3">
        <v>1</v>
      </c>
      <c r="V939" s="3">
        <v>1</v>
      </c>
      <c r="W939" s="3">
        <v>1</v>
      </c>
      <c r="X939" s="3">
        <v>1</v>
      </c>
      <c r="Y939" s="3">
        <v>0</v>
      </c>
      <c r="Z939" s="3">
        <v>1</v>
      </c>
      <c r="AA939" s="3">
        <v>0</v>
      </c>
    </row>
    <row r="940" spans="1:27">
      <c r="A940" t="s">
        <v>1024</v>
      </c>
      <c r="B940" s="3">
        <v>3</v>
      </c>
      <c r="C940" s="3">
        <v>0</v>
      </c>
      <c r="D940" s="1">
        <v>37987</v>
      </c>
      <c r="E940" s="1">
        <v>39082</v>
      </c>
      <c r="F940" s="2">
        <f t="shared" si="14"/>
        <v>2.9979466119096507</v>
      </c>
      <c r="G940" s="3">
        <v>2</v>
      </c>
      <c r="H940" s="3">
        <v>1</v>
      </c>
      <c r="I940" s="3">
        <v>0</v>
      </c>
      <c r="J940" s="3">
        <v>1</v>
      </c>
      <c r="K940" s="3">
        <v>0</v>
      </c>
      <c r="L940" s="3">
        <v>0</v>
      </c>
      <c r="M940" s="3">
        <v>0</v>
      </c>
      <c r="N940" s="3">
        <v>0</v>
      </c>
      <c r="O940" s="3">
        <v>0</v>
      </c>
      <c r="P940" s="3">
        <v>0</v>
      </c>
      <c r="Q940" s="3">
        <v>0</v>
      </c>
      <c r="R940" s="3">
        <v>94.7</v>
      </c>
      <c r="S940" s="2">
        <v>14.2</v>
      </c>
      <c r="T940" t="s">
        <v>283</v>
      </c>
      <c r="U940" s="3">
        <v>0</v>
      </c>
      <c r="V940" s="3">
        <v>0</v>
      </c>
      <c r="W940" s="3">
        <v>1</v>
      </c>
      <c r="X940" s="3">
        <v>0</v>
      </c>
      <c r="Y940" s="3">
        <v>0</v>
      </c>
      <c r="Z940" s="3">
        <v>0</v>
      </c>
      <c r="AA940" s="3">
        <v>0</v>
      </c>
    </row>
    <row r="941" spans="1:27">
      <c r="A941" t="s">
        <v>1025</v>
      </c>
      <c r="B941" s="3">
        <v>3</v>
      </c>
      <c r="C941" s="3">
        <v>0</v>
      </c>
      <c r="D941" s="1">
        <v>36663</v>
      </c>
      <c r="E941" s="1">
        <v>39082</v>
      </c>
      <c r="F941" s="2">
        <f t="shared" si="14"/>
        <v>6.622861054072553</v>
      </c>
      <c r="G941" s="3">
        <v>1</v>
      </c>
      <c r="H941" s="3">
        <v>1</v>
      </c>
      <c r="I941" s="3">
        <v>0</v>
      </c>
      <c r="J941" s="3">
        <v>0</v>
      </c>
      <c r="K941" s="3">
        <v>0</v>
      </c>
      <c r="L941" s="3">
        <v>0</v>
      </c>
      <c r="M941" s="3">
        <v>1</v>
      </c>
      <c r="N941" s="3">
        <v>1</v>
      </c>
      <c r="O941" s="3">
        <v>0</v>
      </c>
      <c r="P941" s="3">
        <v>1</v>
      </c>
      <c r="Q941" s="3">
        <v>0</v>
      </c>
      <c r="R941" s="3">
        <v>94.8</v>
      </c>
      <c r="S941" s="2">
        <v>12.1</v>
      </c>
      <c r="T941" t="s">
        <v>1026</v>
      </c>
      <c r="U941" s="3">
        <v>1</v>
      </c>
      <c r="V941" s="3">
        <v>1</v>
      </c>
      <c r="W941" s="3">
        <v>0</v>
      </c>
      <c r="X941" s="3">
        <v>0</v>
      </c>
      <c r="Y941" s="3">
        <v>0</v>
      </c>
      <c r="Z941" s="3">
        <v>1</v>
      </c>
      <c r="AA941" s="3">
        <v>0</v>
      </c>
    </row>
    <row r="942" spans="1:27">
      <c r="A942" t="s">
        <v>1027</v>
      </c>
      <c r="B942" s="3">
        <v>3</v>
      </c>
      <c r="C942" s="3">
        <v>0</v>
      </c>
      <c r="D942" s="1">
        <v>38240</v>
      </c>
      <c r="E942" s="1">
        <v>39082</v>
      </c>
      <c r="F942" s="2">
        <f t="shared" si="14"/>
        <v>2.3052703627652291</v>
      </c>
      <c r="G942" s="3">
        <v>2</v>
      </c>
      <c r="H942" s="3">
        <v>1</v>
      </c>
      <c r="I942" s="3">
        <v>0</v>
      </c>
      <c r="J942" s="3">
        <v>0</v>
      </c>
      <c r="K942" s="3">
        <v>0</v>
      </c>
      <c r="L942" s="3">
        <v>0</v>
      </c>
      <c r="M942" s="3">
        <v>0</v>
      </c>
      <c r="N942" s="3">
        <v>1</v>
      </c>
      <c r="O942" s="3">
        <v>0</v>
      </c>
      <c r="P942" s="3">
        <v>0</v>
      </c>
      <c r="Q942" s="3">
        <v>0</v>
      </c>
      <c r="R942" s="3">
        <v>94.8</v>
      </c>
      <c r="S942" s="2">
        <v>13.7</v>
      </c>
      <c r="T942" t="s">
        <v>28</v>
      </c>
      <c r="U942" s="3">
        <v>0</v>
      </c>
      <c r="V942" s="3">
        <v>1</v>
      </c>
      <c r="W942" s="3">
        <v>1</v>
      </c>
      <c r="X942" s="3">
        <v>0</v>
      </c>
      <c r="Y942" s="3">
        <v>0</v>
      </c>
      <c r="Z942" s="3">
        <v>0</v>
      </c>
      <c r="AA942" s="3">
        <v>0</v>
      </c>
    </row>
    <row r="943" spans="1:27">
      <c r="A943" t="s">
        <v>1028</v>
      </c>
      <c r="B943" s="3">
        <v>3</v>
      </c>
      <c r="C943" s="3">
        <v>0</v>
      </c>
      <c r="D943" s="1">
        <v>38256</v>
      </c>
      <c r="E943" s="1">
        <v>39082</v>
      </c>
      <c r="F943" s="2">
        <f t="shared" si="14"/>
        <v>2.2614647501711156</v>
      </c>
      <c r="G943" s="3">
        <v>2</v>
      </c>
      <c r="H943" s="3">
        <v>1</v>
      </c>
      <c r="I943" s="3">
        <v>0</v>
      </c>
      <c r="J943" s="3">
        <v>1</v>
      </c>
      <c r="K943" s="3">
        <v>0</v>
      </c>
      <c r="L943" s="3">
        <v>0</v>
      </c>
      <c r="M943" s="3">
        <v>0</v>
      </c>
      <c r="N943" s="3">
        <v>1</v>
      </c>
      <c r="O943" s="3">
        <v>0</v>
      </c>
      <c r="P943" s="3">
        <v>1</v>
      </c>
      <c r="Q943" s="3">
        <v>0</v>
      </c>
      <c r="R943" s="3">
        <v>94.8</v>
      </c>
      <c r="S943" s="2">
        <v>14.3</v>
      </c>
      <c r="T943" t="s">
        <v>1029</v>
      </c>
      <c r="U943" s="3">
        <v>0</v>
      </c>
      <c r="V943" s="3">
        <v>0</v>
      </c>
      <c r="W943" s="3">
        <v>1</v>
      </c>
      <c r="X943" s="3">
        <v>1</v>
      </c>
      <c r="Y943" s="3">
        <v>1</v>
      </c>
      <c r="Z943" s="3">
        <v>0</v>
      </c>
      <c r="AA943" s="3">
        <v>0</v>
      </c>
    </row>
    <row r="944" spans="1:27">
      <c r="A944" t="s">
        <v>1030</v>
      </c>
      <c r="B944" s="3">
        <v>3</v>
      </c>
      <c r="C944" s="3">
        <v>0</v>
      </c>
      <c r="D944" s="1">
        <v>38309</v>
      </c>
      <c r="E944" s="1">
        <v>39082</v>
      </c>
      <c r="F944" s="2">
        <f t="shared" si="14"/>
        <v>2.1163586584531142</v>
      </c>
      <c r="G944" s="3">
        <v>1</v>
      </c>
      <c r="H944" s="3">
        <v>1</v>
      </c>
      <c r="I944" s="3">
        <v>0</v>
      </c>
      <c r="J944" s="3">
        <v>0</v>
      </c>
      <c r="K944" s="3">
        <v>0</v>
      </c>
      <c r="L944" s="3">
        <v>0</v>
      </c>
      <c r="M944" s="3">
        <v>1</v>
      </c>
      <c r="N944" s="3">
        <v>1</v>
      </c>
      <c r="O944" s="3">
        <v>0</v>
      </c>
      <c r="P944" s="3">
        <v>1</v>
      </c>
      <c r="Q944" s="3">
        <v>0</v>
      </c>
      <c r="R944" s="3">
        <v>94.9</v>
      </c>
      <c r="S944" s="2">
        <v>12.7</v>
      </c>
      <c r="T944" t="s">
        <v>377</v>
      </c>
      <c r="U944" s="3">
        <v>1</v>
      </c>
      <c r="V944" s="3">
        <v>1</v>
      </c>
      <c r="W944" s="3">
        <v>1</v>
      </c>
      <c r="X944" s="3">
        <v>0</v>
      </c>
      <c r="Y944" s="3">
        <v>0</v>
      </c>
      <c r="Z944" s="3">
        <v>1</v>
      </c>
      <c r="AA944" s="3">
        <v>0</v>
      </c>
    </row>
    <row r="945" spans="1:27">
      <c r="A945" t="s">
        <v>1031</v>
      </c>
      <c r="B945" s="3">
        <v>1</v>
      </c>
      <c r="C945" s="3">
        <v>0</v>
      </c>
      <c r="D945" s="1">
        <v>37070</v>
      </c>
      <c r="E945" s="1">
        <v>39082</v>
      </c>
      <c r="F945" s="2">
        <f t="shared" si="14"/>
        <v>5.508555783709788</v>
      </c>
      <c r="G945" s="3">
        <v>2</v>
      </c>
      <c r="H945" s="3">
        <v>0</v>
      </c>
      <c r="I945" s="3">
        <v>0</v>
      </c>
      <c r="J945" s="3">
        <v>0</v>
      </c>
      <c r="K945" s="3">
        <v>0</v>
      </c>
      <c r="L945" s="3">
        <v>0</v>
      </c>
      <c r="M945" s="3">
        <v>0</v>
      </c>
      <c r="N945" s="3">
        <v>1</v>
      </c>
      <c r="O945" s="3">
        <v>0</v>
      </c>
      <c r="P945" s="3">
        <v>1</v>
      </c>
      <c r="Q945" s="3">
        <v>0</v>
      </c>
      <c r="R945" s="3">
        <v>95</v>
      </c>
      <c r="S945" s="2">
        <v>11.6</v>
      </c>
      <c r="T945" t="s">
        <v>66</v>
      </c>
      <c r="U945" s="3">
        <v>1</v>
      </c>
      <c r="V945" s="3">
        <v>1</v>
      </c>
      <c r="W945" s="3">
        <v>0</v>
      </c>
      <c r="X945" s="3">
        <v>0</v>
      </c>
      <c r="Y945" s="3">
        <v>0</v>
      </c>
      <c r="Z945" s="3">
        <v>0</v>
      </c>
      <c r="AA945" s="3">
        <v>0</v>
      </c>
    </row>
    <row r="946" spans="1:27">
      <c r="A946" t="s">
        <v>1032</v>
      </c>
      <c r="B946" s="3">
        <v>1</v>
      </c>
      <c r="C946" s="3">
        <v>0</v>
      </c>
      <c r="D946" s="1">
        <v>38226</v>
      </c>
      <c r="E946" s="1">
        <v>39082</v>
      </c>
      <c r="F946" s="2">
        <f t="shared" si="14"/>
        <v>2.3436002737850785</v>
      </c>
      <c r="G946" s="3">
        <v>2</v>
      </c>
      <c r="H946" s="3">
        <v>1</v>
      </c>
      <c r="I946" s="3">
        <v>0</v>
      </c>
      <c r="J946" s="3">
        <v>0</v>
      </c>
      <c r="K946" s="3">
        <v>0</v>
      </c>
      <c r="L946" s="3">
        <v>1</v>
      </c>
      <c r="M946" s="3">
        <v>0</v>
      </c>
      <c r="N946" s="3">
        <v>1</v>
      </c>
      <c r="O946" s="3">
        <v>0</v>
      </c>
      <c r="P946" s="3">
        <v>0</v>
      </c>
      <c r="Q946" s="3">
        <v>0</v>
      </c>
      <c r="R946" s="3">
        <v>95</v>
      </c>
      <c r="S946" s="2">
        <v>13.9</v>
      </c>
      <c r="T946" t="s">
        <v>69</v>
      </c>
      <c r="U946" s="3">
        <v>1</v>
      </c>
      <c r="V946" s="3">
        <v>1</v>
      </c>
      <c r="W946" s="3">
        <v>0</v>
      </c>
      <c r="X946" s="3">
        <v>0</v>
      </c>
      <c r="Y946" s="3">
        <v>0</v>
      </c>
      <c r="Z946" s="3">
        <v>0</v>
      </c>
      <c r="AA946" s="3">
        <v>0</v>
      </c>
    </row>
    <row r="947" spans="1:27">
      <c r="A947" t="s">
        <v>1033</v>
      </c>
      <c r="B947" s="3">
        <v>2</v>
      </c>
      <c r="C947" s="3">
        <v>0</v>
      </c>
      <c r="D947" s="1">
        <v>36995</v>
      </c>
      <c r="E947" s="1">
        <v>39082</v>
      </c>
      <c r="F947" s="2">
        <f t="shared" si="14"/>
        <v>5.7138945927446958</v>
      </c>
      <c r="G947" s="3">
        <v>2</v>
      </c>
      <c r="H947" s="3">
        <v>0</v>
      </c>
      <c r="I947" s="3">
        <v>0</v>
      </c>
      <c r="J947" s="3">
        <v>1</v>
      </c>
      <c r="K947" s="3">
        <v>0</v>
      </c>
      <c r="L947" s="3">
        <v>0</v>
      </c>
      <c r="M947" s="3">
        <v>0</v>
      </c>
      <c r="N947" s="3">
        <v>1</v>
      </c>
      <c r="O947" s="3">
        <v>0</v>
      </c>
      <c r="P947" s="3">
        <v>1</v>
      </c>
      <c r="Q947" s="3">
        <v>0</v>
      </c>
      <c r="R947" s="3">
        <v>95</v>
      </c>
      <c r="S947" s="2">
        <v>12.2</v>
      </c>
      <c r="T947" t="s">
        <v>123</v>
      </c>
      <c r="U947" s="3">
        <v>1</v>
      </c>
      <c r="V947" s="3">
        <v>1</v>
      </c>
      <c r="W947" s="3">
        <v>1</v>
      </c>
      <c r="X947" s="3">
        <v>1</v>
      </c>
      <c r="Y947" s="3">
        <v>1</v>
      </c>
      <c r="Z947" s="3">
        <v>0</v>
      </c>
      <c r="AA947" s="3">
        <v>0</v>
      </c>
    </row>
    <row r="948" spans="1:27">
      <c r="A948" t="s">
        <v>1034</v>
      </c>
      <c r="B948" s="3">
        <v>1</v>
      </c>
      <c r="C948" s="3">
        <v>0</v>
      </c>
      <c r="D948" s="1">
        <v>37290</v>
      </c>
      <c r="E948" s="1">
        <v>39082</v>
      </c>
      <c r="F948" s="2">
        <f t="shared" si="14"/>
        <v>4.9062286105407251</v>
      </c>
      <c r="G948" s="3">
        <v>2</v>
      </c>
      <c r="H948" s="3">
        <v>1</v>
      </c>
      <c r="I948" s="3">
        <v>0</v>
      </c>
      <c r="J948" s="3">
        <v>1</v>
      </c>
      <c r="K948" s="3">
        <v>0</v>
      </c>
      <c r="L948" s="3">
        <v>0</v>
      </c>
      <c r="M948" s="3">
        <v>0</v>
      </c>
      <c r="N948" s="3">
        <v>1</v>
      </c>
      <c r="O948" s="3">
        <v>0</v>
      </c>
      <c r="P948" s="3">
        <v>1</v>
      </c>
      <c r="Q948" s="3">
        <v>0</v>
      </c>
      <c r="R948" s="3">
        <v>95</v>
      </c>
      <c r="S948" s="2">
        <v>13.3</v>
      </c>
      <c r="T948" t="s">
        <v>398</v>
      </c>
      <c r="U948" s="3">
        <v>1</v>
      </c>
      <c r="V948" s="3">
        <v>1</v>
      </c>
      <c r="W948" s="3">
        <v>0</v>
      </c>
      <c r="X948" s="3">
        <v>0</v>
      </c>
      <c r="Y948" s="3">
        <v>0</v>
      </c>
      <c r="Z948" s="3">
        <v>0</v>
      </c>
      <c r="AA948" s="3">
        <v>0</v>
      </c>
    </row>
    <row r="949" spans="1:27">
      <c r="A949" t="s">
        <v>1035</v>
      </c>
      <c r="B949" s="3">
        <v>1</v>
      </c>
      <c r="C949" s="3">
        <v>0</v>
      </c>
      <c r="D949" s="1">
        <v>37995</v>
      </c>
      <c r="E949" s="1">
        <v>39082</v>
      </c>
      <c r="F949" s="2">
        <f t="shared" si="14"/>
        <v>2.9760438056125942</v>
      </c>
      <c r="G949" s="3">
        <v>2</v>
      </c>
      <c r="H949" s="3">
        <v>0</v>
      </c>
      <c r="I949" s="3">
        <v>0</v>
      </c>
      <c r="J949" s="3">
        <v>0</v>
      </c>
      <c r="K949" s="3">
        <v>0</v>
      </c>
      <c r="L949" s="3">
        <v>0</v>
      </c>
      <c r="M949" s="3">
        <v>1</v>
      </c>
      <c r="N949" s="3">
        <v>1</v>
      </c>
      <c r="O949" s="3">
        <v>0</v>
      </c>
      <c r="P949" s="3">
        <v>1</v>
      </c>
      <c r="Q949" s="3">
        <v>0</v>
      </c>
      <c r="R949" s="3">
        <v>95.1</v>
      </c>
      <c r="S949" s="2">
        <v>13.3</v>
      </c>
      <c r="T949" t="s">
        <v>28</v>
      </c>
      <c r="U949" s="3">
        <v>1</v>
      </c>
      <c r="V949" s="3">
        <v>1</v>
      </c>
      <c r="W949" s="3">
        <v>0</v>
      </c>
      <c r="X949" s="3">
        <v>0</v>
      </c>
      <c r="Y949" s="3">
        <v>0</v>
      </c>
      <c r="Z949" s="3">
        <v>0</v>
      </c>
      <c r="AA949" s="3">
        <v>0</v>
      </c>
    </row>
    <row r="950" spans="1:27">
      <c r="A950" t="s">
        <v>1036</v>
      </c>
      <c r="B950" s="3">
        <v>1</v>
      </c>
      <c r="C950" s="3">
        <v>0</v>
      </c>
      <c r="D950" s="1">
        <v>37218</v>
      </c>
      <c r="E950" s="1">
        <v>39082</v>
      </c>
      <c r="F950" s="2">
        <f t="shared" si="14"/>
        <v>5.1033538672142367</v>
      </c>
      <c r="G950" s="3">
        <v>2</v>
      </c>
      <c r="H950" s="3">
        <v>0</v>
      </c>
      <c r="I950" s="3">
        <v>0</v>
      </c>
      <c r="J950" s="3">
        <v>0</v>
      </c>
      <c r="K950" s="3">
        <v>0</v>
      </c>
      <c r="L950" s="3">
        <v>0</v>
      </c>
      <c r="M950" s="3">
        <v>0</v>
      </c>
      <c r="N950" s="3">
        <v>1</v>
      </c>
      <c r="O950" s="3">
        <v>0</v>
      </c>
      <c r="P950" s="3">
        <v>1</v>
      </c>
      <c r="Q950" s="3">
        <v>0</v>
      </c>
      <c r="R950" s="3">
        <v>95.1</v>
      </c>
      <c r="S950" s="2">
        <v>14.6</v>
      </c>
      <c r="T950" t="s">
        <v>199</v>
      </c>
      <c r="U950" s="3">
        <v>1</v>
      </c>
      <c r="V950" s="3">
        <v>1</v>
      </c>
      <c r="W950" s="3">
        <v>0</v>
      </c>
      <c r="X950" s="3">
        <v>0</v>
      </c>
      <c r="Y950" s="3">
        <v>0</v>
      </c>
      <c r="Z950" s="3">
        <v>0</v>
      </c>
      <c r="AA950" s="3">
        <v>0</v>
      </c>
    </row>
    <row r="951" spans="1:27">
      <c r="A951" t="s">
        <v>1037</v>
      </c>
      <c r="B951" s="3">
        <v>3</v>
      </c>
      <c r="C951" s="3">
        <v>0</v>
      </c>
      <c r="D951" s="1">
        <v>37118</v>
      </c>
      <c r="E951" s="1">
        <v>39082</v>
      </c>
      <c r="F951" s="2">
        <f t="shared" si="14"/>
        <v>5.377138945927447</v>
      </c>
      <c r="G951" s="3">
        <v>1</v>
      </c>
      <c r="H951" s="3">
        <v>1</v>
      </c>
      <c r="I951" s="3">
        <v>1</v>
      </c>
      <c r="J951" s="3">
        <v>0</v>
      </c>
      <c r="K951" s="3">
        <v>1</v>
      </c>
      <c r="L951" s="3">
        <v>0</v>
      </c>
      <c r="M951" s="3">
        <v>1</v>
      </c>
      <c r="N951" s="3">
        <v>1</v>
      </c>
      <c r="O951" s="3">
        <v>0</v>
      </c>
      <c r="P951" s="3">
        <v>1</v>
      </c>
      <c r="Q951" s="3">
        <v>0</v>
      </c>
      <c r="R951" s="3">
        <v>95.1</v>
      </c>
      <c r="S951" s="2">
        <v>13.1</v>
      </c>
      <c r="T951" t="s">
        <v>328</v>
      </c>
      <c r="U951" s="3">
        <v>1</v>
      </c>
      <c r="V951" s="3">
        <v>1</v>
      </c>
      <c r="W951" s="3">
        <v>0</v>
      </c>
      <c r="X951" s="3">
        <v>0</v>
      </c>
      <c r="Y951" s="3">
        <v>0</v>
      </c>
      <c r="Z951" s="3">
        <v>1</v>
      </c>
      <c r="AA951" s="3">
        <v>0</v>
      </c>
    </row>
    <row r="952" spans="1:27">
      <c r="A952" t="s">
        <v>1038</v>
      </c>
      <c r="B952" s="3">
        <v>1</v>
      </c>
      <c r="C952" s="3">
        <v>0</v>
      </c>
      <c r="D952" s="1">
        <v>38252</v>
      </c>
      <c r="E952" s="1">
        <v>39082</v>
      </c>
      <c r="F952" s="2">
        <f t="shared" si="14"/>
        <v>2.2724161533196439</v>
      </c>
      <c r="G952" s="3">
        <v>2</v>
      </c>
      <c r="H952" s="3">
        <v>0</v>
      </c>
      <c r="I952" s="3">
        <v>0</v>
      </c>
      <c r="J952" s="3">
        <v>0</v>
      </c>
      <c r="K952" s="3">
        <v>0</v>
      </c>
      <c r="L952" s="3">
        <v>1</v>
      </c>
      <c r="M952" s="3">
        <v>0</v>
      </c>
      <c r="N952" s="3">
        <v>1</v>
      </c>
      <c r="O952" s="3">
        <v>0</v>
      </c>
      <c r="P952" s="3">
        <v>0</v>
      </c>
      <c r="Q952" s="3">
        <v>0</v>
      </c>
      <c r="R952" s="3">
        <v>95.2</v>
      </c>
      <c r="S952" s="2">
        <v>12.1</v>
      </c>
      <c r="T952" t="s">
        <v>92</v>
      </c>
      <c r="U952" s="3">
        <v>1</v>
      </c>
      <c r="V952" s="3">
        <v>1</v>
      </c>
      <c r="W952" s="3">
        <v>0</v>
      </c>
      <c r="X952" s="3">
        <v>0</v>
      </c>
      <c r="Y952" s="3">
        <v>0</v>
      </c>
      <c r="Z952" s="3">
        <v>0</v>
      </c>
      <c r="AA952" s="3">
        <v>0</v>
      </c>
    </row>
    <row r="953" spans="1:27">
      <c r="A953" t="s">
        <v>1039</v>
      </c>
      <c r="B953" s="3">
        <v>1</v>
      </c>
      <c r="C953" s="3">
        <v>0</v>
      </c>
      <c r="D953" s="1">
        <v>36909</v>
      </c>
      <c r="E953" s="1">
        <v>39082</v>
      </c>
      <c r="F953" s="2">
        <f t="shared" si="14"/>
        <v>5.9493497604380563</v>
      </c>
      <c r="G953" s="3">
        <v>1</v>
      </c>
      <c r="H953" s="3">
        <v>1</v>
      </c>
      <c r="I953" s="3">
        <v>0</v>
      </c>
      <c r="J953" s="3">
        <v>0</v>
      </c>
      <c r="K953" s="3">
        <v>0</v>
      </c>
      <c r="L953" s="3">
        <v>0</v>
      </c>
      <c r="M953" s="3">
        <v>0</v>
      </c>
      <c r="N953" s="3">
        <v>1</v>
      </c>
      <c r="O953" s="3">
        <v>0</v>
      </c>
      <c r="P953" s="3">
        <v>0</v>
      </c>
      <c r="Q953" s="3">
        <v>0</v>
      </c>
      <c r="R953" s="3">
        <v>95.2</v>
      </c>
      <c r="S953" s="2">
        <v>12.1</v>
      </c>
      <c r="T953" t="s">
        <v>92</v>
      </c>
      <c r="U953" s="3">
        <v>1</v>
      </c>
      <c r="V953" s="3">
        <v>1</v>
      </c>
      <c r="W953" s="3">
        <v>0</v>
      </c>
      <c r="X953" s="3">
        <v>0</v>
      </c>
      <c r="Y953" s="3">
        <v>0</v>
      </c>
      <c r="Z953" s="3">
        <v>1</v>
      </c>
      <c r="AA953" s="3">
        <v>0</v>
      </c>
    </row>
    <row r="954" spans="1:27">
      <c r="A954" t="s">
        <v>1040</v>
      </c>
      <c r="B954" s="3">
        <v>2</v>
      </c>
      <c r="C954" s="3">
        <v>0</v>
      </c>
      <c r="D954" s="1">
        <v>38027</v>
      </c>
      <c r="E954" s="1">
        <v>39082</v>
      </c>
      <c r="F954" s="2">
        <f t="shared" si="14"/>
        <v>2.8884325804243667</v>
      </c>
      <c r="G954" s="3">
        <v>2</v>
      </c>
      <c r="H954" s="3">
        <v>1</v>
      </c>
      <c r="I954" s="3">
        <v>0</v>
      </c>
      <c r="J954" s="3">
        <v>0</v>
      </c>
      <c r="K954" s="3">
        <v>0</v>
      </c>
      <c r="L954" s="3">
        <v>0</v>
      </c>
      <c r="M954" s="3">
        <v>0</v>
      </c>
      <c r="N954" s="3">
        <v>1</v>
      </c>
      <c r="O954" s="3">
        <v>0</v>
      </c>
      <c r="P954" s="3">
        <v>0</v>
      </c>
      <c r="Q954" s="3">
        <v>0</v>
      </c>
      <c r="R954" s="3">
        <v>95.2</v>
      </c>
      <c r="S954" s="2">
        <v>13.1</v>
      </c>
      <c r="T954" t="s">
        <v>59</v>
      </c>
      <c r="U954" s="3">
        <v>1</v>
      </c>
      <c r="V954" s="3">
        <v>1</v>
      </c>
      <c r="W954" s="3">
        <v>1</v>
      </c>
      <c r="X954" s="3">
        <v>0</v>
      </c>
      <c r="Y954" s="3">
        <v>0</v>
      </c>
      <c r="Z954" s="3">
        <v>0</v>
      </c>
      <c r="AA954" s="3">
        <v>0</v>
      </c>
    </row>
    <row r="955" spans="1:27">
      <c r="A955" t="s">
        <v>1041</v>
      </c>
      <c r="B955" s="3">
        <v>2</v>
      </c>
      <c r="C955" s="3">
        <v>0</v>
      </c>
      <c r="D955" s="1">
        <v>36936</v>
      </c>
      <c r="E955" s="1">
        <v>39082</v>
      </c>
      <c r="F955" s="2">
        <f t="shared" si="14"/>
        <v>5.8754277891854896</v>
      </c>
      <c r="G955" s="3">
        <v>2</v>
      </c>
      <c r="H955" s="3">
        <v>1</v>
      </c>
      <c r="I955" s="3">
        <v>0</v>
      </c>
      <c r="J955" s="3">
        <v>0</v>
      </c>
      <c r="K955" s="3">
        <v>0</v>
      </c>
      <c r="L955" s="3">
        <v>0</v>
      </c>
      <c r="M955" s="3">
        <v>0</v>
      </c>
      <c r="N955" s="3">
        <v>1</v>
      </c>
      <c r="O955" s="3">
        <v>0</v>
      </c>
      <c r="P955" s="3">
        <v>1</v>
      </c>
      <c r="Q955" s="3">
        <v>0</v>
      </c>
      <c r="R955" s="3">
        <v>95.2</v>
      </c>
      <c r="S955" s="2">
        <v>12.6</v>
      </c>
      <c r="T955" t="s">
        <v>28</v>
      </c>
      <c r="U955" s="3">
        <v>1</v>
      </c>
      <c r="V955" s="3">
        <v>1</v>
      </c>
      <c r="W955" s="3">
        <v>1</v>
      </c>
      <c r="X955" s="3">
        <v>1</v>
      </c>
      <c r="Y955" s="3">
        <v>1</v>
      </c>
      <c r="Z955" s="3">
        <v>0</v>
      </c>
      <c r="AA955" s="3">
        <v>0</v>
      </c>
    </row>
    <row r="956" spans="1:27">
      <c r="A956" t="s">
        <v>1042</v>
      </c>
      <c r="B956" s="3">
        <v>1</v>
      </c>
      <c r="C956" s="3">
        <v>0</v>
      </c>
      <c r="D956" s="1">
        <v>38010</v>
      </c>
      <c r="E956" s="1">
        <v>39082</v>
      </c>
      <c r="F956" s="2">
        <f t="shared" si="14"/>
        <v>2.9349760438056127</v>
      </c>
      <c r="G956" s="3">
        <v>1</v>
      </c>
      <c r="H956" s="3">
        <v>0</v>
      </c>
      <c r="I956" s="3">
        <v>1</v>
      </c>
      <c r="J956" s="3">
        <v>0</v>
      </c>
      <c r="K956" s="3">
        <v>0</v>
      </c>
      <c r="L956" s="3">
        <v>0</v>
      </c>
      <c r="M956" s="3">
        <v>0</v>
      </c>
      <c r="N956" s="3">
        <v>1</v>
      </c>
      <c r="O956" s="3">
        <v>0</v>
      </c>
      <c r="P956" s="3">
        <v>0</v>
      </c>
      <c r="Q956" s="3">
        <v>0</v>
      </c>
      <c r="R956" s="3">
        <v>95.2</v>
      </c>
      <c r="S956" s="2">
        <v>12.8</v>
      </c>
      <c r="T956" t="s">
        <v>92</v>
      </c>
      <c r="U956" s="3">
        <v>1</v>
      </c>
      <c r="V956" s="3">
        <v>0</v>
      </c>
      <c r="W956" s="3">
        <v>1</v>
      </c>
      <c r="X956" s="3">
        <v>1</v>
      </c>
      <c r="Y956" s="3">
        <v>0</v>
      </c>
      <c r="Z956" s="3">
        <v>1</v>
      </c>
      <c r="AA956" s="3">
        <v>0</v>
      </c>
    </row>
    <row r="957" spans="1:27">
      <c r="A957" t="s">
        <v>1043</v>
      </c>
      <c r="B957" s="3">
        <v>2</v>
      </c>
      <c r="C957" s="3">
        <v>0</v>
      </c>
      <c r="D957" s="1">
        <v>37209</v>
      </c>
      <c r="E957" s="1">
        <v>39082</v>
      </c>
      <c r="F957" s="2">
        <f t="shared" si="14"/>
        <v>5.1279945242984262</v>
      </c>
      <c r="G957" s="3">
        <v>1</v>
      </c>
      <c r="H957" s="3">
        <v>0</v>
      </c>
      <c r="I957" s="3">
        <v>1</v>
      </c>
      <c r="J957" s="3">
        <v>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1</v>
      </c>
      <c r="Q957" s="3">
        <v>0</v>
      </c>
      <c r="R957" s="3">
        <v>95.2</v>
      </c>
      <c r="S957" s="2">
        <v>14</v>
      </c>
      <c r="T957" t="s">
        <v>28</v>
      </c>
      <c r="U957" s="3">
        <v>1</v>
      </c>
      <c r="V957" s="3">
        <v>1</v>
      </c>
      <c r="W957" s="3">
        <v>1</v>
      </c>
      <c r="X957" s="3">
        <v>0</v>
      </c>
      <c r="Y957" s="3">
        <v>1</v>
      </c>
      <c r="Z957" s="3">
        <v>1</v>
      </c>
      <c r="AA957" s="3">
        <v>0</v>
      </c>
    </row>
    <row r="958" spans="1:27">
      <c r="A958" t="s">
        <v>1044</v>
      </c>
      <c r="B958" s="3">
        <v>2</v>
      </c>
      <c r="C958" s="3">
        <v>0</v>
      </c>
      <c r="D958" s="1">
        <v>36913</v>
      </c>
      <c r="E958" s="1">
        <v>39082</v>
      </c>
      <c r="F958" s="2">
        <f t="shared" si="14"/>
        <v>5.938398357289528</v>
      </c>
      <c r="G958" s="3">
        <v>1</v>
      </c>
      <c r="H958" s="3">
        <v>1</v>
      </c>
      <c r="I958" s="3">
        <v>0</v>
      </c>
      <c r="J958" s="3">
        <v>0</v>
      </c>
      <c r="K958" s="3">
        <v>0</v>
      </c>
      <c r="L958" s="3">
        <v>0</v>
      </c>
      <c r="M958" s="3">
        <v>0</v>
      </c>
      <c r="N958" s="3">
        <v>0</v>
      </c>
      <c r="O958" s="3">
        <v>0</v>
      </c>
      <c r="P958" s="3">
        <v>0</v>
      </c>
      <c r="Q958" s="3">
        <v>0</v>
      </c>
      <c r="R958" s="3">
        <v>95.3</v>
      </c>
      <c r="S958" s="2">
        <v>13</v>
      </c>
      <c r="T958" t="s">
        <v>28</v>
      </c>
      <c r="U958" s="3">
        <v>1</v>
      </c>
      <c r="V958" s="3">
        <v>1</v>
      </c>
      <c r="W958" s="3">
        <v>1</v>
      </c>
      <c r="X958" s="3">
        <v>0</v>
      </c>
      <c r="Y958" s="3">
        <v>0</v>
      </c>
      <c r="Z958" s="3">
        <v>1</v>
      </c>
      <c r="AA958" s="3">
        <v>0</v>
      </c>
    </row>
    <row r="959" spans="1:27">
      <c r="A959" t="s">
        <v>1045</v>
      </c>
      <c r="B959" s="3">
        <v>2</v>
      </c>
      <c r="C959" s="3">
        <v>1</v>
      </c>
      <c r="D959" s="1">
        <v>36833</v>
      </c>
      <c r="E959" s="1">
        <v>39082</v>
      </c>
      <c r="F959" s="2">
        <f t="shared" si="14"/>
        <v>6.1574264202600961</v>
      </c>
      <c r="G959" s="3">
        <v>2</v>
      </c>
      <c r="H959" s="3">
        <v>1</v>
      </c>
      <c r="I959" s="3">
        <v>0</v>
      </c>
      <c r="J959" s="3">
        <v>0</v>
      </c>
      <c r="K959" s="3">
        <v>0</v>
      </c>
      <c r="L959" s="3">
        <v>0</v>
      </c>
      <c r="M959" s="3">
        <v>0</v>
      </c>
      <c r="N959" s="3">
        <v>0</v>
      </c>
      <c r="O959" s="3">
        <v>0</v>
      </c>
      <c r="P959" s="3">
        <v>1</v>
      </c>
      <c r="Q959" s="3">
        <v>0</v>
      </c>
      <c r="R959" s="3">
        <v>95.3</v>
      </c>
      <c r="S959" s="2">
        <v>13.1</v>
      </c>
      <c r="T959" t="s">
        <v>44</v>
      </c>
      <c r="U959" s="3">
        <v>1</v>
      </c>
      <c r="V959" s="3">
        <v>1</v>
      </c>
      <c r="W959" s="3">
        <v>0</v>
      </c>
      <c r="X959" s="3">
        <v>0</v>
      </c>
      <c r="Y959" s="3">
        <v>0</v>
      </c>
      <c r="Z959" s="3">
        <v>0</v>
      </c>
      <c r="AA959" s="3">
        <v>0</v>
      </c>
    </row>
    <row r="960" spans="1:27">
      <c r="A960" t="s">
        <v>1046</v>
      </c>
      <c r="B960" s="3">
        <v>3</v>
      </c>
      <c r="C960" s="3">
        <v>0</v>
      </c>
      <c r="D960" s="1">
        <v>37987</v>
      </c>
      <c r="E960" s="1">
        <v>39082</v>
      </c>
      <c r="F960" s="2">
        <f t="shared" si="14"/>
        <v>2.9979466119096507</v>
      </c>
      <c r="G960" s="3">
        <v>2</v>
      </c>
      <c r="H960" s="3">
        <v>0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1</v>
      </c>
      <c r="O960" s="3">
        <v>0</v>
      </c>
      <c r="P960" s="3">
        <v>0</v>
      </c>
      <c r="Q960" s="3">
        <v>0</v>
      </c>
      <c r="R960" s="3">
        <v>95.4</v>
      </c>
      <c r="S960" s="2">
        <v>13</v>
      </c>
      <c r="T960" t="s">
        <v>50</v>
      </c>
      <c r="U960" s="3">
        <v>0</v>
      </c>
      <c r="V960" s="3">
        <v>0</v>
      </c>
      <c r="W960" s="3">
        <v>1</v>
      </c>
      <c r="X960" s="3">
        <v>0</v>
      </c>
      <c r="Y960" s="3">
        <v>0</v>
      </c>
      <c r="Z960" s="3">
        <v>0</v>
      </c>
      <c r="AA960" s="3">
        <v>0</v>
      </c>
    </row>
    <row r="961" spans="1:27">
      <c r="A961" t="s">
        <v>594</v>
      </c>
      <c r="B961" s="3">
        <v>3</v>
      </c>
      <c r="C961" s="3">
        <v>0</v>
      </c>
      <c r="D961" s="1">
        <v>38175</v>
      </c>
      <c r="E961" s="1">
        <v>39082</v>
      </c>
      <c r="F961" s="2">
        <f t="shared" si="14"/>
        <v>2.4832306639288158</v>
      </c>
      <c r="G961" s="3">
        <v>1</v>
      </c>
      <c r="H961" s="3">
        <v>1</v>
      </c>
      <c r="I961" s="3">
        <v>0</v>
      </c>
      <c r="J961" s="3">
        <v>0</v>
      </c>
      <c r="K961" s="3">
        <v>0</v>
      </c>
      <c r="L961" s="3">
        <v>0</v>
      </c>
      <c r="M961" s="3">
        <v>1</v>
      </c>
      <c r="N961" s="3">
        <v>1</v>
      </c>
      <c r="O961" s="3">
        <v>0</v>
      </c>
      <c r="P961" s="3">
        <v>1</v>
      </c>
      <c r="Q961" s="3">
        <v>0</v>
      </c>
      <c r="R961" s="3">
        <v>95.4</v>
      </c>
      <c r="S961" s="2">
        <v>14.4</v>
      </c>
      <c r="T961" t="s">
        <v>28</v>
      </c>
      <c r="U961" s="3">
        <v>1</v>
      </c>
      <c r="V961" s="3">
        <v>1</v>
      </c>
      <c r="W961" s="3">
        <v>0</v>
      </c>
      <c r="X961" s="3">
        <v>0</v>
      </c>
      <c r="Y961" s="3">
        <v>1</v>
      </c>
      <c r="Z961" s="3">
        <v>1</v>
      </c>
      <c r="AA961" s="3">
        <v>0</v>
      </c>
    </row>
    <row r="962" spans="1:27">
      <c r="A962" t="s">
        <v>1047</v>
      </c>
      <c r="B962" s="3">
        <v>1</v>
      </c>
      <c r="C962" s="3">
        <v>0</v>
      </c>
      <c r="D962" s="1">
        <v>37071</v>
      </c>
      <c r="E962" s="1">
        <v>39082</v>
      </c>
      <c r="F962" s="2">
        <f t="shared" si="14"/>
        <v>5.505817932922656</v>
      </c>
      <c r="G962" s="3">
        <v>1</v>
      </c>
      <c r="H962" s="3">
        <v>0</v>
      </c>
      <c r="I962" s="3">
        <v>0</v>
      </c>
      <c r="J962" s="3">
        <v>0</v>
      </c>
      <c r="K962" s="3">
        <v>0</v>
      </c>
      <c r="L962" s="3">
        <v>1</v>
      </c>
      <c r="M962" s="3">
        <v>0</v>
      </c>
      <c r="N962" s="3">
        <v>1</v>
      </c>
      <c r="O962" s="3">
        <v>0</v>
      </c>
      <c r="P962" s="3">
        <v>1</v>
      </c>
      <c r="Q962" s="3">
        <v>0</v>
      </c>
      <c r="R962" s="3">
        <v>95.5</v>
      </c>
      <c r="S962" s="2">
        <v>13.8</v>
      </c>
      <c r="T962" t="s">
        <v>28</v>
      </c>
      <c r="U962" s="3">
        <v>1</v>
      </c>
      <c r="V962" s="3">
        <v>1</v>
      </c>
      <c r="W962" s="3">
        <v>0</v>
      </c>
      <c r="X962" s="3">
        <v>0</v>
      </c>
      <c r="Y962" s="3">
        <v>0</v>
      </c>
      <c r="Z962" s="3">
        <v>1</v>
      </c>
      <c r="AA962" s="3">
        <v>0</v>
      </c>
    </row>
    <row r="963" spans="1:27">
      <c r="A963" t="s">
        <v>1048</v>
      </c>
      <c r="B963" s="3">
        <v>3</v>
      </c>
      <c r="C963" s="3">
        <v>0</v>
      </c>
      <c r="D963" s="1">
        <v>38312</v>
      </c>
      <c r="E963" s="1">
        <v>39082</v>
      </c>
      <c r="F963" s="2">
        <f t="shared" ref="F963:F1026" si="15">(E963-D963)/365.25</f>
        <v>2.108145106091718</v>
      </c>
      <c r="G963" s="3">
        <v>2</v>
      </c>
      <c r="H963" s="3">
        <v>1</v>
      </c>
      <c r="I963" s="3">
        <v>0</v>
      </c>
      <c r="J963" s="3">
        <v>0</v>
      </c>
      <c r="K963" s="3">
        <v>0</v>
      </c>
      <c r="L963" s="3">
        <v>0</v>
      </c>
      <c r="M963" s="3">
        <v>0</v>
      </c>
      <c r="N963" s="3">
        <v>0</v>
      </c>
      <c r="O963" s="3">
        <v>0</v>
      </c>
      <c r="P963" s="3">
        <v>1</v>
      </c>
      <c r="Q963" s="3">
        <v>0</v>
      </c>
      <c r="R963" s="3">
        <v>95.5</v>
      </c>
      <c r="S963" s="2">
        <v>12.8</v>
      </c>
      <c r="T963" t="s">
        <v>28</v>
      </c>
      <c r="U963" s="3">
        <v>1</v>
      </c>
      <c r="V963" s="3">
        <v>1</v>
      </c>
      <c r="W963" s="3">
        <v>0</v>
      </c>
      <c r="X963" s="3">
        <v>0</v>
      </c>
      <c r="Y963" s="3">
        <v>0</v>
      </c>
      <c r="Z963" s="3">
        <v>0</v>
      </c>
      <c r="AA963" s="3">
        <v>0</v>
      </c>
    </row>
    <row r="964" spans="1:27">
      <c r="A964" t="s">
        <v>1049</v>
      </c>
      <c r="B964" s="3">
        <v>3</v>
      </c>
      <c r="C964" s="3">
        <v>0</v>
      </c>
      <c r="D964" s="1">
        <v>36770</v>
      </c>
      <c r="E964" s="1">
        <v>39082</v>
      </c>
      <c r="F964" s="2">
        <f t="shared" si="15"/>
        <v>6.3299110198494182</v>
      </c>
      <c r="G964" s="3">
        <v>1</v>
      </c>
      <c r="H964" s="3">
        <v>1</v>
      </c>
      <c r="I964" s="3">
        <v>0</v>
      </c>
      <c r="J964" s="3">
        <v>1</v>
      </c>
      <c r="K964" s="3">
        <v>0</v>
      </c>
      <c r="L964" s="3">
        <v>0</v>
      </c>
      <c r="M964" s="3">
        <v>0</v>
      </c>
      <c r="N964" s="3">
        <v>0</v>
      </c>
      <c r="O964" s="3">
        <v>0</v>
      </c>
      <c r="P964" s="3">
        <v>0</v>
      </c>
      <c r="Q964" s="3">
        <v>0</v>
      </c>
      <c r="R964" s="3">
        <v>95.5</v>
      </c>
      <c r="S964" s="2">
        <v>12.7</v>
      </c>
      <c r="T964" t="s">
        <v>105</v>
      </c>
      <c r="U964" s="3">
        <v>0</v>
      </c>
      <c r="V964" s="3">
        <v>0</v>
      </c>
      <c r="W964" s="3">
        <v>0</v>
      </c>
      <c r="X964" s="3">
        <v>0</v>
      </c>
      <c r="Y964" s="3">
        <v>0</v>
      </c>
      <c r="Z964" s="3">
        <v>1</v>
      </c>
      <c r="AA964" s="3">
        <v>0</v>
      </c>
    </row>
    <row r="965" spans="1:27">
      <c r="A965" t="s">
        <v>1050</v>
      </c>
      <c r="B965" s="3">
        <v>1</v>
      </c>
      <c r="C965" s="3">
        <v>0</v>
      </c>
      <c r="D965" s="1">
        <v>37034</v>
      </c>
      <c r="E965" s="1">
        <v>39082</v>
      </c>
      <c r="F965" s="2">
        <f t="shared" si="15"/>
        <v>5.6071184120465434</v>
      </c>
      <c r="G965" s="3">
        <v>1</v>
      </c>
      <c r="H965" s="3">
        <v>0</v>
      </c>
      <c r="I965" s="3">
        <v>0</v>
      </c>
      <c r="J965" s="3">
        <v>0</v>
      </c>
      <c r="K965" s="3">
        <v>1</v>
      </c>
      <c r="L965" s="3">
        <v>0</v>
      </c>
      <c r="M965" s="3">
        <v>0</v>
      </c>
      <c r="N965" s="3">
        <v>0</v>
      </c>
      <c r="O965" s="3">
        <v>0</v>
      </c>
      <c r="P965" s="3">
        <v>1</v>
      </c>
      <c r="Q965" s="3">
        <v>0</v>
      </c>
      <c r="R965" s="3">
        <v>95.6</v>
      </c>
      <c r="S965" s="2">
        <v>13.8</v>
      </c>
      <c r="T965" t="s">
        <v>105</v>
      </c>
      <c r="U965" s="3">
        <v>1</v>
      </c>
      <c r="V965" s="3">
        <v>1</v>
      </c>
      <c r="W965" s="3">
        <v>0</v>
      </c>
      <c r="X965" s="3">
        <v>0</v>
      </c>
      <c r="Y965" s="3">
        <v>0</v>
      </c>
      <c r="Z965" s="3">
        <v>1</v>
      </c>
      <c r="AA965" s="3">
        <v>0</v>
      </c>
    </row>
    <row r="966" spans="1:27">
      <c r="A966" t="s">
        <v>1051</v>
      </c>
      <c r="B966" s="3">
        <v>2</v>
      </c>
      <c r="C966" s="3">
        <v>0</v>
      </c>
      <c r="D966" s="1">
        <v>36717</v>
      </c>
      <c r="E966" s="1">
        <v>39082</v>
      </c>
      <c r="F966" s="2">
        <f t="shared" si="15"/>
        <v>6.4750171115674195</v>
      </c>
      <c r="G966" s="3">
        <v>2</v>
      </c>
      <c r="H966" s="3">
        <v>1</v>
      </c>
      <c r="I966" s="3">
        <v>0</v>
      </c>
      <c r="J966" s="3">
        <v>1</v>
      </c>
      <c r="K966" s="3">
        <v>0</v>
      </c>
      <c r="L966" s="3">
        <v>0</v>
      </c>
      <c r="M966" s="3">
        <v>0</v>
      </c>
      <c r="N966" s="3">
        <v>1</v>
      </c>
      <c r="O966" s="3">
        <v>0</v>
      </c>
      <c r="P966" s="3">
        <v>1</v>
      </c>
      <c r="Q966" s="3">
        <v>0</v>
      </c>
      <c r="R966" s="3">
        <v>95.6</v>
      </c>
      <c r="S966" s="2">
        <v>12.8</v>
      </c>
      <c r="T966" t="s">
        <v>28</v>
      </c>
      <c r="U966" s="3">
        <v>1</v>
      </c>
      <c r="V966" s="3">
        <v>1</v>
      </c>
      <c r="W966" s="3">
        <v>1</v>
      </c>
      <c r="X966" s="3">
        <v>1</v>
      </c>
      <c r="Y966" s="3">
        <v>0</v>
      </c>
      <c r="Z966" s="3">
        <v>0</v>
      </c>
      <c r="AA966" s="3">
        <v>0</v>
      </c>
    </row>
    <row r="967" spans="1:27">
      <c r="A967" t="s">
        <v>1052</v>
      </c>
      <c r="B967" s="3">
        <v>2</v>
      </c>
      <c r="C967" s="3">
        <v>0</v>
      </c>
      <c r="D967" s="1">
        <v>37796</v>
      </c>
      <c r="E967" s="1">
        <v>39082</v>
      </c>
      <c r="F967" s="2">
        <f t="shared" si="15"/>
        <v>3.5208761122518824</v>
      </c>
      <c r="G967" s="3">
        <v>1</v>
      </c>
      <c r="H967" s="3">
        <v>1</v>
      </c>
      <c r="I967" s="3">
        <v>1</v>
      </c>
      <c r="J967" s="3">
        <v>0</v>
      </c>
      <c r="K967" s="3">
        <v>0</v>
      </c>
      <c r="L967" s="3">
        <v>0</v>
      </c>
      <c r="M967" s="3">
        <v>0</v>
      </c>
      <c r="N967" s="3">
        <v>1</v>
      </c>
      <c r="O967" s="3">
        <v>0</v>
      </c>
      <c r="P967" s="3">
        <v>1</v>
      </c>
      <c r="Q967" s="3">
        <v>0</v>
      </c>
      <c r="R967" s="3">
        <v>95.6</v>
      </c>
      <c r="S967" s="2">
        <v>15.8</v>
      </c>
      <c r="T967" t="s">
        <v>789</v>
      </c>
      <c r="U967" s="3">
        <v>0</v>
      </c>
      <c r="V967" s="3">
        <v>0</v>
      </c>
      <c r="W967" s="3">
        <v>1</v>
      </c>
      <c r="X967" s="3">
        <v>1</v>
      </c>
      <c r="Y967" s="3">
        <v>0</v>
      </c>
      <c r="Z967" s="3">
        <v>1</v>
      </c>
      <c r="AA967" s="3">
        <v>0</v>
      </c>
    </row>
    <row r="968" spans="1:27">
      <c r="A968" t="s">
        <v>1053</v>
      </c>
      <c r="B968" s="3">
        <v>1</v>
      </c>
      <c r="C968" s="3">
        <v>0</v>
      </c>
      <c r="D968" s="1">
        <v>37159</v>
      </c>
      <c r="E968" s="1">
        <v>39082</v>
      </c>
      <c r="F968" s="2">
        <f t="shared" si="15"/>
        <v>5.2648870636550305</v>
      </c>
      <c r="G968" s="3">
        <v>2</v>
      </c>
      <c r="H968" s="3">
        <v>1</v>
      </c>
      <c r="I968" s="3">
        <v>0</v>
      </c>
      <c r="J968" s="3">
        <v>1</v>
      </c>
      <c r="K968" s="3">
        <v>0</v>
      </c>
      <c r="L968" s="3">
        <v>0</v>
      </c>
      <c r="M968" s="3">
        <v>0</v>
      </c>
      <c r="N968" s="3">
        <v>1</v>
      </c>
      <c r="O968" s="3">
        <v>0</v>
      </c>
      <c r="P968" s="3">
        <v>0</v>
      </c>
      <c r="Q968" s="3">
        <v>0</v>
      </c>
      <c r="R968" s="3">
        <v>95.7</v>
      </c>
      <c r="S968" s="2">
        <v>11.7</v>
      </c>
      <c r="T968" t="s">
        <v>28</v>
      </c>
      <c r="U968" s="3">
        <v>1</v>
      </c>
      <c r="V968" s="3">
        <v>1</v>
      </c>
      <c r="W968" s="3">
        <v>1</v>
      </c>
      <c r="X968" s="3">
        <v>1</v>
      </c>
      <c r="Y968" s="3">
        <v>0</v>
      </c>
      <c r="Z968" s="3">
        <v>0</v>
      </c>
      <c r="AA968" s="3">
        <v>0</v>
      </c>
    </row>
    <row r="969" spans="1:27">
      <c r="A969" t="s">
        <v>1054</v>
      </c>
      <c r="B969" s="3">
        <v>3</v>
      </c>
      <c r="C969" s="3">
        <v>0</v>
      </c>
      <c r="D969" s="1">
        <v>38292</v>
      </c>
      <c r="E969" s="1">
        <v>39082</v>
      </c>
      <c r="F969" s="2">
        <f t="shared" si="15"/>
        <v>2.1629021218343598</v>
      </c>
      <c r="G969" s="3">
        <v>1</v>
      </c>
      <c r="H969" s="3">
        <v>1</v>
      </c>
      <c r="I969" s="3">
        <v>0</v>
      </c>
      <c r="J969" s="3">
        <v>1</v>
      </c>
      <c r="K969" s="3">
        <v>0</v>
      </c>
      <c r="L969" s="3">
        <v>0</v>
      </c>
      <c r="M969" s="3">
        <v>1</v>
      </c>
      <c r="N969" s="3">
        <v>0</v>
      </c>
      <c r="O969" s="3">
        <v>0</v>
      </c>
      <c r="P969" s="3">
        <v>1</v>
      </c>
      <c r="Q969" s="3">
        <v>0</v>
      </c>
      <c r="R969" s="3">
        <v>95.8</v>
      </c>
      <c r="S969" s="2">
        <v>14.5</v>
      </c>
      <c r="T969" t="s">
        <v>28</v>
      </c>
      <c r="U969" s="3">
        <v>0</v>
      </c>
      <c r="V969" s="3">
        <v>1</v>
      </c>
      <c r="W969" s="3">
        <v>0</v>
      </c>
      <c r="X969" s="3">
        <v>0</v>
      </c>
      <c r="Y969" s="3">
        <v>0</v>
      </c>
      <c r="Z969" s="3">
        <v>1</v>
      </c>
      <c r="AA969" s="3">
        <v>0</v>
      </c>
    </row>
    <row r="970" spans="1:27">
      <c r="A970" t="s">
        <v>1055</v>
      </c>
      <c r="B970" s="3">
        <v>1</v>
      </c>
      <c r="C970" s="3">
        <v>0</v>
      </c>
      <c r="D970" s="1">
        <v>36995</v>
      </c>
      <c r="E970" s="1">
        <v>39082</v>
      </c>
      <c r="F970" s="2">
        <f t="shared" si="15"/>
        <v>5.7138945927446958</v>
      </c>
      <c r="G970" s="3">
        <v>1</v>
      </c>
      <c r="H970" s="3">
        <v>1</v>
      </c>
      <c r="I970" s="3">
        <v>0</v>
      </c>
      <c r="J970" s="3">
        <v>0</v>
      </c>
      <c r="K970" s="3">
        <v>0</v>
      </c>
      <c r="L970" s="3">
        <v>0</v>
      </c>
      <c r="M970" s="3">
        <v>0</v>
      </c>
      <c r="N970" s="3">
        <v>1</v>
      </c>
      <c r="O970" s="3">
        <v>1</v>
      </c>
      <c r="P970" s="3">
        <v>1</v>
      </c>
      <c r="Q970" s="3">
        <v>0</v>
      </c>
      <c r="R970" s="3">
        <v>95.9</v>
      </c>
      <c r="S970" s="2">
        <v>13</v>
      </c>
      <c r="T970" t="s">
        <v>28</v>
      </c>
      <c r="U970" s="3">
        <v>1</v>
      </c>
      <c r="V970" s="3">
        <v>1</v>
      </c>
      <c r="W970" s="3">
        <v>0</v>
      </c>
      <c r="X970" s="3">
        <v>0</v>
      </c>
      <c r="Y970" s="3">
        <v>0</v>
      </c>
      <c r="Z970" s="3">
        <v>1</v>
      </c>
      <c r="AA970" s="3">
        <v>0</v>
      </c>
    </row>
    <row r="971" spans="1:27">
      <c r="A971" t="s">
        <v>1056</v>
      </c>
      <c r="B971" s="3">
        <v>2</v>
      </c>
      <c r="C971" s="3">
        <v>0</v>
      </c>
      <c r="D971" s="1">
        <v>36873</v>
      </c>
      <c r="E971" s="1">
        <v>39082</v>
      </c>
      <c r="F971" s="2">
        <f t="shared" si="15"/>
        <v>6.0479123887748116</v>
      </c>
      <c r="G971" s="3">
        <v>2</v>
      </c>
      <c r="H971" s="3">
        <v>1</v>
      </c>
      <c r="I971" s="3">
        <v>0</v>
      </c>
      <c r="J971" s="3">
        <v>1</v>
      </c>
      <c r="K971" s="3">
        <v>1</v>
      </c>
      <c r="L971" s="3">
        <v>0</v>
      </c>
      <c r="M971" s="3">
        <v>0</v>
      </c>
      <c r="N971" s="3">
        <v>0</v>
      </c>
      <c r="O971" s="3">
        <v>0</v>
      </c>
      <c r="P971" s="3">
        <v>0</v>
      </c>
      <c r="Q971" s="3">
        <v>0</v>
      </c>
      <c r="R971" s="3">
        <v>96</v>
      </c>
      <c r="S971" s="2">
        <v>13.1</v>
      </c>
      <c r="T971" t="s">
        <v>1057</v>
      </c>
      <c r="U971" s="3">
        <v>1</v>
      </c>
      <c r="V971" s="3">
        <v>1</v>
      </c>
      <c r="W971" s="3">
        <v>0</v>
      </c>
      <c r="X971" s="3">
        <v>0</v>
      </c>
      <c r="Y971" s="3">
        <v>1</v>
      </c>
      <c r="Z971" s="3">
        <v>0</v>
      </c>
      <c r="AA971" s="3">
        <v>0</v>
      </c>
    </row>
    <row r="972" spans="1:27">
      <c r="A972" t="s">
        <v>1058</v>
      </c>
      <c r="B972" s="3">
        <v>2</v>
      </c>
      <c r="C972" s="3">
        <v>0</v>
      </c>
      <c r="D972" s="1">
        <v>38117</v>
      </c>
      <c r="E972" s="1">
        <v>39082</v>
      </c>
      <c r="F972" s="2">
        <f t="shared" si="15"/>
        <v>2.6420260095824779</v>
      </c>
      <c r="G972" s="3">
        <v>1</v>
      </c>
      <c r="H972" s="3">
        <v>1</v>
      </c>
      <c r="I972" s="3">
        <v>1</v>
      </c>
      <c r="J972" s="3">
        <v>0</v>
      </c>
      <c r="K972" s="3">
        <v>0</v>
      </c>
      <c r="L972" s="3">
        <v>0</v>
      </c>
      <c r="M972" s="3">
        <v>0</v>
      </c>
      <c r="N972" s="3">
        <v>1</v>
      </c>
      <c r="O972" s="3">
        <v>0</v>
      </c>
      <c r="P972" s="3">
        <v>1</v>
      </c>
      <c r="Q972" s="3">
        <v>0</v>
      </c>
      <c r="R972" s="3">
        <v>96</v>
      </c>
      <c r="S972" s="2">
        <v>12.8</v>
      </c>
      <c r="T972" t="s">
        <v>28</v>
      </c>
      <c r="U972" s="3">
        <v>1</v>
      </c>
      <c r="V972" s="3">
        <v>1</v>
      </c>
      <c r="W972" s="3">
        <v>0</v>
      </c>
      <c r="X972" s="3">
        <v>0</v>
      </c>
      <c r="Y972" s="3">
        <v>0</v>
      </c>
      <c r="Z972" s="3">
        <v>1</v>
      </c>
      <c r="AA972" s="3">
        <v>0</v>
      </c>
    </row>
    <row r="973" spans="1:27">
      <c r="A973" t="s">
        <v>1059</v>
      </c>
      <c r="B973" s="3">
        <v>1</v>
      </c>
      <c r="C973" s="3">
        <v>0</v>
      </c>
      <c r="D973" s="1">
        <v>36976</v>
      </c>
      <c r="E973" s="1">
        <v>39082</v>
      </c>
      <c r="F973" s="2">
        <f t="shared" si="15"/>
        <v>5.7659137577002051</v>
      </c>
      <c r="G973" s="3">
        <v>1</v>
      </c>
      <c r="H973" s="3">
        <v>0</v>
      </c>
      <c r="I973" s="3">
        <v>0</v>
      </c>
      <c r="J973" s="3">
        <v>0</v>
      </c>
      <c r="K973" s="3">
        <v>0</v>
      </c>
      <c r="L973" s="3">
        <v>0</v>
      </c>
      <c r="M973" s="3">
        <v>0</v>
      </c>
      <c r="N973" s="3">
        <v>1</v>
      </c>
      <c r="O973" s="3">
        <v>0</v>
      </c>
      <c r="P973" s="3">
        <v>0</v>
      </c>
      <c r="Q973" s="3">
        <v>0</v>
      </c>
      <c r="R973" s="3">
        <v>96.1</v>
      </c>
      <c r="S973" s="2">
        <v>12.8</v>
      </c>
      <c r="T973" t="s">
        <v>28</v>
      </c>
      <c r="U973" s="3">
        <v>1</v>
      </c>
      <c r="V973" s="3">
        <v>1</v>
      </c>
      <c r="W973" s="3">
        <v>0</v>
      </c>
      <c r="X973" s="3">
        <v>1</v>
      </c>
      <c r="Y973" s="3">
        <v>0</v>
      </c>
      <c r="Z973" s="3">
        <v>1</v>
      </c>
      <c r="AA973" s="3">
        <v>0</v>
      </c>
    </row>
    <row r="974" spans="1:27">
      <c r="A974" t="s">
        <v>691</v>
      </c>
      <c r="B974" s="3">
        <v>2</v>
      </c>
      <c r="C974" s="3">
        <v>0</v>
      </c>
      <c r="D974" s="1">
        <v>37804</v>
      </c>
      <c r="E974" s="1">
        <v>39082</v>
      </c>
      <c r="F974" s="2">
        <f t="shared" si="15"/>
        <v>3.4989733059548254</v>
      </c>
      <c r="G974" s="3">
        <v>1</v>
      </c>
      <c r="H974" s="3">
        <v>0</v>
      </c>
      <c r="I974" s="3">
        <v>1</v>
      </c>
      <c r="J974" s="3">
        <v>0</v>
      </c>
      <c r="K974" s="3">
        <v>0</v>
      </c>
      <c r="L974" s="3">
        <v>0</v>
      </c>
      <c r="M974" s="3">
        <v>0</v>
      </c>
      <c r="N974" s="3">
        <v>1</v>
      </c>
      <c r="O974" s="3">
        <v>0</v>
      </c>
      <c r="P974" s="3">
        <v>0</v>
      </c>
      <c r="Q974" s="3">
        <v>0</v>
      </c>
      <c r="R974" s="3">
        <v>96.1</v>
      </c>
      <c r="S974" s="2">
        <v>11.2</v>
      </c>
      <c r="T974" t="s">
        <v>44</v>
      </c>
      <c r="U974" s="3">
        <v>1</v>
      </c>
      <c r="V974" s="3">
        <v>1</v>
      </c>
      <c r="W974" s="3">
        <v>0</v>
      </c>
      <c r="X974" s="3">
        <v>0</v>
      </c>
      <c r="Y974" s="3">
        <v>0</v>
      </c>
      <c r="Z974" s="3">
        <v>1</v>
      </c>
      <c r="AA974" s="3">
        <v>0</v>
      </c>
    </row>
    <row r="975" spans="1:27">
      <c r="A975" t="s">
        <v>1060</v>
      </c>
      <c r="B975" s="3">
        <v>2</v>
      </c>
      <c r="C975" s="3">
        <v>0</v>
      </c>
      <c r="D975" s="1">
        <v>36906</v>
      </c>
      <c r="E975" s="1">
        <v>39082</v>
      </c>
      <c r="F975" s="2">
        <f t="shared" si="15"/>
        <v>5.9575633127994525</v>
      </c>
      <c r="G975" s="3">
        <v>2</v>
      </c>
      <c r="H975" s="3">
        <v>1</v>
      </c>
      <c r="I975" s="3">
        <v>1</v>
      </c>
      <c r="J975" s="3">
        <v>0</v>
      </c>
      <c r="K975" s="3">
        <v>0</v>
      </c>
      <c r="L975" s="3">
        <v>0</v>
      </c>
      <c r="M975" s="3">
        <v>0</v>
      </c>
      <c r="N975" s="3">
        <v>0</v>
      </c>
      <c r="O975" s="3">
        <v>0</v>
      </c>
      <c r="P975" s="3">
        <v>0</v>
      </c>
      <c r="Q975" s="3">
        <v>0</v>
      </c>
      <c r="R975" s="3">
        <v>96.1</v>
      </c>
      <c r="S975" s="2">
        <v>12.8</v>
      </c>
      <c r="T975" t="s">
        <v>28</v>
      </c>
      <c r="U975" s="3">
        <v>1</v>
      </c>
      <c r="V975" s="3">
        <v>1</v>
      </c>
      <c r="W975" s="3">
        <v>1</v>
      </c>
      <c r="X975" s="3">
        <v>0</v>
      </c>
      <c r="Y975" s="3">
        <v>0</v>
      </c>
      <c r="Z975" s="3">
        <v>0</v>
      </c>
      <c r="AA975" s="3">
        <v>0</v>
      </c>
    </row>
    <row r="976" spans="1:27">
      <c r="A976" t="s">
        <v>1061</v>
      </c>
      <c r="B976" s="3">
        <v>2</v>
      </c>
      <c r="C976" s="3">
        <v>0</v>
      </c>
      <c r="D976" s="1">
        <v>38275</v>
      </c>
      <c r="E976" s="1">
        <v>39082</v>
      </c>
      <c r="F976" s="2">
        <f t="shared" si="15"/>
        <v>2.2094455852156059</v>
      </c>
      <c r="G976" s="3">
        <v>1</v>
      </c>
      <c r="H976" s="3">
        <v>1</v>
      </c>
      <c r="I976" s="3">
        <v>0</v>
      </c>
      <c r="J976" s="3">
        <v>1</v>
      </c>
      <c r="K976" s="3">
        <v>0</v>
      </c>
      <c r="L976" s="3">
        <v>0</v>
      </c>
      <c r="M976" s="3">
        <v>0</v>
      </c>
      <c r="N976" s="3">
        <v>1</v>
      </c>
      <c r="O976" s="3">
        <v>0</v>
      </c>
      <c r="P976" s="3">
        <v>1</v>
      </c>
      <c r="Q976" s="3">
        <v>0</v>
      </c>
      <c r="R976" s="3">
        <v>96.2</v>
      </c>
      <c r="S976" s="2">
        <v>15.2</v>
      </c>
      <c r="T976" t="s">
        <v>188</v>
      </c>
      <c r="U976" s="3">
        <v>1</v>
      </c>
      <c r="V976" s="3">
        <v>1</v>
      </c>
      <c r="W976" s="3">
        <v>1</v>
      </c>
      <c r="X976" s="3">
        <v>0</v>
      </c>
      <c r="Y976" s="3">
        <v>0</v>
      </c>
      <c r="Z976" s="3">
        <v>1</v>
      </c>
      <c r="AA976" s="3">
        <v>0</v>
      </c>
    </row>
    <row r="977" spans="1:27">
      <c r="A977" t="s">
        <v>1062</v>
      </c>
      <c r="B977" s="3">
        <v>3</v>
      </c>
      <c r="C977" s="3">
        <v>0</v>
      </c>
      <c r="D977" s="1">
        <v>38023</v>
      </c>
      <c r="E977" s="1">
        <v>39082</v>
      </c>
      <c r="F977" s="2">
        <f t="shared" si="15"/>
        <v>2.8993839835728954</v>
      </c>
      <c r="G977" s="3">
        <v>1</v>
      </c>
      <c r="H977" s="3">
        <v>1</v>
      </c>
      <c r="I977" s="3">
        <v>0</v>
      </c>
      <c r="J977" s="3">
        <v>1</v>
      </c>
      <c r="K977" s="3">
        <v>0</v>
      </c>
      <c r="L977" s="3">
        <v>0</v>
      </c>
      <c r="M977" s="3">
        <v>0</v>
      </c>
      <c r="N977" s="3">
        <v>1</v>
      </c>
      <c r="O977" s="3">
        <v>0</v>
      </c>
      <c r="P977" s="3">
        <v>1</v>
      </c>
      <c r="Q977" s="3">
        <v>0</v>
      </c>
      <c r="R977" s="3">
        <v>96.3</v>
      </c>
      <c r="S977" s="2">
        <v>12.8</v>
      </c>
      <c r="T977" t="s">
        <v>28</v>
      </c>
      <c r="U977" s="3">
        <v>0</v>
      </c>
      <c r="V977" s="3">
        <v>1</v>
      </c>
      <c r="W977" s="3">
        <v>0</v>
      </c>
      <c r="X977" s="3">
        <v>0</v>
      </c>
      <c r="Y977" s="3">
        <v>0</v>
      </c>
      <c r="Z977" s="3">
        <v>1</v>
      </c>
      <c r="AA977" s="3">
        <v>0</v>
      </c>
    </row>
    <row r="978" spans="1:27">
      <c r="A978" t="s">
        <v>1063</v>
      </c>
      <c r="B978" s="3">
        <v>1</v>
      </c>
      <c r="C978" s="3">
        <v>0</v>
      </c>
      <c r="D978" s="1">
        <v>37107</v>
      </c>
      <c r="E978" s="1">
        <v>39082</v>
      </c>
      <c r="F978" s="2">
        <f t="shared" si="15"/>
        <v>5.4072553045858998</v>
      </c>
      <c r="G978" s="3">
        <v>1</v>
      </c>
      <c r="H978" s="3">
        <v>1</v>
      </c>
      <c r="I978" s="3">
        <v>1</v>
      </c>
      <c r="J978" s="3">
        <v>0</v>
      </c>
      <c r="K978" s="3">
        <v>0</v>
      </c>
      <c r="L978" s="3">
        <v>0</v>
      </c>
      <c r="M978" s="3">
        <v>0</v>
      </c>
      <c r="N978" s="3">
        <v>1</v>
      </c>
      <c r="O978" s="3">
        <v>0</v>
      </c>
      <c r="P978" s="3">
        <v>0</v>
      </c>
      <c r="Q978" s="3">
        <v>0</v>
      </c>
      <c r="R978" s="3">
        <v>96.3</v>
      </c>
      <c r="S978" s="2">
        <v>12.8</v>
      </c>
      <c r="T978" t="s">
        <v>28</v>
      </c>
      <c r="U978" s="3">
        <v>1</v>
      </c>
      <c r="V978" s="3">
        <v>1</v>
      </c>
      <c r="W978" s="3">
        <v>1</v>
      </c>
      <c r="X978" s="3">
        <v>1</v>
      </c>
      <c r="Y978" s="3">
        <v>0</v>
      </c>
      <c r="Z978" s="3">
        <v>1</v>
      </c>
      <c r="AA978" s="3">
        <v>0</v>
      </c>
    </row>
    <row r="979" spans="1:27">
      <c r="A979" t="s">
        <v>1064</v>
      </c>
      <c r="B979" s="3">
        <v>2</v>
      </c>
      <c r="C979" s="3">
        <v>0</v>
      </c>
      <c r="D979" s="1">
        <v>37204</v>
      </c>
      <c r="E979" s="1">
        <v>39082</v>
      </c>
      <c r="F979" s="2">
        <f t="shared" si="15"/>
        <v>5.1416837782340865</v>
      </c>
      <c r="G979" s="3">
        <v>1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</v>
      </c>
      <c r="N979" s="3">
        <v>1</v>
      </c>
      <c r="O979" s="3">
        <v>0</v>
      </c>
      <c r="P979" s="3">
        <v>1</v>
      </c>
      <c r="Q979" s="3">
        <v>0</v>
      </c>
      <c r="R979" s="3">
        <v>96.4</v>
      </c>
      <c r="S979" s="2">
        <v>12.7</v>
      </c>
      <c r="T979" t="s">
        <v>28</v>
      </c>
      <c r="U979" s="3">
        <v>1</v>
      </c>
      <c r="V979" s="3">
        <v>1</v>
      </c>
      <c r="W979" s="3">
        <v>1</v>
      </c>
      <c r="X979" s="3">
        <v>0</v>
      </c>
      <c r="Y979" s="3">
        <v>0</v>
      </c>
      <c r="Z979" s="3">
        <v>1</v>
      </c>
      <c r="AA979" s="3">
        <v>0</v>
      </c>
    </row>
    <row r="980" spans="1:27">
      <c r="A980" t="s">
        <v>1065</v>
      </c>
      <c r="B980" s="3">
        <v>3</v>
      </c>
      <c r="C980" s="3">
        <v>0</v>
      </c>
      <c r="D980" s="1">
        <v>37248</v>
      </c>
      <c r="E980" s="1">
        <v>39082</v>
      </c>
      <c r="F980" s="2">
        <f t="shared" si="15"/>
        <v>5.0212183436002737</v>
      </c>
      <c r="G980" s="3">
        <v>1</v>
      </c>
      <c r="H980" s="3">
        <v>0</v>
      </c>
      <c r="I980" s="3">
        <v>0</v>
      </c>
      <c r="J980" s="3">
        <v>0</v>
      </c>
      <c r="K980" s="3">
        <v>0</v>
      </c>
      <c r="L980" s="3">
        <v>0</v>
      </c>
      <c r="M980" s="3">
        <v>0</v>
      </c>
      <c r="N980" s="3">
        <v>1</v>
      </c>
      <c r="O980" s="3">
        <v>0</v>
      </c>
      <c r="P980" s="3">
        <v>0</v>
      </c>
      <c r="Q980" s="3">
        <v>0</v>
      </c>
      <c r="R980" s="3">
        <v>96.4</v>
      </c>
      <c r="S980" s="2">
        <v>15.3</v>
      </c>
      <c r="T980" t="s">
        <v>28</v>
      </c>
      <c r="U980" s="3">
        <v>1</v>
      </c>
      <c r="V980" s="3">
        <v>1</v>
      </c>
      <c r="W980" s="3">
        <v>0</v>
      </c>
      <c r="X980" s="3">
        <v>0</v>
      </c>
      <c r="Y980" s="3">
        <v>0</v>
      </c>
      <c r="Z980" s="3">
        <v>1</v>
      </c>
      <c r="AA980" s="3">
        <v>0</v>
      </c>
    </row>
    <row r="981" spans="1:27">
      <c r="A981" t="s">
        <v>1066</v>
      </c>
      <c r="B981" s="3">
        <v>1</v>
      </c>
      <c r="C981" s="3">
        <v>0</v>
      </c>
      <c r="D981" s="1">
        <v>36969</v>
      </c>
      <c r="E981" s="1">
        <v>39082</v>
      </c>
      <c r="F981" s="2">
        <f t="shared" si="15"/>
        <v>5.7850787132101305</v>
      </c>
      <c r="G981" s="3">
        <v>1</v>
      </c>
      <c r="H981" s="3">
        <v>0</v>
      </c>
      <c r="I981" s="3">
        <v>0</v>
      </c>
      <c r="J981" s="3">
        <v>0</v>
      </c>
      <c r="K981" s="3">
        <v>1</v>
      </c>
      <c r="L981" s="3">
        <v>0</v>
      </c>
      <c r="M981" s="3">
        <v>0</v>
      </c>
      <c r="N981" s="3">
        <v>1</v>
      </c>
      <c r="O981" s="3">
        <v>0</v>
      </c>
      <c r="P981" s="3">
        <v>1</v>
      </c>
      <c r="Q981" s="3">
        <v>0</v>
      </c>
      <c r="R981" s="3">
        <v>96.5</v>
      </c>
      <c r="S981" s="2">
        <v>12.5</v>
      </c>
      <c r="T981" t="s">
        <v>44</v>
      </c>
      <c r="U981" s="3">
        <v>1</v>
      </c>
      <c r="V981" s="3">
        <v>1</v>
      </c>
      <c r="W981" s="3">
        <v>0</v>
      </c>
      <c r="X981" s="3">
        <v>0</v>
      </c>
      <c r="Y981" s="3">
        <v>0</v>
      </c>
      <c r="Z981" s="3">
        <v>1</v>
      </c>
      <c r="AA981" s="3">
        <v>0</v>
      </c>
    </row>
    <row r="982" spans="1:27">
      <c r="A982" t="s">
        <v>1067</v>
      </c>
      <c r="B982" s="3">
        <v>1</v>
      </c>
      <c r="C982" s="3">
        <v>0</v>
      </c>
      <c r="D982" s="1">
        <v>36971</v>
      </c>
      <c r="E982" s="1">
        <v>39082</v>
      </c>
      <c r="F982" s="2">
        <f t="shared" si="15"/>
        <v>5.7796030116358654</v>
      </c>
      <c r="G982" s="3">
        <v>2</v>
      </c>
      <c r="H982" s="3">
        <v>0</v>
      </c>
      <c r="I982" s="3">
        <v>0</v>
      </c>
      <c r="J982" s="3">
        <v>1</v>
      </c>
      <c r="K982" s="3">
        <v>0</v>
      </c>
      <c r="L982" s="3">
        <v>0</v>
      </c>
      <c r="M982" s="3">
        <v>0</v>
      </c>
      <c r="N982" s="3">
        <v>1</v>
      </c>
      <c r="O982" s="3">
        <v>0</v>
      </c>
      <c r="P982" s="3">
        <v>0</v>
      </c>
      <c r="Q982" s="3">
        <v>0</v>
      </c>
      <c r="R982" s="3">
        <v>96.6</v>
      </c>
      <c r="S982" s="2">
        <v>12.6</v>
      </c>
      <c r="T982" t="s">
        <v>92</v>
      </c>
      <c r="U982" s="3">
        <v>1</v>
      </c>
      <c r="V982" s="3">
        <v>1</v>
      </c>
      <c r="W982" s="3">
        <v>1</v>
      </c>
      <c r="X982" s="3">
        <v>0</v>
      </c>
      <c r="Y982" s="3">
        <v>0</v>
      </c>
      <c r="Z982" s="3">
        <v>0</v>
      </c>
      <c r="AA982" s="3">
        <v>0</v>
      </c>
    </row>
    <row r="983" spans="1:27">
      <c r="A983" t="s">
        <v>86</v>
      </c>
      <c r="B983" s="3">
        <v>3</v>
      </c>
      <c r="C983" s="3">
        <v>0</v>
      </c>
      <c r="D983" s="1">
        <v>38261</v>
      </c>
      <c r="E983" s="1">
        <v>39082</v>
      </c>
      <c r="F983" s="2">
        <f t="shared" si="15"/>
        <v>2.2477754962354553</v>
      </c>
      <c r="G983" s="3">
        <v>1</v>
      </c>
      <c r="H983" s="3">
        <v>1</v>
      </c>
      <c r="I983" s="3">
        <v>0</v>
      </c>
      <c r="J983" s="3">
        <v>1</v>
      </c>
      <c r="K983" s="3">
        <v>0</v>
      </c>
      <c r="L983" s="3">
        <v>0</v>
      </c>
      <c r="M983" s="3">
        <v>0</v>
      </c>
      <c r="N983" s="3">
        <v>0</v>
      </c>
      <c r="O983" s="3">
        <v>0</v>
      </c>
      <c r="P983" s="3">
        <v>0</v>
      </c>
      <c r="Q983" s="3">
        <v>0</v>
      </c>
      <c r="R983" s="3">
        <v>96.6</v>
      </c>
      <c r="S983" s="2">
        <v>14.3</v>
      </c>
      <c r="T983" t="s">
        <v>66</v>
      </c>
      <c r="U983" s="3">
        <v>0</v>
      </c>
      <c r="V983" s="3">
        <v>0</v>
      </c>
      <c r="W983" s="3">
        <v>1</v>
      </c>
      <c r="X983" s="3">
        <v>0</v>
      </c>
      <c r="Y983" s="3">
        <v>0</v>
      </c>
      <c r="Z983" s="3">
        <v>1</v>
      </c>
      <c r="AA983" s="3">
        <v>0</v>
      </c>
    </row>
    <row r="984" spans="1:27">
      <c r="A984" t="s">
        <v>1068</v>
      </c>
      <c r="B984" s="3">
        <v>1</v>
      </c>
      <c r="C984" s="3">
        <v>0</v>
      </c>
      <c r="D984" s="1">
        <v>36963</v>
      </c>
      <c r="E984" s="1">
        <v>39082</v>
      </c>
      <c r="F984" s="2">
        <f t="shared" si="15"/>
        <v>5.8015058179329229</v>
      </c>
      <c r="G984" s="3">
        <v>1</v>
      </c>
      <c r="H984" s="3">
        <v>0</v>
      </c>
      <c r="I984" s="3">
        <v>1</v>
      </c>
      <c r="J984" s="3">
        <v>0</v>
      </c>
      <c r="K984" s="3">
        <v>0</v>
      </c>
      <c r="L984" s="3">
        <v>0</v>
      </c>
      <c r="M984" s="3">
        <v>0</v>
      </c>
      <c r="N984" s="3">
        <v>1</v>
      </c>
      <c r="O984" s="3">
        <v>0</v>
      </c>
      <c r="P984" s="3">
        <v>0</v>
      </c>
      <c r="Q984" s="3">
        <v>0</v>
      </c>
      <c r="R984" s="3">
        <v>96.6</v>
      </c>
      <c r="S984" s="2">
        <v>13.7</v>
      </c>
      <c r="T984" t="s">
        <v>28</v>
      </c>
      <c r="U984" s="3">
        <v>1</v>
      </c>
      <c r="V984" s="3">
        <v>1</v>
      </c>
      <c r="W984" s="3">
        <v>0</v>
      </c>
      <c r="X984" s="3">
        <v>0</v>
      </c>
      <c r="Y984" s="3">
        <v>1</v>
      </c>
      <c r="Z984" s="3">
        <v>1</v>
      </c>
      <c r="AA984" s="3">
        <v>0</v>
      </c>
    </row>
    <row r="985" spans="1:27">
      <c r="A985" t="s">
        <v>1069</v>
      </c>
      <c r="B985" s="3">
        <v>1</v>
      </c>
      <c r="C985" s="3">
        <v>0</v>
      </c>
      <c r="D985" s="1">
        <v>36912</v>
      </c>
      <c r="E985" s="1">
        <v>39082</v>
      </c>
      <c r="F985" s="2">
        <f t="shared" si="15"/>
        <v>5.9411362080766601</v>
      </c>
      <c r="G985" s="3">
        <v>2</v>
      </c>
      <c r="H985" s="3">
        <v>0</v>
      </c>
      <c r="I985" s="3">
        <v>1</v>
      </c>
      <c r="J985" s="3">
        <v>0</v>
      </c>
      <c r="K985" s="3">
        <v>0</v>
      </c>
      <c r="L985" s="3">
        <v>0</v>
      </c>
      <c r="M985" s="3">
        <v>0</v>
      </c>
      <c r="N985" s="3">
        <v>1</v>
      </c>
      <c r="O985" s="3">
        <v>0</v>
      </c>
      <c r="P985" s="3">
        <v>1</v>
      </c>
      <c r="Q985" s="3">
        <v>0</v>
      </c>
      <c r="R985" s="3">
        <v>96.6</v>
      </c>
      <c r="S985" s="2">
        <v>12.1</v>
      </c>
      <c r="T985" t="s">
        <v>28</v>
      </c>
      <c r="U985" s="3">
        <v>0</v>
      </c>
      <c r="V985" s="3">
        <v>1</v>
      </c>
      <c r="W985" s="3">
        <v>0</v>
      </c>
      <c r="X985" s="3">
        <v>0</v>
      </c>
      <c r="Y985" s="3">
        <v>0</v>
      </c>
      <c r="Z985" s="3">
        <v>0</v>
      </c>
      <c r="AA985" s="3">
        <v>0</v>
      </c>
    </row>
    <row r="986" spans="1:27">
      <c r="A986" t="s">
        <v>1070</v>
      </c>
      <c r="B986" s="3">
        <v>1</v>
      </c>
      <c r="C986" s="3">
        <v>0</v>
      </c>
      <c r="D986" s="1">
        <v>37076</v>
      </c>
      <c r="E986" s="1">
        <v>39082</v>
      </c>
      <c r="F986" s="2">
        <f t="shared" si="15"/>
        <v>5.4921286789869956</v>
      </c>
      <c r="G986" s="3">
        <v>1</v>
      </c>
      <c r="H986" s="3">
        <v>0</v>
      </c>
      <c r="I986" s="3">
        <v>0</v>
      </c>
      <c r="J986" s="3">
        <v>0</v>
      </c>
      <c r="K986" s="3">
        <v>1</v>
      </c>
      <c r="L986" s="3">
        <v>1</v>
      </c>
      <c r="M986" s="3">
        <v>0</v>
      </c>
      <c r="N986" s="3">
        <v>1</v>
      </c>
      <c r="O986" s="3">
        <v>1</v>
      </c>
      <c r="P986" s="3">
        <v>0</v>
      </c>
      <c r="Q986" s="3">
        <v>0</v>
      </c>
      <c r="R986" s="3">
        <v>96.7</v>
      </c>
      <c r="S986" s="2">
        <v>13</v>
      </c>
      <c r="T986" t="s">
        <v>92</v>
      </c>
      <c r="U986" s="3">
        <v>0</v>
      </c>
      <c r="V986" s="3">
        <v>1</v>
      </c>
      <c r="W986" s="3">
        <v>0</v>
      </c>
      <c r="X986" s="3">
        <v>0</v>
      </c>
      <c r="Y986" s="3">
        <v>0</v>
      </c>
      <c r="Z986" s="3">
        <v>1</v>
      </c>
      <c r="AA986" s="3">
        <v>0</v>
      </c>
    </row>
    <row r="987" spans="1:27">
      <c r="A987" t="s">
        <v>1071</v>
      </c>
      <c r="B987" s="3">
        <v>1</v>
      </c>
      <c r="C987" s="3">
        <v>0</v>
      </c>
      <c r="D987" s="1">
        <v>37121</v>
      </c>
      <c r="E987" s="1">
        <v>39082</v>
      </c>
      <c r="F987" s="2">
        <f t="shared" si="15"/>
        <v>5.3689253935660508</v>
      </c>
      <c r="G987" s="3">
        <v>2</v>
      </c>
      <c r="H987" s="3">
        <v>1</v>
      </c>
      <c r="I987" s="3">
        <v>0</v>
      </c>
      <c r="J987" s="3">
        <v>0</v>
      </c>
      <c r="K987" s="3">
        <v>0</v>
      </c>
      <c r="L987" s="3">
        <v>0</v>
      </c>
      <c r="M987" s="3">
        <v>0</v>
      </c>
      <c r="N987" s="3">
        <v>1</v>
      </c>
      <c r="O987" s="3">
        <v>0</v>
      </c>
      <c r="P987" s="3">
        <v>0</v>
      </c>
      <c r="Q987" s="3">
        <v>0</v>
      </c>
      <c r="R987" s="3">
        <v>96.7</v>
      </c>
      <c r="S987" s="2">
        <v>13.4</v>
      </c>
      <c r="T987" t="s">
        <v>28</v>
      </c>
      <c r="U987" s="3">
        <v>1</v>
      </c>
      <c r="V987" s="3">
        <v>1</v>
      </c>
      <c r="W987" s="3">
        <v>1</v>
      </c>
      <c r="X987" s="3">
        <v>0</v>
      </c>
      <c r="Y987" s="3">
        <v>0</v>
      </c>
      <c r="Z987" s="3">
        <v>0</v>
      </c>
      <c r="AA987" s="3">
        <v>0</v>
      </c>
    </row>
    <row r="988" spans="1:27">
      <c r="A988" t="s">
        <v>456</v>
      </c>
      <c r="B988" s="3">
        <v>2</v>
      </c>
      <c r="C988" s="3">
        <v>1</v>
      </c>
      <c r="D988" s="1">
        <v>36872</v>
      </c>
      <c r="E988" s="1">
        <v>39082</v>
      </c>
      <c r="F988" s="2">
        <f t="shared" si="15"/>
        <v>6.0506502395619437</v>
      </c>
      <c r="G988" s="3">
        <v>2</v>
      </c>
      <c r="H988" s="3">
        <v>1</v>
      </c>
      <c r="I988" s="3">
        <v>0</v>
      </c>
      <c r="J988" s="3">
        <v>0</v>
      </c>
      <c r="K988" s="3">
        <v>0</v>
      </c>
      <c r="L988" s="3">
        <v>0</v>
      </c>
      <c r="M988" s="3">
        <v>0</v>
      </c>
      <c r="N988" s="3">
        <v>0</v>
      </c>
      <c r="O988" s="3">
        <v>0</v>
      </c>
      <c r="P988" s="3">
        <v>0</v>
      </c>
      <c r="Q988" s="3">
        <v>0</v>
      </c>
      <c r="R988" s="3">
        <v>96.7</v>
      </c>
      <c r="S988" s="2">
        <v>14</v>
      </c>
      <c r="T988" t="s">
        <v>66</v>
      </c>
      <c r="U988" s="3">
        <v>1</v>
      </c>
      <c r="V988" s="3">
        <v>1</v>
      </c>
      <c r="W988" s="3">
        <v>1</v>
      </c>
      <c r="X988" s="3">
        <v>1</v>
      </c>
      <c r="Y988" s="3">
        <v>0</v>
      </c>
      <c r="Z988" s="3">
        <v>0</v>
      </c>
      <c r="AA988" s="3">
        <v>0</v>
      </c>
    </row>
    <row r="989" spans="1:27">
      <c r="A989" t="s">
        <v>1072</v>
      </c>
      <c r="B989" s="3">
        <v>2</v>
      </c>
      <c r="C989" s="3">
        <v>0</v>
      </c>
      <c r="D989" s="1">
        <v>36925</v>
      </c>
      <c r="E989" s="1">
        <v>39082</v>
      </c>
      <c r="F989" s="2">
        <f t="shared" si="15"/>
        <v>5.9055441478439423</v>
      </c>
      <c r="G989" s="3">
        <v>1</v>
      </c>
      <c r="H989" s="3">
        <v>0</v>
      </c>
      <c r="I989" s="3">
        <v>1</v>
      </c>
      <c r="J989" s="3">
        <v>0</v>
      </c>
      <c r="K989" s="3">
        <v>0</v>
      </c>
      <c r="L989" s="3">
        <v>0</v>
      </c>
      <c r="M989" s="3">
        <v>0</v>
      </c>
      <c r="N989" s="3">
        <v>1</v>
      </c>
      <c r="O989" s="3">
        <v>1</v>
      </c>
      <c r="P989" s="3">
        <v>0</v>
      </c>
      <c r="Q989" s="3">
        <v>0</v>
      </c>
      <c r="R989" s="3">
        <v>96.7</v>
      </c>
      <c r="S989" s="2">
        <v>12.4</v>
      </c>
      <c r="T989" t="s">
        <v>28</v>
      </c>
      <c r="U989" s="3">
        <v>0</v>
      </c>
      <c r="V989" s="3">
        <v>0</v>
      </c>
      <c r="W989" s="3">
        <v>1</v>
      </c>
      <c r="X989" s="3">
        <v>1</v>
      </c>
      <c r="Y989" s="3">
        <v>1</v>
      </c>
      <c r="Z989" s="3">
        <v>1</v>
      </c>
      <c r="AA989" s="3">
        <v>0</v>
      </c>
    </row>
    <row r="990" spans="1:27">
      <c r="A990" t="s">
        <v>1073</v>
      </c>
      <c r="B990" s="3">
        <v>2</v>
      </c>
      <c r="C990" s="3">
        <v>0</v>
      </c>
      <c r="D990" s="1">
        <v>36727</v>
      </c>
      <c r="E990" s="1">
        <v>39082</v>
      </c>
      <c r="F990" s="2">
        <f t="shared" si="15"/>
        <v>6.4476386036960989</v>
      </c>
      <c r="G990" s="3">
        <v>1</v>
      </c>
      <c r="H990" s="3">
        <v>1</v>
      </c>
      <c r="I990" s="3">
        <v>0</v>
      </c>
      <c r="J990" s="3">
        <v>0</v>
      </c>
      <c r="K990" s="3">
        <v>0</v>
      </c>
      <c r="L990" s="3">
        <v>0</v>
      </c>
      <c r="M990" s="3">
        <v>0</v>
      </c>
      <c r="N990" s="3">
        <v>0</v>
      </c>
      <c r="O990" s="3">
        <v>0</v>
      </c>
      <c r="P990" s="3">
        <v>0</v>
      </c>
      <c r="Q990" s="3">
        <v>0</v>
      </c>
      <c r="R990" s="3">
        <v>96.8</v>
      </c>
      <c r="S990" s="2">
        <v>15</v>
      </c>
      <c r="T990" t="s">
        <v>66</v>
      </c>
      <c r="U990" s="3">
        <v>1</v>
      </c>
      <c r="V990" s="3">
        <v>1</v>
      </c>
      <c r="W990" s="3">
        <v>1</v>
      </c>
      <c r="X990" s="3">
        <v>0</v>
      </c>
      <c r="Y990" s="3">
        <v>0</v>
      </c>
      <c r="Z990" s="3">
        <v>1</v>
      </c>
      <c r="AA990" s="3">
        <v>0</v>
      </c>
    </row>
    <row r="991" spans="1:27">
      <c r="A991" t="s">
        <v>1074</v>
      </c>
      <c r="B991" s="3">
        <v>2</v>
      </c>
      <c r="C991" s="3">
        <v>0</v>
      </c>
      <c r="D991" s="1">
        <v>36802</v>
      </c>
      <c r="E991" s="1">
        <v>39082</v>
      </c>
      <c r="F991" s="2">
        <f t="shared" si="15"/>
        <v>6.2422997946611911</v>
      </c>
      <c r="G991" s="3">
        <v>1</v>
      </c>
      <c r="H991" s="3">
        <v>1</v>
      </c>
      <c r="I991" s="3">
        <v>0</v>
      </c>
      <c r="J991" s="3">
        <v>0</v>
      </c>
      <c r="K991" s="3">
        <v>0</v>
      </c>
      <c r="L991" s="3">
        <v>0</v>
      </c>
      <c r="M991" s="3">
        <v>0</v>
      </c>
      <c r="N991" s="3">
        <v>0</v>
      </c>
      <c r="O991" s="3">
        <v>0</v>
      </c>
      <c r="P991" s="3">
        <v>1</v>
      </c>
      <c r="Q991" s="3">
        <v>0</v>
      </c>
      <c r="R991" s="3">
        <v>96.8</v>
      </c>
      <c r="S991" s="2">
        <v>15.1</v>
      </c>
      <c r="T991" t="s">
        <v>28</v>
      </c>
      <c r="U991" s="3">
        <v>1</v>
      </c>
      <c r="V991" s="3">
        <v>1</v>
      </c>
      <c r="W991" s="3">
        <v>0</v>
      </c>
      <c r="X991" s="3">
        <v>0</v>
      </c>
      <c r="Y991" s="3">
        <v>1</v>
      </c>
      <c r="Z991" s="3">
        <v>1</v>
      </c>
      <c r="AA991" s="3">
        <v>0</v>
      </c>
    </row>
    <row r="992" spans="1:27">
      <c r="A992" t="s">
        <v>1075</v>
      </c>
      <c r="B992" s="3">
        <v>1</v>
      </c>
      <c r="C992" s="3">
        <v>0</v>
      </c>
      <c r="D992" s="1">
        <v>36956</v>
      </c>
      <c r="E992" s="1">
        <v>39082</v>
      </c>
      <c r="F992" s="2">
        <f t="shared" si="15"/>
        <v>5.8206707734428473</v>
      </c>
      <c r="G992" s="3">
        <v>2</v>
      </c>
      <c r="H992" s="3">
        <v>0</v>
      </c>
      <c r="I992" s="3">
        <v>0</v>
      </c>
      <c r="J992" s="3">
        <v>1</v>
      </c>
      <c r="K992" s="3">
        <v>1</v>
      </c>
      <c r="L992" s="3">
        <v>0</v>
      </c>
      <c r="M992" s="3">
        <v>0</v>
      </c>
      <c r="N992" s="3">
        <v>1</v>
      </c>
      <c r="O992" s="3">
        <v>0</v>
      </c>
      <c r="P992" s="3">
        <v>1</v>
      </c>
      <c r="Q992" s="3">
        <v>0</v>
      </c>
      <c r="R992" s="3">
        <v>97</v>
      </c>
      <c r="S992" s="2">
        <v>13.6</v>
      </c>
      <c r="T992" t="s">
        <v>283</v>
      </c>
      <c r="U992" s="3">
        <v>1</v>
      </c>
      <c r="V992" s="3">
        <v>1</v>
      </c>
      <c r="W992" s="3">
        <v>1</v>
      </c>
      <c r="X992" s="3">
        <v>1</v>
      </c>
      <c r="Y992" s="3">
        <v>0</v>
      </c>
      <c r="Z992" s="3">
        <v>0</v>
      </c>
      <c r="AA992" s="3">
        <v>0</v>
      </c>
    </row>
    <row r="993" spans="1:27">
      <c r="A993" t="s">
        <v>1076</v>
      </c>
      <c r="B993" s="3">
        <v>3</v>
      </c>
      <c r="C993" s="3">
        <v>0</v>
      </c>
      <c r="D993" s="1">
        <v>36800</v>
      </c>
      <c r="E993" s="1">
        <v>39082</v>
      </c>
      <c r="F993" s="2">
        <f t="shared" si="15"/>
        <v>6.2477754962354553</v>
      </c>
      <c r="G993" s="3">
        <v>1</v>
      </c>
      <c r="H993" s="3">
        <v>1</v>
      </c>
      <c r="I993" s="3">
        <v>1</v>
      </c>
      <c r="J993" s="3">
        <v>1</v>
      </c>
      <c r="K993" s="3">
        <v>0</v>
      </c>
      <c r="L993" s="3">
        <v>0</v>
      </c>
      <c r="M993" s="3">
        <v>1</v>
      </c>
      <c r="N993" s="3">
        <v>0</v>
      </c>
      <c r="O993" s="3">
        <v>0</v>
      </c>
      <c r="P993" s="3">
        <v>1</v>
      </c>
      <c r="Q993" s="3">
        <v>0</v>
      </c>
      <c r="R993" s="3">
        <v>97</v>
      </c>
      <c r="S993" s="2">
        <v>14.1</v>
      </c>
      <c r="T993" t="s">
        <v>28</v>
      </c>
      <c r="U993" s="3">
        <v>1</v>
      </c>
      <c r="V993" s="3">
        <v>1</v>
      </c>
      <c r="W993" s="3">
        <v>0</v>
      </c>
      <c r="X993" s="3">
        <v>0</v>
      </c>
      <c r="Y993" s="3">
        <v>0</v>
      </c>
      <c r="Z993" s="3">
        <v>1</v>
      </c>
      <c r="AA993" s="3">
        <v>0</v>
      </c>
    </row>
    <row r="994" spans="1:27">
      <c r="A994" t="s">
        <v>1077</v>
      </c>
      <c r="B994" s="3">
        <v>3</v>
      </c>
      <c r="C994" s="3">
        <v>0</v>
      </c>
      <c r="D994" s="1">
        <v>37003</v>
      </c>
      <c r="E994" s="1">
        <v>39082</v>
      </c>
      <c r="F994" s="2">
        <f t="shared" si="15"/>
        <v>5.6919917864476384</v>
      </c>
      <c r="G994" s="3">
        <v>1</v>
      </c>
      <c r="H994" s="3">
        <v>1</v>
      </c>
      <c r="I994" s="3">
        <v>0</v>
      </c>
      <c r="J994" s="3">
        <v>0</v>
      </c>
      <c r="K994" s="3">
        <v>1</v>
      </c>
      <c r="L994" s="3">
        <v>0</v>
      </c>
      <c r="M994" s="3">
        <v>0</v>
      </c>
      <c r="N994" s="3">
        <v>1</v>
      </c>
      <c r="O994" s="3">
        <v>0</v>
      </c>
      <c r="P994" s="3">
        <v>1</v>
      </c>
      <c r="Q994" s="3">
        <v>0</v>
      </c>
      <c r="R994" s="3">
        <v>97.1</v>
      </c>
      <c r="S994" s="2">
        <v>13.3</v>
      </c>
      <c r="T994" t="s">
        <v>28</v>
      </c>
      <c r="U994" s="3">
        <v>1</v>
      </c>
      <c r="V994" s="3">
        <v>1</v>
      </c>
      <c r="W994" s="3">
        <v>0</v>
      </c>
      <c r="X994" s="3">
        <v>1</v>
      </c>
      <c r="Y994" s="3">
        <v>0</v>
      </c>
      <c r="Z994" s="3">
        <v>1</v>
      </c>
      <c r="AA994" s="3">
        <v>0</v>
      </c>
    </row>
    <row r="995" spans="1:27">
      <c r="A995" t="s">
        <v>1078</v>
      </c>
      <c r="B995" s="3">
        <v>1</v>
      </c>
      <c r="C995" s="3">
        <v>0</v>
      </c>
      <c r="D995" s="1">
        <v>37138</v>
      </c>
      <c r="E995" s="1">
        <v>39082</v>
      </c>
      <c r="F995" s="2">
        <f t="shared" si="15"/>
        <v>5.3223819301848048</v>
      </c>
      <c r="G995" s="3">
        <v>2</v>
      </c>
      <c r="H995" s="3">
        <v>0</v>
      </c>
      <c r="I995" s="3">
        <v>1</v>
      </c>
      <c r="J995" s="3">
        <v>0</v>
      </c>
      <c r="K995" s="3">
        <v>0</v>
      </c>
      <c r="L995" s="3">
        <v>1</v>
      </c>
      <c r="M995" s="3">
        <v>1</v>
      </c>
      <c r="N995" s="3">
        <v>1</v>
      </c>
      <c r="O995" s="3">
        <v>0</v>
      </c>
      <c r="P995" s="3">
        <v>1</v>
      </c>
      <c r="Q995" s="3">
        <v>0</v>
      </c>
      <c r="R995" s="3">
        <v>97.2</v>
      </c>
      <c r="S995" s="2">
        <v>14.4</v>
      </c>
      <c r="T995" t="s">
        <v>28</v>
      </c>
      <c r="U995" s="3">
        <v>0</v>
      </c>
      <c r="V995" s="3">
        <v>1</v>
      </c>
      <c r="W995" s="3">
        <v>1</v>
      </c>
      <c r="X995" s="3">
        <v>1</v>
      </c>
      <c r="Y995" s="3">
        <v>0</v>
      </c>
      <c r="Z995" s="3">
        <v>0</v>
      </c>
      <c r="AA995" s="3">
        <v>0</v>
      </c>
    </row>
    <row r="996" spans="1:27">
      <c r="A996" t="s">
        <v>1079</v>
      </c>
      <c r="B996" s="3">
        <v>1</v>
      </c>
      <c r="C996" s="3">
        <v>0</v>
      </c>
      <c r="D996" s="1">
        <v>36914</v>
      </c>
      <c r="E996" s="1">
        <v>39082</v>
      </c>
      <c r="F996" s="2">
        <f t="shared" si="15"/>
        <v>5.935660506502396</v>
      </c>
      <c r="G996" s="3">
        <v>1</v>
      </c>
      <c r="H996" s="3">
        <v>0</v>
      </c>
      <c r="I996" s="3">
        <v>1</v>
      </c>
      <c r="J996" s="3">
        <v>0</v>
      </c>
      <c r="K996" s="3">
        <v>0</v>
      </c>
      <c r="L996" s="3">
        <v>0</v>
      </c>
      <c r="M996" s="3">
        <v>0</v>
      </c>
      <c r="N996" s="3">
        <v>1</v>
      </c>
      <c r="O996" s="3">
        <v>0</v>
      </c>
      <c r="P996" s="3">
        <v>1</v>
      </c>
      <c r="Q996" s="3">
        <v>0</v>
      </c>
      <c r="R996" s="3">
        <v>97.3</v>
      </c>
      <c r="S996" s="2">
        <v>14.5</v>
      </c>
      <c r="T996" t="s">
        <v>28</v>
      </c>
      <c r="U996" s="3">
        <v>1</v>
      </c>
      <c r="V996" s="3">
        <v>1</v>
      </c>
      <c r="W996" s="3">
        <v>0</v>
      </c>
      <c r="X996" s="3">
        <v>0</v>
      </c>
      <c r="Y996" s="3">
        <v>0</v>
      </c>
      <c r="Z996" s="3">
        <v>1</v>
      </c>
      <c r="AA996" s="3">
        <v>0</v>
      </c>
    </row>
    <row r="997" spans="1:27">
      <c r="A997" t="s">
        <v>1080</v>
      </c>
      <c r="B997" s="3">
        <v>1</v>
      </c>
      <c r="C997" s="3">
        <v>0</v>
      </c>
      <c r="D997" s="1">
        <v>38245</v>
      </c>
      <c r="E997" s="1">
        <v>39082</v>
      </c>
      <c r="F997" s="2">
        <f t="shared" si="15"/>
        <v>2.2915811088295688</v>
      </c>
      <c r="G997" s="3">
        <v>1</v>
      </c>
      <c r="H997" s="3">
        <v>1</v>
      </c>
      <c r="I997" s="3">
        <v>1</v>
      </c>
      <c r="J997" s="3">
        <v>0</v>
      </c>
      <c r="K997" s="3">
        <v>0</v>
      </c>
      <c r="L997" s="3">
        <v>1</v>
      </c>
      <c r="M997" s="3">
        <v>0</v>
      </c>
      <c r="N997" s="3">
        <v>1</v>
      </c>
      <c r="O997" s="3">
        <v>0</v>
      </c>
      <c r="P997" s="3">
        <v>1</v>
      </c>
      <c r="Q997" s="3">
        <v>0</v>
      </c>
      <c r="R997" s="3">
        <v>97.3</v>
      </c>
      <c r="S997" s="2">
        <v>12.3</v>
      </c>
      <c r="T997" t="s">
        <v>28</v>
      </c>
      <c r="U997" s="3">
        <v>1</v>
      </c>
      <c r="V997" s="3">
        <v>1</v>
      </c>
      <c r="W997" s="3">
        <v>0</v>
      </c>
      <c r="X997" s="3">
        <v>0</v>
      </c>
      <c r="Y997" s="3">
        <v>0</v>
      </c>
      <c r="Z997" s="3">
        <v>1</v>
      </c>
      <c r="AA997" s="3">
        <v>0</v>
      </c>
    </row>
    <row r="998" spans="1:27">
      <c r="A998" t="s">
        <v>1081</v>
      </c>
      <c r="B998" s="3">
        <v>1</v>
      </c>
      <c r="C998" s="3">
        <v>0</v>
      </c>
      <c r="D998" s="1">
        <v>36912</v>
      </c>
      <c r="E998" s="1">
        <v>39082</v>
      </c>
      <c r="F998" s="2">
        <f t="shared" si="15"/>
        <v>5.9411362080766601</v>
      </c>
      <c r="G998" s="3">
        <v>2</v>
      </c>
      <c r="H998" s="3">
        <v>1</v>
      </c>
      <c r="I998" s="3">
        <v>1</v>
      </c>
      <c r="J998" s="3">
        <v>0</v>
      </c>
      <c r="K998" s="3">
        <v>0</v>
      </c>
      <c r="L998" s="3">
        <v>0</v>
      </c>
      <c r="M998" s="3">
        <v>0</v>
      </c>
      <c r="N998" s="3">
        <v>1</v>
      </c>
      <c r="O998" s="3">
        <v>1</v>
      </c>
      <c r="P998" s="3">
        <v>0</v>
      </c>
      <c r="Q998" s="3">
        <v>0</v>
      </c>
      <c r="R998" s="3">
        <v>97.3</v>
      </c>
      <c r="S998" s="2">
        <v>13</v>
      </c>
      <c r="T998" t="s">
        <v>92</v>
      </c>
      <c r="U998" s="3">
        <v>0</v>
      </c>
      <c r="V998" s="3">
        <v>1</v>
      </c>
      <c r="W998" s="3">
        <v>1</v>
      </c>
      <c r="X998" s="3">
        <v>0</v>
      </c>
      <c r="Y998" s="3">
        <v>0</v>
      </c>
      <c r="Z998" s="3">
        <v>0</v>
      </c>
      <c r="AA998" s="3">
        <v>0</v>
      </c>
    </row>
    <row r="999" spans="1:27">
      <c r="A999" t="s">
        <v>1082</v>
      </c>
      <c r="B999" s="3">
        <v>3</v>
      </c>
      <c r="C999" s="3">
        <v>0</v>
      </c>
      <c r="D999" s="1">
        <v>38102</v>
      </c>
      <c r="E999" s="1">
        <v>39082</v>
      </c>
      <c r="F999" s="2">
        <f t="shared" si="15"/>
        <v>2.6830937713894594</v>
      </c>
      <c r="G999" s="3">
        <v>1</v>
      </c>
      <c r="H999" s="3">
        <v>1</v>
      </c>
      <c r="I999" s="3">
        <v>1</v>
      </c>
      <c r="J999" s="3">
        <v>1</v>
      </c>
      <c r="K999" s="3">
        <v>0</v>
      </c>
      <c r="L999" s="3">
        <v>0</v>
      </c>
      <c r="M999" s="3">
        <v>0</v>
      </c>
      <c r="N999" s="3">
        <v>0</v>
      </c>
      <c r="O999" s="3">
        <v>0</v>
      </c>
      <c r="P999" s="3">
        <v>0</v>
      </c>
      <c r="Q999" s="3">
        <v>0</v>
      </c>
      <c r="R999" s="3">
        <v>97.3</v>
      </c>
      <c r="S999" s="2">
        <v>13.6</v>
      </c>
      <c r="T999" t="s">
        <v>28</v>
      </c>
      <c r="U999" s="3">
        <v>0</v>
      </c>
      <c r="V999" s="3">
        <v>1</v>
      </c>
      <c r="W999" s="3">
        <v>1</v>
      </c>
      <c r="X999" s="3">
        <v>1</v>
      </c>
      <c r="Y999" s="3">
        <v>1</v>
      </c>
      <c r="Z999" s="3">
        <v>1</v>
      </c>
      <c r="AA999" s="3">
        <v>0</v>
      </c>
    </row>
    <row r="1000" spans="1:27">
      <c r="A1000" t="s">
        <v>1083</v>
      </c>
      <c r="B1000" s="3">
        <v>1</v>
      </c>
      <c r="C1000" s="3">
        <v>0</v>
      </c>
      <c r="D1000" s="1">
        <v>36713</v>
      </c>
      <c r="E1000" s="1">
        <v>39082</v>
      </c>
      <c r="F1000" s="2">
        <f t="shared" si="15"/>
        <v>6.4859685147159478</v>
      </c>
      <c r="G1000" s="3">
        <v>1</v>
      </c>
      <c r="H1000" s="3">
        <v>0</v>
      </c>
      <c r="I1000" s="3">
        <v>0</v>
      </c>
      <c r="J1000" s="3">
        <v>0</v>
      </c>
      <c r="K1000" s="3">
        <v>0</v>
      </c>
      <c r="L1000" s="3">
        <v>1</v>
      </c>
      <c r="M1000" s="3">
        <v>0</v>
      </c>
      <c r="N1000" s="3">
        <v>1</v>
      </c>
      <c r="O1000" s="3">
        <v>1</v>
      </c>
      <c r="P1000" s="3">
        <v>1</v>
      </c>
      <c r="Q1000" s="3">
        <v>0</v>
      </c>
      <c r="R1000" s="3">
        <v>97.4</v>
      </c>
      <c r="S1000" s="2">
        <v>13.1</v>
      </c>
      <c r="T1000" t="s">
        <v>199</v>
      </c>
      <c r="U1000" s="3">
        <v>1</v>
      </c>
      <c r="V1000" s="3">
        <v>1</v>
      </c>
      <c r="W1000" s="3">
        <v>1</v>
      </c>
      <c r="X1000" s="3">
        <v>0</v>
      </c>
      <c r="Y1000" s="3">
        <v>1</v>
      </c>
      <c r="Z1000" s="3">
        <v>1</v>
      </c>
      <c r="AA1000" s="3">
        <v>0</v>
      </c>
    </row>
    <row r="1001" spans="1:27">
      <c r="A1001" t="s">
        <v>1084</v>
      </c>
      <c r="B1001" s="3">
        <v>2</v>
      </c>
      <c r="C1001" s="3">
        <v>0</v>
      </c>
      <c r="D1001" s="1">
        <v>38146</v>
      </c>
      <c r="E1001" s="1">
        <v>39082</v>
      </c>
      <c r="F1001" s="2">
        <f t="shared" si="15"/>
        <v>2.5626283367556466</v>
      </c>
      <c r="G1001" s="3">
        <v>2</v>
      </c>
      <c r="H1001" s="3">
        <v>1</v>
      </c>
      <c r="I1001" s="3">
        <v>0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0</v>
      </c>
      <c r="P1001" s="3">
        <v>1</v>
      </c>
      <c r="Q1001" s="3">
        <v>0</v>
      </c>
      <c r="R1001" s="3">
        <v>97.6</v>
      </c>
      <c r="S1001" s="2">
        <v>13.8</v>
      </c>
      <c r="T1001" t="s">
        <v>28</v>
      </c>
      <c r="U1001" s="5" t="e">
        <v>#NULL!</v>
      </c>
      <c r="V1001" s="3">
        <v>1</v>
      </c>
      <c r="W1001" s="3">
        <v>1</v>
      </c>
      <c r="X1001" s="3">
        <v>1</v>
      </c>
      <c r="Y1001" s="3">
        <v>0</v>
      </c>
      <c r="Z1001" s="3">
        <v>0</v>
      </c>
      <c r="AA1001" s="3">
        <v>0</v>
      </c>
    </row>
    <row r="1002" spans="1:27">
      <c r="A1002" t="s">
        <v>1085</v>
      </c>
      <c r="B1002" s="3">
        <v>2</v>
      </c>
      <c r="C1002" s="3">
        <v>0</v>
      </c>
      <c r="D1002" s="1">
        <v>38647</v>
      </c>
      <c r="E1002" s="1">
        <v>39082</v>
      </c>
      <c r="F1002" s="2">
        <f t="shared" si="15"/>
        <v>1.1909650924024642</v>
      </c>
      <c r="G1002" s="3">
        <v>2</v>
      </c>
      <c r="H1002" s="3">
        <v>0</v>
      </c>
      <c r="I1002" s="3">
        <v>1</v>
      </c>
      <c r="J1002" s="3">
        <v>0</v>
      </c>
      <c r="K1002" s="3">
        <v>0</v>
      </c>
      <c r="L1002" s="3">
        <v>0</v>
      </c>
      <c r="M1002" s="3">
        <v>0</v>
      </c>
      <c r="N1002" s="3">
        <v>1</v>
      </c>
      <c r="O1002" s="3">
        <v>0</v>
      </c>
      <c r="P1002" s="3">
        <v>0</v>
      </c>
      <c r="Q1002" s="3">
        <v>0</v>
      </c>
      <c r="R1002" s="3">
        <v>97.6</v>
      </c>
      <c r="S1002" s="2">
        <v>14.1</v>
      </c>
      <c r="T1002" t="s">
        <v>28</v>
      </c>
      <c r="U1002" s="3">
        <v>1</v>
      </c>
      <c r="V1002" s="3">
        <v>1</v>
      </c>
      <c r="W1002" s="3">
        <v>0</v>
      </c>
      <c r="X1002" s="3">
        <v>0</v>
      </c>
      <c r="Y1002" s="3">
        <v>0</v>
      </c>
      <c r="Z1002" s="3">
        <v>0</v>
      </c>
      <c r="AA1002" s="3">
        <v>0</v>
      </c>
    </row>
    <row r="1003" spans="1:27">
      <c r="A1003" t="s">
        <v>1086</v>
      </c>
      <c r="B1003" s="3">
        <v>3</v>
      </c>
      <c r="C1003" s="3">
        <v>0</v>
      </c>
      <c r="D1003" s="1">
        <v>38088</v>
      </c>
      <c r="E1003" s="1">
        <v>39082</v>
      </c>
      <c r="F1003" s="2">
        <f t="shared" si="15"/>
        <v>2.7214236824093088</v>
      </c>
      <c r="G1003" s="3">
        <v>2</v>
      </c>
      <c r="H1003" s="3">
        <v>1</v>
      </c>
      <c r="I1003" s="3">
        <v>1</v>
      </c>
      <c r="J1003" s="3">
        <v>0</v>
      </c>
      <c r="K1003" s="3">
        <v>0</v>
      </c>
      <c r="L1003" s="3">
        <v>0</v>
      </c>
      <c r="M1003" s="3">
        <v>0</v>
      </c>
      <c r="N1003" s="3">
        <v>0</v>
      </c>
      <c r="O1003" s="3">
        <v>0</v>
      </c>
      <c r="P1003" s="3">
        <v>1</v>
      </c>
      <c r="Q1003" s="3">
        <v>0</v>
      </c>
      <c r="R1003" s="3">
        <v>97.6</v>
      </c>
      <c r="S1003" s="2">
        <v>13.7</v>
      </c>
      <c r="T1003" t="s">
        <v>44</v>
      </c>
      <c r="U1003" s="3">
        <v>1</v>
      </c>
      <c r="V1003" s="3">
        <v>1</v>
      </c>
      <c r="W1003" s="3">
        <v>0</v>
      </c>
      <c r="X1003" s="3">
        <v>1</v>
      </c>
      <c r="Y1003" s="3">
        <v>1</v>
      </c>
      <c r="Z1003" s="3">
        <v>0</v>
      </c>
      <c r="AA1003" s="3">
        <v>0</v>
      </c>
    </row>
    <row r="1004" spans="1:27">
      <c r="A1004" t="s">
        <v>1087</v>
      </c>
      <c r="B1004" s="3">
        <v>3</v>
      </c>
      <c r="C1004" s="3">
        <v>0</v>
      </c>
      <c r="D1004" s="1">
        <v>37987</v>
      </c>
      <c r="E1004" s="1">
        <v>39082</v>
      </c>
      <c r="F1004" s="2">
        <f t="shared" si="15"/>
        <v>2.9979466119096507</v>
      </c>
      <c r="G1004" s="3">
        <v>1</v>
      </c>
      <c r="H1004" s="3">
        <v>1</v>
      </c>
      <c r="I1004" s="3">
        <v>0</v>
      </c>
      <c r="J1004" s="3">
        <v>0</v>
      </c>
      <c r="K1004" s="3">
        <v>0</v>
      </c>
      <c r="L1004" s="3">
        <v>0</v>
      </c>
      <c r="M1004" s="3">
        <v>0</v>
      </c>
      <c r="N1004" s="3">
        <v>0</v>
      </c>
      <c r="O1004" s="3">
        <v>0</v>
      </c>
      <c r="P1004" s="3">
        <v>1</v>
      </c>
      <c r="Q1004" s="3">
        <v>0</v>
      </c>
      <c r="R1004" s="3">
        <v>97.7</v>
      </c>
      <c r="S1004" s="2">
        <v>14.7</v>
      </c>
      <c r="T1004" t="s">
        <v>28</v>
      </c>
      <c r="U1004" s="3">
        <v>1</v>
      </c>
      <c r="V1004" s="3">
        <v>1</v>
      </c>
      <c r="W1004" s="3">
        <v>1</v>
      </c>
      <c r="X1004" s="3">
        <v>1</v>
      </c>
      <c r="Y1004" s="3">
        <v>0</v>
      </c>
      <c r="Z1004" s="3">
        <v>1</v>
      </c>
      <c r="AA1004" s="3">
        <v>0</v>
      </c>
    </row>
    <row r="1005" spans="1:27">
      <c r="A1005" t="s">
        <v>1088</v>
      </c>
      <c r="B1005" s="3">
        <v>2</v>
      </c>
      <c r="C1005" s="3">
        <v>0</v>
      </c>
      <c r="D1005" s="1">
        <v>36680</v>
      </c>
      <c r="E1005" s="1">
        <v>39082</v>
      </c>
      <c r="F1005" s="2">
        <f t="shared" si="15"/>
        <v>6.5763175906913069</v>
      </c>
      <c r="G1005" s="3">
        <v>2</v>
      </c>
      <c r="H1005" s="3">
        <v>1</v>
      </c>
      <c r="I1005" s="3">
        <v>0</v>
      </c>
      <c r="J1005" s="3">
        <v>0</v>
      </c>
      <c r="K1005" s="3">
        <v>0</v>
      </c>
      <c r="L1005" s="3">
        <v>0</v>
      </c>
      <c r="M1005" s="3">
        <v>0</v>
      </c>
      <c r="N1005" s="3">
        <v>1</v>
      </c>
      <c r="O1005" s="3">
        <v>0</v>
      </c>
      <c r="P1005" s="3">
        <v>0</v>
      </c>
      <c r="Q1005" s="3">
        <v>0</v>
      </c>
      <c r="R1005" s="3">
        <v>97.7</v>
      </c>
      <c r="S1005" s="2">
        <v>13</v>
      </c>
      <c r="T1005" t="s">
        <v>66</v>
      </c>
      <c r="U1005" s="3">
        <v>1</v>
      </c>
      <c r="V1005" s="3">
        <v>1</v>
      </c>
      <c r="W1005" s="3">
        <v>1</v>
      </c>
      <c r="X1005" s="3">
        <v>0</v>
      </c>
      <c r="Y1005" s="3">
        <v>1</v>
      </c>
      <c r="Z1005" s="3">
        <v>0</v>
      </c>
      <c r="AA1005" s="3">
        <v>0</v>
      </c>
    </row>
    <row r="1006" spans="1:27">
      <c r="A1006" t="s">
        <v>1089</v>
      </c>
      <c r="B1006" s="3">
        <v>1</v>
      </c>
      <c r="C1006" s="3">
        <v>0</v>
      </c>
      <c r="D1006" s="1">
        <v>36647</v>
      </c>
      <c r="E1006" s="1">
        <v>39082</v>
      </c>
      <c r="F1006" s="2">
        <f t="shared" si="15"/>
        <v>6.666666666666667</v>
      </c>
      <c r="G1006" s="3">
        <v>2</v>
      </c>
      <c r="H1006" s="3">
        <v>1</v>
      </c>
      <c r="I1006" s="3">
        <v>1</v>
      </c>
      <c r="J1006" s="3">
        <v>0</v>
      </c>
      <c r="K1006" s="3">
        <v>0</v>
      </c>
      <c r="L1006" s="3">
        <v>0</v>
      </c>
      <c r="M1006" s="3">
        <v>0</v>
      </c>
      <c r="N1006" s="3">
        <v>1</v>
      </c>
      <c r="O1006" s="3">
        <v>0</v>
      </c>
      <c r="P1006" s="3">
        <v>0</v>
      </c>
      <c r="Q1006" s="3">
        <v>0</v>
      </c>
      <c r="R1006" s="3">
        <v>97.8</v>
      </c>
      <c r="S1006" s="2">
        <v>12.3</v>
      </c>
      <c r="T1006" t="s">
        <v>28</v>
      </c>
      <c r="U1006" s="3">
        <v>1</v>
      </c>
      <c r="V1006" s="3">
        <v>1</v>
      </c>
      <c r="W1006" s="3">
        <v>0</v>
      </c>
      <c r="X1006" s="3">
        <v>0</v>
      </c>
      <c r="Y1006" s="3">
        <v>0</v>
      </c>
      <c r="Z1006" s="3">
        <v>0</v>
      </c>
      <c r="AA1006" s="3">
        <v>0</v>
      </c>
    </row>
    <row r="1007" spans="1:27">
      <c r="A1007" t="s">
        <v>1090</v>
      </c>
      <c r="B1007" s="3">
        <v>2</v>
      </c>
      <c r="C1007" s="3">
        <v>0</v>
      </c>
      <c r="D1007" s="1">
        <v>36827</v>
      </c>
      <c r="E1007" s="1">
        <v>39082</v>
      </c>
      <c r="F1007" s="2">
        <f t="shared" si="15"/>
        <v>6.1738535249828885</v>
      </c>
      <c r="G1007" s="3">
        <v>1</v>
      </c>
      <c r="H1007" s="3">
        <v>0</v>
      </c>
      <c r="I1007" s="3">
        <v>1</v>
      </c>
      <c r="J1007" s="3">
        <v>1</v>
      </c>
      <c r="K1007" s="3">
        <v>0</v>
      </c>
      <c r="L1007" s="3">
        <v>0</v>
      </c>
      <c r="M1007" s="3">
        <v>1</v>
      </c>
      <c r="N1007" s="3">
        <v>1</v>
      </c>
      <c r="O1007" s="3">
        <v>0</v>
      </c>
      <c r="P1007" s="3">
        <v>1</v>
      </c>
      <c r="Q1007" s="3">
        <v>0</v>
      </c>
      <c r="R1007" s="3">
        <v>97.8</v>
      </c>
      <c r="S1007" s="2">
        <v>12.5</v>
      </c>
      <c r="T1007" t="s">
        <v>28</v>
      </c>
      <c r="U1007" s="3">
        <v>1</v>
      </c>
      <c r="V1007" s="3">
        <v>1</v>
      </c>
      <c r="W1007" s="3">
        <v>0</v>
      </c>
      <c r="X1007" s="3">
        <v>1</v>
      </c>
      <c r="Y1007" s="3">
        <v>0</v>
      </c>
      <c r="Z1007" s="3">
        <v>1</v>
      </c>
      <c r="AA1007" s="3">
        <v>0</v>
      </c>
    </row>
    <row r="1008" spans="1:27">
      <c r="A1008" t="s">
        <v>1091</v>
      </c>
      <c r="B1008" s="3">
        <v>2</v>
      </c>
      <c r="C1008" s="3">
        <v>0</v>
      </c>
      <c r="D1008" s="1">
        <v>36754</v>
      </c>
      <c r="E1008" s="1">
        <v>39082</v>
      </c>
      <c r="F1008" s="2">
        <f t="shared" si="15"/>
        <v>6.3737166324435321</v>
      </c>
      <c r="G1008" s="3">
        <v>2</v>
      </c>
      <c r="H1008" s="3">
        <v>1</v>
      </c>
      <c r="I1008" s="3">
        <v>0</v>
      </c>
      <c r="J1008" s="3">
        <v>1</v>
      </c>
      <c r="K1008" s="3">
        <v>0</v>
      </c>
      <c r="L1008" s="3">
        <v>0</v>
      </c>
      <c r="M1008" s="3">
        <v>0</v>
      </c>
      <c r="N1008" s="3">
        <v>0</v>
      </c>
      <c r="O1008" s="3">
        <v>0</v>
      </c>
      <c r="P1008" s="3">
        <v>0</v>
      </c>
      <c r="Q1008" s="3">
        <v>0</v>
      </c>
      <c r="R1008" s="3">
        <v>97.9</v>
      </c>
      <c r="S1008" s="2">
        <v>13.2</v>
      </c>
      <c r="T1008" t="s">
        <v>59</v>
      </c>
      <c r="U1008" s="3">
        <v>1</v>
      </c>
      <c r="V1008" s="3">
        <v>1</v>
      </c>
      <c r="W1008" s="3">
        <v>0</v>
      </c>
      <c r="X1008" s="3">
        <v>0</v>
      </c>
      <c r="Y1008" s="3">
        <v>0</v>
      </c>
      <c r="Z1008" s="3">
        <v>0</v>
      </c>
      <c r="AA1008" s="3">
        <v>0</v>
      </c>
    </row>
    <row r="1009" spans="1:27">
      <c r="A1009" t="s">
        <v>1092</v>
      </c>
      <c r="B1009" s="3">
        <v>3</v>
      </c>
      <c r="C1009" s="3">
        <v>0</v>
      </c>
      <c r="D1009" s="1">
        <v>38273</v>
      </c>
      <c r="E1009" s="1">
        <v>39082</v>
      </c>
      <c r="F1009" s="2">
        <f t="shared" si="15"/>
        <v>2.21492128678987</v>
      </c>
      <c r="G1009" s="3">
        <v>2</v>
      </c>
      <c r="H1009" s="3">
        <v>0</v>
      </c>
      <c r="I1009" s="3">
        <v>0</v>
      </c>
      <c r="J1009" s="3">
        <v>0</v>
      </c>
      <c r="K1009" s="3">
        <v>0</v>
      </c>
      <c r="L1009" s="3">
        <v>0</v>
      </c>
      <c r="M1009" s="3">
        <v>0</v>
      </c>
      <c r="N1009" s="3">
        <v>1</v>
      </c>
      <c r="O1009" s="3">
        <v>0</v>
      </c>
      <c r="P1009" s="3">
        <v>0</v>
      </c>
      <c r="Q1009" s="3">
        <v>0</v>
      </c>
      <c r="R1009" s="3">
        <v>98</v>
      </c>
      <c r="S1009" s="2">
        <v>14.5</v>
      </c>
      <c r="T1009" t="s">
        <v>28</v>
      </c>
      <c r="U1009" s="3">
        <v>0</v>
      </c>
      <c r="V1009" s="3">
        <v>0</v>
      </c>
      <c r="W1009" s="3">
        <v>0</v>
      </c>
      <c r="X1009" s="3">
        <v>1</v>
      </c>
      <c r="Y1009" s="3">
        <v>1</v>
      </c>
      <c r="Z1009" s="3">
        <v>0</v>
      </c>
      <c r="AA1009" s="3">
        <v>0</v>
      </c>
    </row>
    <row r="1010" spans="1:27">
      <c r="A1010" t="s">
        <v>1093</v>
      </c>
      <c r="B1010" s="3">
        <v>1</v>
      </c>
      <c r="C1010" s="3">
        <v>0</v>
      </c>
      <c r="D1010" s="1">
        <v>37113</v>
      </c>
      <c r="E1010" s="1">
        <v>39082</v>
      </c>
      <c r="F1010" s="2">
        <f t="shared" si="15"/>
        <v>5.3908281998631074</v>
      </c>
      <c r="G1010" s="3">
        <v>2</v>
      </c>
      <c r="H1010" s="3">
        <v>1</v>
      </c>
      <c r="I1010" s="3">
        <v>0</v>
      </c>
      <c r="J1010" s="3">
        <v>0</v>
      </c>
      <c r="K1010" s="3">
        <v>0</v>
      </c>
      <c r="L1010" s="3">
        <v>0</v>
      </c>
      <c r="M1010" s="3">
        <v>1</v>
      </c>
      <c r="N1010" s="3">
        <v>0</v>
      </c>
      <c r="O1010" s="3">
        <v>0</v>
      </c>
      <c r="P1010" s="3">
        <v>1</v>
      </c>
      <c r="Q1010" s="3">
        <v>0</v>
      </c>
      <c r="R1010" s="3">
        <v>98</v>
      </c>
      <c r="S1010" s="2">
        <v>12.2</v>
      </c>
      <c r="T1010" t="s">
        <v>28</v>
      </c>
      <c r="U1010" s="3">
        <v>1</v>
      </c>
      <c r="V1010" s="3">
        <v>1</v>
      </c>
      <c r="W1010" s="3">
        <v>0</v>
      </c>
      <c r="X1010" s="3">
        <v>0</v>
      </c>
      <c r="Y1010" s="3">
        <v>0</v>
      </c>
      <c r="Z1010" s="3">
        <v>0</v>
      </c>
      <c r="AA1010" s="3">
        <v>0</v>
      </c>
    </row>
    <row r="1011" spans="1:27">
      <c r="A1011" t="s">
        <v>1094</v>
      </c>
      <c r="B1011" s="3">
        <v>2</v>
      </c>
      <c r="C1011" s="3">
        <v>0</v>
      </c>
      <c r="D1011" s="1">
        <v>36924</v>
      </c>
      <c r="E1011" s="1">
        <v>39082</v>
      </c>
      <c r="F1011" s="2">
        <f t="shared" si="15"/>
        <v>5.9082819986310744</v>
      </c>
      <c r="G1011" s="3">
        <v>2</v>
      </c>
      <c r="H1011" s="3">
        <v>1</v>
      </c>
      <c r="I1011" s="3">
        <v>0</v>
      </c>
      <c r="J1011" s="3">
        <v>0</v>
      </c>
      <c r="K1011" s="3">
        <v>0</v>
      </c>
      <c r="L1011" s="3">
        <v>0</v>
      </c>
      <c r="M1011" s="3">
        <v>0</v>
      </c>
      <c r="N1011" s="3">
        <v>0</v>
      </c>
      <c r="O1011" s="3">
        <v>0</v>
      </c>
      <c r="P1011" s="3">
        <v>0</v>
      </c>
      <c r="Q1011" s="3">
        <v>0</v>
      </c>
      <c r="R1011" s="3">
        <v>98</v>
      </c>
      <c r="S1011" s="2">
        <v>11.9</v>
      </c>
      <c r="T1011" t="s">
        <v>1095</v>
      </c>
      <c r="U1011" s="3">
        <v>1</v>
      </c>
      <c r="V1011" s="3">
        <v>1</v>
      </c>
      <c r="W1011" s="3">
        <v>1</v>
      </c>
      <c r="X1011" s="3">
        <v>0</v>
      </c>
      <c r="Y1011" s="3">
        <v>0</v>
      </c>
      <c r="Z1011" s="3">
        <v>0</v>
      </c>
      <c r="AA1011" s="3">
        <v>0</v>
      </c>
    </row>
    <row r="1012" spans="1:27">
      <c r="A1012" t="s">
        <v>1096</v>
      </c>
      <c r="B1012" s="3">
        <v>2</v>
      </c>
      <c r="C1012" s="3">
        <v>0</v>
      </c>
      <c r="D1012" s="1">
        <v>37494</v>
      </c>
      <c r="E1012" s="1">
        <v>39082</v>
      </c>
      <c r="F1012" s="2">
        <f t="shared" si="15"/>
        <v>4.3477070499657771</v>
      </c>
      <c r="G1012" s="3">
        <v>1</v>
      </c>
      <c r="H1012" s="3">
        <v>1</v>
      </c>
      <c r="I1012" s="3">
        <v>0</v>
      </c>
      <c r="J1012" s="3">
        <v>0</v>
      </c>
      <c r="K1012" s="3">
        <v>0</v>
      </c>
      <c r="L1012" s="3">
        <v>0</v>
      </c>
      <c r="M1012" s="3">
        <v>0</v>
      </c>
      <c r="N1012" s="3">
        <v>1</v>
      </c>
      <c r="O1012" s="3">
        <v>1</v>
      </c>
      <c r="P1012" s="3">
        <v>0</v>
      </c>
      <c r="Q1012" s="3">
        <v>0</v>
      </c>
      <c r="R1012" s="3">
        <v>98.1</v>
      </c>
      <c r="S1012" s="2">
        <v>12.7</v>
      </c>
      <c r="T1012" t="s">
        <v>398</v>
      </c>
      <c r="U1012" s="3">
        <v>1</v>
      </c>
      <c r="V1012" s="3">
        <v>1</v>
      </c>
      <c r="W1012" s="3">
        <v>1</v>
      </c>
      <c r="X1012" s="3">
        <v>1</v>
      </c>
      <c r="Y1012" s="3">
        <v>1</v>
      </c>
      <c r="Z1012" s="3">
        <v>1</v>
      </c>
      <c r="AA1012" s="3">
        <v>0</v>
      </c>
    </row>
    <row r="1013" spans="1:27">
      <c r="A1013" t="s">
        <v>299</v>
      </c>
      <c r="B1013" s="3">
        <v>2</v>
      </c>
      <c r="C1013" s="3">
        <v>0</v>
      </c>
      <c r="D1013" s="1">
        <v>36875</v>
      </c>
      <c r="E1013" s="1">
        <v>39082</v>
      </c>
      <c r="F1013" s="2">
        <f t="shared" si="15"/>
        <v>6.0424366872005475</v>
      </c>
      <c r="G1013" s="3">
        <v>1</v>
      </c>
      <c r="H1013" s="3">
        <v>1</v>
      </c>
      <c r="I1013" s="3">
        <v>0</v>
      </c>
      <c r="J1013" s="3">
        <v>1</v>
      </c>
      <c r="K1013" s="3">
        <v>0</v>
      </c>
      <c r="L1013" s="3">
        <v>0</v>
      </c>
      <c r="M1013" s="3">
        <v>0</v>
      </c>
      <c r="N1013" s="3">
        <v>1</v>
      </c>
      <c r="O1013" s="3">
        <v>0</v>
      </c>
      <c r="P1013" s="3">
        <v>1</v>
      </c>
      <c r="Q1013" s="3">
        <v>0</v>
      </c>
      <c r="R1013" s="3">
        <v>98.1</v>
      </c>
      <c r="S1013" s="2">
        <v>14.2</v>
      </c>
      <c r="T1013" t="s">
        <v>28</v>
      </c>
      <c r="U1013" s="3">
        <v>0</v>
      </c>
      <c r="V1013" s="3">
        <v>0</v>
      </c>
      <c r="W1013" s="3">
        <v>0</v>
      </c>
      <c r="X1013" s="3">
        <v>0</v>
      </c>
      <c r="Y1013" s="3">
        <v>0</v>
      </c>
      <c r="Z1013" s="3">
        <v>1</v>
      </c>
      <c r="AA1013" s="3">
        <v>0</v>
      </c>
    </row>
    <row r="1014" spans="1:27">
      <c r="A1014" t="s">
        <v>1097</v>
      </c>
      <c r="B1014" s="3">
        <v>3</v>
      </c>
      <c r="C1014" s="3">
        <v>0</v>
      </c>
      <c r="D1014" s="1">
        <v>37045</v>
      </c>
      <c r="E1014" s="1">
        <v>39082</v>
      </c>
      <c r="F1014" s="2">
        <f t="shared" si="15"/>
        <v>5.5770020533880906</v>
      </c>
      <c r="G1014" s="3">
        <v>1</v>
      </c>
      <c r="H1014" s="3">
        <v>0</v>
      </c>
      <c r="I1014" s="3">
        <v>0</v>
      </c>
      <c r="J1014" s="3">
        <v>0</v>
      </c>
      <c r="K1014" s="3">
        <v>1</v>
      </c>
      <c r="L1014" s="3">
        <v>1</v>
      </c>
      <c r="M1014" s="3">
        <v>0</v>
      </c>
      <c r="N1014" s="3">
        <v>1</v>
      </c>
      <c r="O1014" s="3">
        <v>1</v>
      </c>
      <c r="P1014" s="3">
        <v>1</v>
      </c>
      <c r="Q1014" s="3">
        <v>0</v>
      </c>
      <c r="R1014" s="3">
        <v>98.3</v>
      </c>
      <c r="S1014" s="2">
        <v>13.7</v>
      </c>
      <c r="T1014" t="s">
        <v>28</v>
      </c>
      <c r="U1014" s="3">
        <v>1</v>
      </c>
      <c r="V1014" s="3">
        <v>1</v>
      </c>
      <c r="W1014" s="3">
        <v>0</v>
      </c>
      <c r="X1014" s="3">
        <v>0</v>
      </c>
      <c r="Y1014" s="3">
        <v>0</v>
      </c>
      <c r="Z1014" s="3">
        <v>1</v>
      </c>
      <c r="AA1014" s="3">
        <v>0</v>
      </c>
    </row>
    <row r="1015" spans="1:27">
      <c r="A1015" t="s">
        <v>1098</v>
      </c>
      <c r="B1015" s="3">
        <v>3</v>
      </c>
      <c r="C1015" s="3">
        <v>0</v>
      </c>
      <c r="D1015" s="1">
        <v>38113</v>
      </c>
      <c r="E1015" s="1">
        <v>39082</v>
      </c>
      <c r="F1015" s="2">
        <f t="shared" si="15"/>
        <v>2.6529774127310062</v>
      </c>
      <c r="G1015" s="3">
        <v>1</v>
      </c>
      <c r="H1015" s="3">
        <v>1</v>
      </c>
      <c r="I1015" s="3">
        <v>0</v>
      </c>
      <c r="J1015" s="3">
        <v>0</v>
      </c>
      <c r="K1015" s="3">
        <v>0</v>
      </c>
      <c r="L1015" s="3">
        <v>0</v>
      </c>
      <c r="M1015" s="3">
        <v>0</v>
      </c>
      <c r="N1015" s="3">
        <v>1</v>
      </c>
      <c r="O1015" s="3">
        <v>0</v>
      </c>
      <c r="P1015" s="3">
        <v>0</v>
      </c>
      <c r="Q1015" s="3">
        <v>0</v>
      </c>
      <c r="R1015" s="3">
        <v>98.3</v>
      </c>
      <c r="S1015" s="2">
        <v>14</v>
      </c>
      <c r="T1015" t="s">
        <v>1099</v>
      </c>
      <c r="U1015" s="3">
        <v>0</v>
      </c>
      <c r="V1015" s="3">
        <v>1</v>
      </c>
      <c r="W1015" s="3">
        <v>1</v>
      </c>
      <c r="X1015" s="3">
        <v>1</v>
      </c>
      <c r="Y1015" s="3">
        <v>0</v>
      </c>
      <c r="Z1015" s="3">
        <v>1</v>
      </c>
      <c r="AA1015" s="3">
        <v>0</v>
      </c>
    </row>
    <row r="1016" spans="1:27">
      <c r="A1016" t="s">
        <v>1100</v>
      </c>
      <c r="B1016" s="3">
        <v>3</v>
      </c>
      <c r="C1016" s="3">
        <v>0</v>
      </c>
      <c r="D1016" s="1">
        <v>36925</v>
      </c>
      <c r="E1016" s="1">
        <v>39082</v>
      </c>
      <c r="F1016" s="2">
        <f t="shared" si="15"/>
        <v>5.9055441478439423</v>
      </c>
      <c r="G1016" s="3">
        <v>1</v>
      </c>
      <c r="H1016" s="3">
        <v>1</v>
      </c>
      <c r="I1016" s="3">
        <v>0</v>
      </c>
      <c r="J1016" s="3">
        <v>0</v>
      </c>
      <c r="K1016" s="3">
        <v>0</v>
      </c>
      <c r="L1016" s="3">
        <v>0</v>
      </c>
      <c r="M1016" s="3">
        <v>0</v>
      </c>
      <c r="N1016" s="3">
        <v>1</v>
      </c>
      <c r="O1016" s="3">
        <v>0</v>
      </c>
      <c r="P1016" s="3">
        <v>1</v>
      </c>
      <c r="Q1016" s="3">
        <v>0</v>
      </c>
      <c r="R1016" s="3">
        <v>98.3</v>
      </c>
      <c r="S1016" s="2">
        <v>14.7</v>
      </c>
      <c r="T1016" t="s">
        <v>28</v>
      </c>
      <c r="U1016" s="3">
        <v>1</v>
      </c>
      <c r="V1016" s="3">
        <v>1</v>
      </c>
      <c r="W1016" s="3">
        <v>0</v>
      </c>
      <c r="X1016" s="3">
        <v>0</v>
      </c>
      <c r="Y1016" s="3">
        <v>0</v>
      </c>
      <c r="Z1016" s="3">
        <v>1</v>
      </c>
      <c r="AA1016" s="3">
        <v>0</v>
      </c>
    </row>
    <row r="1017" spans="1:27">
      <c r="A1017" t="s">
        <v>1101</v>
      </c>
      <c r="B1017" s="3">
        <v>3</v>
      </c>
      <c r="C1017" s="3">
        <v>0</v>
      </c>
      <c r="D1017" s="1">
        <v>38231</v>
      </c>
      <c r="E1017" s="1">
        <v>39082</v>
      </c>
      <c r="F1017" s="2">
        <f t="shared" si="15"/>
        <v>2.3299110198494182</v>
      </c>
      <c r="G1017" s="3">
        <v>1</v>
      </c>
      <c r="H1017" s="3">
        <v>1</v>
      </c>
      <c r="I1017" s="3">
        <v>0</v>
      </c>
      <c r="J1017" s="3">
        <v>1</v>
      </c>
      <c r="K1017" s="3">
        <v>0</v>
      </c>
      <c r="L1017" s="3">
        <v>0</v>
      </c>
      <c r="M1017" s="3">
        <v>0</v>
      </c>
      <c r="N1017" s="3">
        <v>1</v>
      </c>
      <c r="O1017" s="3">
        <v>0</v>
      </c>
      <c r="P1017" s="3">
        <v>0</v>
      </c>
      <c r="Q1017" s="3">
        <v>0</v>
      </c>
      <c r="R1017" s="3">
        <v>98.4</v>
      </c>
      <c r="S1017" s="2">
        <v>14.9</v>
      </c>
      <c r="T1017" t="s">
        <v>44</v>
      </c>
      <c r="U1017" s="3">
        <v>0</v>
      </c>
      <c r="V1017" s="3">
        <v>0</v>
      </c>
      <c r="W1017" s="3">
        <v>1</v>
      </c>
      <c r="X1017" s="3">
        <v>1</v>
      </c>
      <c r="Y1017" s="3">
        <v>1</v>
      </c>
      <c r="Z1017" s="3">
        <v>1</v>
      </c>
      <c r="AA1017" s="3">
        <v>0</v>
      </c>
    </row>
    <row r="1018" spans="1:27">
      <c r="A1018" t="s">
        <v>1102</v>
      </c>
      <c r="B1018" s="3">
        <v>3</v>
      </c>
      <c r="C1018" s="3">
        <v>0</v>
      </c>
      <c r="D1018" s="1">
        <v>38200</v>
      </c>
      <c r="E1018" s="1">
        <v>39082</v>
      </c>
      <c r="F1018" s="2">
        <f t="shared" si="15"/>
        <v>2.4147843942505132</v>
      </c>
      <c r="G1018" s="3">
        <v>2</v>
      </c>
      <c r="H1018" s="3">
        <v>1</v>
      </c>
      <c r="I1018" s="3">
        <v>0</v>
      </c>
      <c r="J1018" s="3">
        <v>1</v>
      </c>
      <c r="K1018" s="3">
        <v>0</v>
      </c>
      <c r="L1018" s="3">
        <v>0</v>
      </c>
      <c r="M1018" s="3">
        <v>0</v>
      </c>
      <c r="N1018" s="3">
        <v>0</v>
      </c>
      <c r="O1018" s="3">
        <v>0</v>
      </c>
      <c r="P1018" s="3">
        <v>1</v>
      </c>
      <c r="Q1018" s="3">
        <v>0</v>
      </c>
      <c r="R1018" s="3">
        <v>98.4</v>
      </c>
      <c r="S1018" s="2">
        <v>15.5</v>
      </c>
      <c r="T1018" t="s">
        <v>28</v>
      </c>
      <c r="U1018" s="3">
        <v>1</v>
      </c>
      <c r="V1018" s="3">
        <v>1</v>
      </c>
      <c r="W1018" s="3">
        <v>1</v>
      </c>
      <c r="X1018" s="3">
        <v>0</v>
      </c>
      <c r="Y1018" s="3">
        <v>0</v>
      </c>
      <c r="Z1018" s="3">
        <v>0</v>
      </c>
      <c r="AA1018" s="3">
        <v>0</v>
      </c>
    </row>
    <row r="1019" spans="1:27">
      <c r="A1019" t="s">
        <v>1103</v>
      </c>
      <c r="B1019" s="3">
        <v>1</v>
      </c>
      <c r="C1019" s="3">
        <v>0</v>
      </c>
      <c r="D1019" s="1">
        <v>38235</v>
      </c>
      <c r="E1019" s="1">
        <v>39082</v>
      </c>
      <c r="F1019" s="2">
        <f t="shared" si="15"/>
        <v>2.3189596167008899</v>
      </c>
      <c r="G1019" s="3">
        <v>2</v>
      </c>
      <c r="H1019" s="3">
        <v>0</v>
      </c>
      <c r="I1019" s="3">
        <v>0</v>
      </c>
      <c r="J1019" s="3">
        <v>0</v>
      </c>
      <c r="K1019" s="3">
        <v>0</v>
      </c>
      <c r="L1019" s="3">
        <v>0</v>
      </c>
      <c r="M1019" s="3">
        <v>0</v>
      </c>
      <c r="N1019" s="3">
        <v>1</v>
      </c>
      <c r="O1019" s="3">
        <v>0</v>
      </c>
      <c r="P1019" s="3">
        <v>1</v>
      </c>
      <c r="Q1019" s="3">
        <v>0</v>
      </c>
      <c r="R1019" s="3">
        <v>98.5</v>
      </c>
      <c r="S1019" s="2">
        <v>13</v>
      </c>
      <c r="T1019" t="s">
        <v>28</v>
      </c>
      <c r="U1019" s="3">
        <v>1</v>
      </c>
      <c r="V1019" s="3">
        <v>0</v>
      </c>
      <c r="W1019" s="3">
        <v>0</v>
      </c>
      <c r="X1019" s="3">
        <v>0</v>
      </c>
      <c r="Y1019" s="3">
        <v>0</v>
      </c>
      <c r="Z1019" s="3">
        <v>0</v>
      </c>
      <c r="AA1019" s="3">
        <v>0</v>
      </c>
    </row>
    <row r="1020" spans="1:27">
      <c r="A1020" t="s">
        <v>1104</v>
      </c>
      <c r="B1020" s="3">
        <v>1</v>
      </c>
      <c r="C1020" s="3">
        <v>0</v>
      </c>
      <c r="D1020" s="1">
        <v>38152</v>
      </c>
      <c r="E1020" s="1">
        <v>39082</v>
      </c>
      <c r="F1020" s="2">
        <f t="shared" si="15"/>
        <v>2.5462012320328542</v>
      </c>
      <c r="G1020" s="3">
        <v>2</v>
      </c>
      <c r="H1020" s="3">
        <v>0</v>
      </c>
      <c r="I1020" s="3">
        <v>0</v>
      </c>
      <c r="J1020" s="3">
        <v>0</v>
      </c>
      <c r="K1020" s="3">
        <v>0</v>
      </c>
      <c r="L1020" s="3">
        <v>0</v>
      </c>
      <c r="M1020" s="3">
        <v>0</v>
      </c>
      <c r="N1020" s="3">
        <v>0</v>
      </c>
      <c r="O1020" s="3">
        <v>0</v>
      </c>
      <c r="P1020" s="3">
        <v>1</v>
      </c>
      <c r="Q1020" s="3">
        <v>0</v>
      </c>
      <c r="R1020" s="3">
        <v>98.5</v>
      </c>
      <c r="S1020" s="2">
        <v>14.3</v>
      </c>
      <c r="T1020" t="s">
        <v>28</v>
      </c>
      <c r="U1020" s="3">
        <v>0</v>
      </c>
      <c r="V1020" s="3">
        <v>1</v>
      </c>
      <c r="W1020" s="3">
        <v>0</v>
      </c>
      <c r="X1020" s="3">
        <v>0</v>
      </c>
      <c r="Y1020" s="3">
        <v>0</v>
      </c>
      <c r="Z1020" s="3">
        <v>0</v>
      </c>
      <c r="AA1020" s="3">
        <v>0</v>
      </c>
    </row>
    <row r="1021" spans="1:27">
      <c r="A1021" t="s">
        <v>1105</v>
      </c>
      <c r="B1021" s="3">
        <v>1</v>
      </c>
      <c r="C1021" s="3">
        <v>0</v>
      </c>
      <c r="D1021" s="1">
        <v>36815</v>
      </c>
      <c r="E1021" s="1">
        <v>39082</v>
      </c>
      <c r="F1021" s="2">
        <f t="shared" si="15"/>
        <v>6.2067077344284733</v>
      </c>
      <c r="G1021" s="3">
        <v>1</v>
      </c>
      <c r="H1021" s="3">
        <v>0</v>
      </c>
      <c r="I1021" s="3">
        <v>1</v>
      </c>
      <c r="J1021" s="3">
        <v>0</v>
      </c>
      <c r="K1021" s="3">
        <v>0</v>
      </c>
      <c r="L1021" s="3">
        <v>0</v>
      </c>
      <c r="M1021" s="3">
        <v>1</v>
      </c>
      <c r="N1021" s="3">
        <v>1</v>
      </c>
      <c r="O1021" s="3">
        <v>0</v>
      </c>
      <c r="P1021" s="3">
        <v>1</v>
      </c>
      <c r="Q1021" s="3">
        <v>0</v>
      </c>
      <c r="R1021" s="3">
        <v>98.5</v>
      </c>
      <c r="S1021" s="2">
        <v>14.5</v>
      </c>
      <c r="T1021" t="s">
        <v>28</v>
      </c>
      <c r="U1021" s="3">
        <v>1</v>
      </c>
      <c r="V1021" s="3">
        <v>0</v>
      </c>
      <c r="W1021" s="3">
        <v>1</v>
      </c>
      <c r="X1021" s="3">
        <v>1</v>
      </c>
      <c r="Y1021" s="3">
        <v>0</v>
      </c>
      <c r="Z1021" s="3">
        <v>1</v>
      </c>
      <c r="AA1021" s="3">
        <v>0</v>
      </c>
    </row>
    <row r="1022" spans="1:27">
      <c r="A1022" t="s">
        <v>1106</v>
      </c>
      <c r="B1022" s="3">
        <v>1</v>
      </c>
      <c r="C1022" s="3">
        <v>0</v>
      </c>
      <c r="D1022" s="1">
        <v>38258</v>
      </c>
      <c r="E1022" s="1">
        <v>39082</v>
      </c>
      <c r="F1022" s="2">
        <f t="shared" si="15"/>
        <v>2.2559890485968515</v>
      </c>
      <c r="G1022" s="3">
        <v>2</v>
      </c>
      <c r="H1022" s="3">
        <v>0</v>
      </c>
      <c r="I1022" s="3">
        <v>1</v>
      </c>
      <c r="J1022" s="3">
        <v>0</v>
      </c>
      <c r="K1022" s="3">
        <v>0</v>
      </c>
      <c r="L1022" s="3">
        <v>0</v>
      </c>
      <c r="M1022" s="3">
        <v>0</v>
      </c>
      <c r="N1022" s="3">
        <v>1</v>
      </c>
      <c r="O1022" s="3">
        <v>0</v>
      </c>
      <c r="P1022" s="3">
        <v>0</v>
      </c>
      <c r="Q1022" s="3">
        <v>0</v>
      </c>
      <c r="R1022" s="3">
        <v>98.5</v>
      </c>
      <c r="S1022" s="2">
        <v>14.4</v>
      </c>
      <c r="T1022" t="s">
        <v>92</v>
      </c>
      <c r="U1022" s="3">
        <v>1</v>
      </c>
      <c r="V1022" s="3">
        <v>1</v>
      </c>
      <c r="W1022" s="3">
        <v>0</v>
      </c>
      <c r="X1022" s="3">
        <v>0</v>
      </c>
      <c r="Y1022" s="3">
        <v>0</v>
      </c>
      <c r="Z1022" s="3">
        <v>0</v>
      </c>
      <c r="AA1022" s="3">
        <v>0</v>
      </c>
    </row>
    <row r="1023" spans="1:27">
      <c r="A1023" t="s">
        <v>1107</v>
      </c>
      <c r="B1023" s="3">
        <v>3</v>
      </c>
      <c r="C1023" s="3">
        <v>0</v>
      </c>
      <c r="D1023" s="1">
        <v>36797</v>
      </c>
      <c r="E1023" s="1">
        <v>39082</v>
      </c>
      <c r="F1023" s="2">
        <f t="shared" si="15"/>
        <v>6.2559890485968515</v>
      </c>
      <c r="G1023" s="3">
        <v>2</v>
      </c>
      <c r="H1023" s="3">
        <v>1</v>
      </c>
      <c r="I1023" s="3">
        <v>1</v>
      </c>
      <c r="J1023" s="3">
        <v>0</v>
      </c>
      <c r="K1023" s="3">
        <v>1</v>
      </c>
      <c r="L1023" s="3">
        <v>0</v>
      </c>
      <c r="M1023" s="3">
        <v>0</v>
      </c>
      <c r="N1023" s="3">
        <v>1</v>
      </c>
      <c r="O1023" s="3">
        <v>0</v>
      </c>
      <c r="P1023" s="3">
        <v>1</v>
      </c>
      <c r="Q1023" s="3">
        <v>0</v>
      </c>
      <c r="R1023" s="3">
        <v>98.6</v>
      </c>
      <c r="S1023" s="2">
        <v>13.4</v>
      </c>
      <c r="T1023" t="s">
        <v>1108</v>
      </c>
      <c r="U1023" s="3">
        <v>1</v>
      </c>
      <c r="V1023" s="3">
        <v>1</v>
      </c>
      <c r="W1023" s="3">
        <v>0</v>
      </c>
      <c r="X1023" s="3">
        <v>0</v>
      </c>
      <c r="Y1023" s="3">
        <v>0</v>
      </c>
      <c r="Z1023" s="3">
        <v>0</v>
      </c>
      <c r="AA1023" s="3">
        <v>0</v>
      </c>
    </row>
    <row r="1024" spans="1:27">
      <c r="A1024" t="s">
        <v>1109</v>
      </c>
      <c r="B1024" s="3">
        <v>2</v>
      </c>
      <c r="C1024" s="3">
        <v>0</v>
      </c>
      <c r="D1024" s="1">
        <v>37480</v>
      </c>
      <c r="E1024" s="1">
        <v>39082</v>
      </c>
      <c r="F1024" s="2">
        <f t="shared" si="15"/>
        <v>4.386036960985626</v>
      </c>
      <c r="G1024" s="3">
        <v>1</v>
      </c>
      <c r="H1024" s="3">
        <v>1</v>
      </c>
      <c r="I1024" s="3">
        <v>0</v>
      </c>
      <c r="J1024" s="3">
        <v>0</v>
      </c>
      <c r="K1024" s="3">
        <v>0</v>
      </c>
      <c r="L1024" s="3">
        <v>0</v>
      </c>
      <c r="M1024" s="3">
        <v>0</v>
      </c>
      <c r="N1024" s="3">
        <v>0</v>
      </c>
      <c r="O1024" s="3">
        <v>0</v>
      </c>
      <c r="P1024" s="3">
        <v>0</v>
      </c>
      <c r="Q1024" s="3">
        <v>0</v>
      </c>
      <c r="R1024" s="3">
        <v>98.7</v>
      </c>
      <c r="S1024" s="2">
        <v>15.9</v>
      </c>
      <c r="T1024" t="s">
        <v>28</v>
      </c>
      <c r="U1024" s="3">
        <v>1</v>
      </c>
      <c r="V1024" s="3">
        <v>1</v>
      </c>
      <c r="W1024" s="3">
        <v>0</v>
      </c>
      <c r="X1024" s="3">
        <v>0</v>
      </c>
      <c r="Y1024" s="3">
        <v>0</v>
      </c>
      <c r="Z1024" s="3">
        <v>1</v>
      </c>
      <c r="AA1024" s="3">
        <v>0</v>
      </c>
    </row>
    <row r="1025" spans="1:27">
      <c r="A1025" t="s">
        <v>1110</v>
      </c>
      <c r="B1025" s="3">
        <v>3</v>
      </c>
      <c r="C1025" s="3">
        <v>0</v>
      </c>
      <c r="D1025" s="1">
        <v>38222</v>
      </c>
      <c r="E1025" s="1">
        <v>39082</v>
      </c>
      <c r="F1025" s="2">
        <f t="shared" si="15"/>
        <v>2.3545516769336072</v>
      </c>
      <c r="G1025" s="3">
        <v>1</v>
      </c>
      <c r="H1025" s="3">
        <v>0</v>
      </c>
      <c r="I1025" s="3">
        <v>0</v>
      </c>
      <c r="J1025" s="3">
        <v>0</v>
      </c>
      <c r="K1025" s="3">
        <v>0</v>
      </c>
      <c r="L1025" s="3">
        <v>0</v>
      </c>
      <c r="M1025" s="3">
        <v>0</v>
      </c>
      <c r="N1025" s="3">
        <v>0</v>
      </c>
      <c r="O1025" s="3">
        <v>0</v>
      </c>
      <c r="P1025" s="3">
        <v>0</v>
      </c>
      <c r="Q1025" s="3">
        <v>0</v>
      </c>
      <c r="R1025" s="3">
        <v>98.8</v>
      </c>
      <c r="S1025" s="2">
        <v>13.9</v>
      </c>
      <c r="T1025" t="s">
        <v>44</v>
      </c>
      <c r="U1025" s="3">
        <v>0</v>
      </c>
      <c r="V1025" s="3">
        <v>1</v>
      </c>
      <c r="W1025" s="3">
        <v>1</v>
      </c>
      <c r="X1025" s="3">
        <v>1</v>
      </c>
      <c r="Y1025" s="3">
        <v>1</v>
      </c>
      <c r="Z1025" s="3">
        <v>1</v>
      </c>
      <c r="AA1025" s="3">
        <v>0</v>
      </c>
    </row>
    <row r="1026" spans="1:27">
      <c r="A1026" t="s">
        <v>1111</v>
      </c>
      <c r="B1026" s="3">
        <v>2</v>
      </c>
      <c r="C1026" s="3">
        <v>0</v>
      </c>
      <c r="D1026" s="1">
        <v>36650</v>
      </c>
      <c r="E1026" s="1">
        <v>39082</v>
      </c>
      <c r="F1026" s="2">
        <f t="shared" si="15"/>
        <v>6.6584531143052708</v>
      </c>
      <c r="G1026" s="3">
        <v>2</v>
      </c>
      <c r="H1026" s="3">
        <v>1</v>
      </c>
      <c r="I1026" s="3">
        <v>0</v>
      </c>
      <c r="J1026" s="3">
        <v>0</v>
      </c>
      <c r="K1026" s="3">
        <v>0</v>
      </c>
      <c r="L1026" s="3">
        <v>1</v>
      </c>
      <c r="M1026" s="3">
        <v>0</v>
      </c>
      <c r="N1026" s="3">
        <v>1</v>
      </c>
      <c r="O1026" s="3">
        <v>0</v>
      </c>
      <c r="P1026" s="3">
        <v>0</v>
      </c>
      <c r="Q1026" s="3">
        <v>0</v>
      </c>
      <c r="R1026" s="3">
        <v>98.8</v>
      </c>
      <c r="S1026" s="2">
        <v>14.1</v>
      </c>
      <c r="T1026" t="s">
        <v>66</v>
      </c>
      <c r="U1026" s="3">
        <v>1</v>
      </c>
      <c r="V1026" s="3">
        <v>1</v>
      </c>
      <c r="W1026" s="3">
        <v>0</v>
      </c>
      <c r="X1026" s="3">
        <v>0</v>
      </c>
      <c r="Y1026" s="3">
        <v>0</v>
      </c>
      <c r="Z1026" s="3">
        <v>0</v>
      </c>
      <c r="AA1026" s="3">
        <v>0</v>
      </c>
    </row>
    <row r="1027" spans="1:27">
      <c r="A1027" t="s">
        <v>1112</v>
      </c>
      <c r="B1027" s="3">
        <v>1</v>
      </c>
      <c r="C1027" s="3">
        <v>0</v>
      </c>
      <c r="D1027" s="1">
        <v>36887</v>
      </c>
      <c r="E1027" s="1">
        <v>39082</v>
      </c>
      <c r="F1027" s="2">
        <f t="shared" ref="F1027:F1081" si="16">(E1027-D1027)/365.25</f>
        <v>6.0095824777549627</v>
      </c>
      <c r="G1027" s="3">
        <v>2</v>
      </c>
      <c r="H1027" s="3">
        <v>0</v>
      </c>
      <c r="I1027" s="3">
        <v>0</v>
      </c>
      <c r="J1027" s="3">
        <v>1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  <c r="P1027" s="3">
        <v>0</v>
      </c>
      <c r="Q1027" s="3">
        <v>0</v>
      </c>
      <c r="R1027" s="3">
        <v>98.8</v>
      </c>
      <c r="S1027" s="2">
        <v>13</v>
      </c>
      <c r="T1027" t="s">
        <v>92</v>
      </c>
      <c r="U1027" s="3">
        <v>1</v>
      </c>
      <c r="V1027" s="3">
        <v>1</v>
      </c>
      <c r="W1027" s="3">
        <v>1</v>
      </c>
      <c r="X1027" s="3">
        <v>0</v>
      </c>
      <c r="Y1027" s="3">
        <v>0</v>
      </c>
      <c r="Z1027" s="3">
        <v>0</v>
      </c>
      <c r="AA1027" s="3">
        <v>0</v>
      </c>
    </row>
    <row r="1028" spans="1:27">
      <c r="A1028" t="s">
        <v>1113</v>
      </c>
      <c r="B1028" s="3">
        <v>1</v>
      </c>
      <c r="C1028" s="3">
        <v>0</v>
      </c>
      <c r="D1028" s="1">
        <v>36622</v>
      </c>
      <c r="E1028" s="1">
        <v>39082</v>
      </c>
      <c r="F1028" s="2">
        <f t="shared" si="16"/>
        <v>6.7351129363449695</v>
      </c>
      <c r="G1028" s="3">
        <v>1</v>
      </c>
      <c r="H1028" s="3">
        <v>0</v>
      </c>
      <c r="I1028" s="3">
        <v>0</v>
      </c>
      <c r="J1028" s="3">
        <v>0</v>
      </c>
      <c r="K1028" s="3">
        <v>1</v>
      </c>
      <c r="L1028" s="3">
        <v>0</v>
      </c>
      <c r="M1028" s="3">
        <v>0</v>
      </c>
      <c r="N1028" s="3">
        <v>1</v>
      </c>
      <c r="O1028" s="3">
        <v>0</v>
      </c>
      <c r="P1028" s="3">
        <v>1</v>
      </c>
      <c r="Q1028" s="3">
        <v>0</v>
      </c>
      <c r="R1028" s="3">
        <v>99</v>
      </c>
      <c r="S1028" s="2">
        <v>14.7</v>
      </c>
      <c r="T1028" t="s">
        <v>1114</v>
      </c>
      <c r="U1028" s="3">
        <v>1</v>
      </c>
      <c r="V1028" s="3">
        <v>1</v>
      </c>
      <c r="W1028" s="3">
        <v>0</v>
      </c>
      <c r="X1028" s="3">
        <v>0</v>
      </c>
      <c r="Y1028" s="3">
        <v>0</v>
      </c>
      <c r="Z1028" s="3">
        <v>1</v>
      </c>
      <c r="AA1028" s="3">
        <v>0</v>
      </c>
    </row>
    <row r="1029" spans="1:27">
      <c r="A1029" t="s">
        <v>1115</v>
      </c>
      <c r="B1029" s="3">
        <v>1</v>
      </c>
      <c r="C1029" s="3">
        <v>0</v>
      </c>
      <c r="D1029" s="1">
        <v>36753</v>
      </c>
      <c r="E1029" s="1">
        <v>39082</v>
      </c>
      <c r="F1029" s="2">
        <f t="shared" si="16"/>
        <v>6.3764544832306642</v>
      </c>
      <c r="G1029" s="3">
        <v>1</v>
      </c>
      <c r="H1029" s="3">
        <v>1</v>
      </c>
      <c r="I1029" s="3">
        <v>1</v>
      </c>
      <c r="J1029" s="3">
        <v>0</v>
      </c>
      <c r="K1029" s="3">
        <v>1</v>
      </c>
      <c r="L1029" s="3">
        <v>0</v>
      </c>
      <c r="M1029" s="3">
        <v>0</v>
      </c>
      <c r="N1029" s="3">
        <v>1</v>
      </c>
      <c r="O1029" s="3">
        <v>1</v>
      </c>
      <c r="P1029" s="3">
        <v>1</v>
      </c>
      <c r="Q1029" s="3">
        <v>0</v>
      </c>
      <c r="R1029" s="3">
        <v>99</v>
      </c>
      <c r="S1029" s="2">
        <v>13</v>
      </c>
      <c r="T1029" t="s">
        <v>1116</v>
      </c>
      <c r="U1029" s="3">
        <v>1</v>
      </c>
      <c r="V1029" s="3">
        <v>1</v>
      </c>
      <c r="W1029" s="3">
        <v>1</v>
      </c>
      <c r="X1029" s="3">
        <v>1</v>
      </c>
      <c r="Y1029" s="3">
        <v>0</v>
      </c>
      <c r="Z1029" s="3">
        <v>1</v>
      </c>
      <c r="AA1029" s="3">
        <v>0</v>
      </c>
    </row>
    <row r="1030" spans="1:27">
      <c r="A1030" t="s">
        <v>78</v>
      </c>
      <c r="B1030" s="3">
        <v>2</v>
      </c>
      <c r="C1030" s="3">
        <v>0</v>
      </c>
      <c r="D1030" s="1">
        <v>36928</v>
      </c>
      <c r="E1030" s="1">
        <v>39082</v>
      </c>
      <c r="F1030" s="2">
        <f t="shared" si="16"/>
        <v>5.8973305954825461</v>
      </c>
      <c r="G1030" s="3">
        <v>1</v>
      </c>
      <c r="H1030" s="3">
        <v>1</v>
      </c>
      <c r="I1030" s="3">
        <v>0</v>
      </c>
      <c r="J1030" s="3">
        <v>0</v>
      </c>
      <c r="K1030" s="3">
        <v>0</v>
      </c>
      <c r="L1030" s="3">
        <v>1</v>
      </c>
      <c r="M1030" s="3">
        <v>0</v>
      </c>
      <c r="N1030" s="3">
        <v>0</v>
      </c>
      <c r="O1030" s="3">
        <v>0</v>
      </c>
      <c r="P1030" s="3">
        <v>0</v>
      </c>
      <c r="Q1030" s="3">
        <v>0</v>
      </c>
      <c r="R1030" s="3">
        <v>99.1</v>
      </c>
      <c r="S1030" s="2">
        <v>14.2</v>
      </c>
      <c r="T1030" t="s">
        <v>283</v>
      </c>
      <c r="U1030" s="3">
        <v>1</v>
      </c>
      <c r="V1030" s="3">
        <v>1</v>
      </c>
      <c r="W1030" s="3">
        <v>0</v>
      </c>
      <c r="X1030" s="3">
        <v>0</v>
      </c>
      <c r="Y1030" s="3">
        <v>0</v>
      </c>
      <c r="Z1030" s="3">
        <v>1</v>
      </c>
      <c r="AA1030" s="3">
        <v>0</v>
      </c>
    </row>
    <row r="1031" spans="1:27">
      <c r="A1031" t="s">
        <v>1117</v>
      </c>
      <c r="B1031" s="3">
        <v>2</v>
      </c>
      <c r="C1031" s="3">
        <v>0</v>
      </c>
      <c r="D1031" s="1">
        <v>37049</v>
      </c>
      <c r="E1031" s="1">
        <v>39082</v>
      </c>
      <c r="F1031" s="2">
        <f t="shared" si="16"/>
        <v>5.5660506502395624</v>
      </c>
      <c r="G1031" s="3">
        <v>1</v>
      </c>
      <c r="H1031" s="3">
        <v>1</v>
      </c>
      <c r="I1031" s="3">
        <v>0</v>
      </c>
      <c r="J1031" s="3">
        <v>0</v>
      </c>
      <c r="K1031" s="3">
        <v>0</v>
      </c>
      <c r="L1031" s="3">
        <v>1</v>
      </c>
      <c r="M1031" s="3">
        <v>0</v>
      </c>
      <c r="N1031" s="3">
        <v>0</v>
      </c>
      <c r="O1031" s="3">
        <v>0</v>
      </c>
      <c r="P1031" s="3">
        <v>0</v>
      </c>
      <c r="Q1031" s="3">
        <v>0</v>
      </c>
      <c r="R1031" s="3">
        <v>99.2</v>
      </c>
      <c r="S1031" s="2">
        <v>14.7</v>
      </c>
      <c r="T1031" t="s">
        <v>28</v>
      </c>
      <c r="U1031" s="3">
        <v>1</v>
      </c>
      <c r="V1031" s="3">
        <v>1</v>
      </c>
      <c r="W1031" s="3">
        <v>1</v>
      </c>
      <c r="X1031" s="3">
        <v>1</v>
      </c>
      <c r="Y1031" s="3">
        <v>0</v>
      </c>
      <c r="Z1031" s="3">
        <v>1</v>
      </c>
      <c r="AA1031" s="3">
        <v>0</v>
      </c>
    </row>
    <row r="1032" spans="1:27">
      <c r="A1032" t="s">
        <v>1118</v>
      </c>
      <c r="B1032" s="3">
        <v>3</v>
      </c>
      <c r="C1032" s="3">
        <v>0</v>
      </c>
      <c r="D1032" s="1">
        <v>37987</v>
      </c>
      <c r="E1032" s="1">
        <v>39082</v>
      </c>
      <c r="F1032" s="2">
        <f t="shared" si="16"/>
        <v>2.9979466119096507</v>
      </c>
      <c r="G1032" s="3">
        <v>2</v>
      </c>
      <c r="H1032" s="3">
        <v>1</v>
      </c>
      <c r="I1032" s="3">
        <v>0</v>
      </c>
      <c r="J1032" s="3">
        <v>1</v>
      </c>
      <c r="K1032" s="3">
        <v>0</v>
      </c>
      <c r="L1032" s="3">
        <v>0</v>
      </c>
      <c r="M1032" s="3">
        <v>0</v>
      </c>
      <c r="N1032" s="3">
        <v>0</v>
      </c>
      <c r="O1032" s="3">
        <v>0</v>
      </c>
      <c r="P1032" s="3">
        <v>0</v>
      </c>
      <c r="Q1032" s="3">
        <v>0</v>
      </c>
      <c r="R1032" s="3">
        <v>99.2</v>
      </c>
      <c r="S1032" s="2">
        <v>15</v>
      </c>
      <c r="T1032" t="s">
        <v>28</v>
      </c>
      <c r="U1032" s="3">
        <v>0</v>
      </c>
      <c r="V1032" s="3">
        <v>0</v>
      </c>
      <c r="W1032" s="3">
        <v>1</v>
      </c>
      <c r="X1032" s="3">
        <v>0</v>
      </c>
      <c r="Y1032" s="3">
        <v>0</v>
      </c>
      <c r="Z1032" s="3">
        <v>0</v>
      </c>
      <c r="AA1032" s="3">
        <v>0</v>
      </c>
    </row>
    <row r="1033" spans="1:27">
      <c r="A1033" t="s">
        <v>1119</v>
      </c>
      <c r="B1033" s="3">
        <v>2</v>
      </c>
      <c r="C1033" s="3">
        <v>0</v>
      </c>
      <c r="D1033" s="1">
        <v>36661</v>
      </c>
      <c r="E1033" s="1">
        <v>39082</v>
      </c>
      <c r="F1033" s="2">
        <f t="shared" si="16"/>
        <v>6.6283367556468171</v>
      </c>
      <c r="G1033" s="3">
        <v>1</v>
      </c>
      <c r="H1033" s="3">
        <v>1</v>
      </c>
      <c r="I1033" s="3">
        <v>1</v>
      </c>
      <c r="J1033" s="3">
        <v>1</v>
      </c>
      <c r="K1033" s="3">
        <v>0</v>
      </c>
      <c r="L1033" s="3">
        <v>0</v>
      </c>
      <c r="M1033" s="3">
        <v>0</v>
      </c>
      <c r="N1033" s="3">
        <v>1</v>
      </c>
      <c r="O1033" s="3">
        <v>0</v>
      </c>
      <c r="P1033" s="3">
        <v>1</v>
      </c>
      <c r="Q1033" s="3">
        <v>0</v>
      </c>
      <c r="R1033" s="3">
        <v>99.2</v>
      </c>
      <c r="S1033" s="2">
        <v>14.9</v>
      </c>
      <c r="T1033" t="s">
        <v>59</v>
      </c>
      <c r="U1033" s="3">
        <v>1</v>
      </c>
      <c r="V1033" s="3">
        <v>1</v>
      </c>
      <c r="W1033" s="3">
        <v>1</v>
      </c>
      <c r="X1033" s="3">
        <v>1</v>
      </c>
      <c r="Y1033" s="3">
        <v>1</v>
      </c>
      <c r="Z1033" s="3">
        <v>1</v>
      </c>
      <c r="AA1033" s="3">
        <v>0</v>
      </c>
    </row>
    <row r="1034" spans="1:27">
      <c r="A1034" t="s">
        <v>1120</v>
      </c>
      <c r="B1034" s="3">
        <v>2</v>
      </c>
      <c r="C1034" s="3">
        <v>1</v>
      </c>
      <c r="D1034" s="1">
        <v>36667</v>
      </c>
      <c r="E1034" s="1">
        <v>39082</v>
      </c>
      <c r="F1034" s="2">
        <f t="shared" si="16"/>
        <v>6.6119096509240247</v>
      </c>
      <c r="G1034" s="3">
        <v>1</v>
      </c>
      <c r="H1034" s="3">
        <v>0</v>
      </c>
      <c r="I1034" s="3">
        <v>0</v>
      </c>
      <c r="J1034" s="3">
        <v>0</v>
      </c>
      <c r="K1034" s="3">
        <v>0</v>
      </c>
      <c r="L1034" s="3">
        <v>0</v>
      </c>
      <c r="M1034" s="3">
        <v>0</v>
      </c>
      <c r="N1034" s="3">
        <v>0</v>
      </c>
      <c r="O1034" s="3">
        <v>0</v>
      </c>
      <c r="P1034" s="3">
        <v>0</v>
      </c>
      <c r="Q1034" s="3">
        <v>0</v>
      </c>
      <c r="R1034" s="3">
        <v>99.3</v>
      </c>
      <c r="S1034" s="2">
        <v>13.4</v>
      </c>
      <c r="T1034" t="s">
        <v>66</v>
      </c>
      <c r="U1034" s="3">
        <v>1</v>
      </c>
      <c r="V1034" s="3">
        <v>1</v>
      </c>
      <c r="W1034" s="3">
        <v>1</v>
      </c>
      <c r="X1034" s="3">
        <v>1</v>
      </c>
      <c r="Y1034" s="3">
        <v>0</v>
      </c>
      <c r="Z1034" s="3">
        <v>1</v>
      </c>
      <c r="AA1034" s="3">
        <v>0</v>
      </c>
    </row>
    <row r="1035" spans="1:27">
      <c r="A1035" t="s">
        <v>1121</v>
      </c>
      <c r="B1035" s="3">
        <v>1</v>
      </c>
      <c r="C1035" s="3">
        <v>0</v>
      </c>
      <c r="D1035" s="1">
        <v>37993</v>
      </c>
      <c r="E1035" s="1">
        <v>39082</v>
      </c>
      <c r="F1035" s="2">
        <f t="shared" si="16"/>
        <v>2.9815195071868583</v>
      </c>
      <c r="G1035" s="3">
        <v>1</v>
      </c>
      <c r="H1035" s="3">
        <v>1</v>
      </c>
      <c r="I1035" s="3">
        <v>0</v>
      </c>
      <c r="J1035" s="3">
        <v>0</v>
      </c>
      <c r="K1035" s="3">
        <v>0</v>
      </c>
      <c r="L1035" s="3">
        <v>1</v>
      </c>
      <c r="M1035" s="3">
        <v>0</v>
      </c>
      <c r="N1035" s="3">
        <v>0</v>
      </c>
      <c r="O1035" s="3">
        <v>0</v>
      </c>
      <c r="P1035" s="3">
        <v>0</v>
      </c>
      <c r="Q1035" s="3">
        <v>0</v>
      </c>
      <c r="R1035" s="3">
        <v>99.3</v>
      </c>
      <c r="S1035" s="2">
        <v>14.1</v>
      </c>
      <c r="T1035" t="s">
        <v>92</v>
      </c>
      <c r="U1035" s="3">
        <v>1</v>
      </c>
      <c r="V1035" s="3">
        <v>1</v>
      </c>
      <c r="W1035" s="3">
        <v>1</v>
      </c>
      <c r="X1035" s="3">
        <v>0</v>
      </c>
      <c r="Y1035" s="3">
        <v>0</v>
      </c>
      <c r="Z1035" s="3">
        <v>1</v>
      </c>
      <c r="AA1035" s="3">
        <v>0</v>
      </c>
    </row>
    <row r="1036" spans="1:27">
      <c r="A1036" t="s">
        <v>1122</v>
      </c>
      <c r="B1036" s="3">
        <v>3</v>
      </c>
      <c r="C1036" s="3">
        <v>0</v>
      </c>
      <c r="D1036" s="1">
        <v>38155</v>
      </c>
      <c r="E1036" s="1">
        <v>39082</v>
      </c>
      <c r="F1036" s="2">
        <f t="shared" si="16"/>
        <v>2.537987679671458</v>
      </c>
      <c r="G1036" s="3">
        <v>1</v>
      </c>
      <c r="H1036" s="3">
        <v>1</v>
      </c>
      <c r="I1036" s="3">
        <v>0</v>
      </c>
      <c r="J1036" s="3">
        <v>0</v>
      </c>
      <c r="K1036" s="3">
        <v>0</v>
      </c>
      <c r="L1036" s="3">
        <v>0</v>
      </c>
      <c r="M1036" s="3">
        <v>0</v>
      </c>
      <c r="N1036" s="3">
        <v>0</v>
      </c>
      <c r="O1036" s="3">
        <v>0</v>
      </c>
      <c r="P1036" s="3">
        <v>1</v>
      </c>
      <c r="Q1036" s="3">
        <v>0</v>
      </c>
      <c r="R1036" s="3">
        <v>99.3</v>
      </c>
      <c r="S1036" s="2">
        <v>13.7</v>
      </c>
      <c r="T1036" t="s">
        <v>28</v>
      </c>
      <c r="U1036" s="3">
        <v>1</v>
      </c>
      <c r="V1036" s="3">
        <v>1</v>
      </c>
      <c r="W1036" s="3">
        <v>0</v>
      </c>
      <c r="X1036" s="3">
        <v>0</v>
      </c>
      <c r="Y1036" s="3">
        <v>0</v>
      </c>
      <c r="Z1036" s="3">
        <v>1</v>
      </c>
      <c r="AA1036" s="3">
        <v>0</v>
      </c>
    </row>
    <row r="1037" spans="1:27">
      <c r="A1037" t="s">
        <v>1123</v>
      </c>
      <c r="B1037" s="3">
        <v>1</v>
      </c>
      <c r="C1037" s="3">
        <v>0</v>
      </c>
      <c r="D1037" s="1">
        <v>36761</v>
      </c>
      <c r="E1037" s="1">
        <v>39082</v>
      </c>
      <c r="F1037" s="2">
        <f t="shared" si="16"/>
        <v>6.3545516769336068</v>
      </c>
      <c r="G1037" s="3">
        <v>1</v>
      </c>
      <c r="H1037" s="3">
        <v>1</v>
      </c>
      <c r="I1037" s="3">
        <v>1</v>
      </c>
      <c r="J1037" s="3">
        <v>0</v>
      </c>
      <c r="K1037" s="3">
        <v>0</v>
      </c>
      <c r="L1037" s="3">
        <v>0</v>
      </c>
      <c r="M1037" s="3">
        <v>1</v>
      </c>
      <c r="N1037" s="3">
        <v>1</v>
      </c>
      <c r="O1037" s="3">
        <v>0</v>
      </c>
      <c r="P1037" s="3">
        <v>1</v>
      </c>
      <c r="Q1037" s="3">
        <v>0</v>
      </c>
      <c r="R1037" s="3">
        <v>99.3</v>
      </c>
      <c r="S1037" s="2">
        <v>15.7</v>
      </c>
      <c r="T1037" t="s">
        <v>28</v>
      </c>
      <c r="U1037" s="3">
        <v>0</v>
      </c>
      <c r="V1037" s="3">
        <v>1</v>
      </c>
      <c r="W1037" s="3">
        <v>0</v>
      </c>
      <c r="X1037" s="3">
        <v>0</v>
      </c>
      <c r="Y1037" s="3">
        <v>0</v>
      </c>
      <c r="Z1037" s="3">
        <v>1</v>
      </c>
      <c r="AA1037" s="3">
        <v>0</v>
      </c>
    </row>
    <row r="1038" spans="1:27">
      <c r="A1038" t="s">
        <v>1124</v>
      </c>
      <c r="B1038" s="3">
        <v>3</v>
      </c>
      <c r="C1038" s="3">
        <v>0</v>
      </c>
      <c r="D1038" s="1">
        <v>36894</v>
      </c>
      <c r="E1038" s="1">
        <v>39082</v>
      </c>
      <c r="F1038" s="2">
        <f t="shared" si="16"/>
        <v>5.9904175222450373</v>
      </c>
      <c r="G1038" s="3">
        <v>2</v>
      </c>
      <c r="H1038" s="3">
        <v>1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1</v>
      </c>
      <c r="O1038" s="3">
        <v>0</v>
      </c>
      <c r="P1038" s="3">
        <v>1</v>
      </c>
      <c r="Q1038" s="3">
        <v>0</v>
      </c>
      <c r="R1038" s="3">
        <v>99.4</v>
      </c>
      <c r="S1038" s="2">
        <v>15.3</v>
      </c>
      <c r="T1038" t="s">
        <v>1125</v>
      </c>
      <c r="U1038" s="3">
        <v>1</v>
      </c>
      <c r="V1038" s="3">
        <v>1</v>
      </c>
      <c r="W1038" s="3">
        <v>1</v>
      </c>
      <c r="X1038" s="3">
        <v>1</v>
      </c>
      <c r="Y1038" s="3">
        <v>0</v>
      </c>
      <c r="Z1038" s="3">
        <v>0</v>
      </c>
      <c r="AA1038" s="3">
        <v>0</v>
      </c>
    </row>
    <row r="1039" spans="1:27">
      <c r="A1039" t="s">
        <v>1126</v>
      </c>
      <c r="B1039" s="3">
        <v>2</v>
      </c>
      <c r="C1039" s="3">
        <v>0</v>
      </c>
      <c r="D1039" s="1">
        <v>36703</v>
      </c>
      <c r="E1039" s="1">
        <v>39082</v>
      </c>
      <c r="F1039" s="2">
        <f t="shared" si="16"/>
        <v>6.5133470225872694</v>
      </c>
      <c r="G1039" s="3">
        <v>1</v>
      </c>
      <c r="H1039" s="3">
        <v>0</v>
      </c>
      <c r="I1039" s="3">
        <v>1</v>
      </c>
      <c r="J1039" s="3">
        <v>0</v>
      </c>
      <c r="K1039" s="3">
        <v>0</v>
      </c>
      <c r="L1039" s="3">
        <v>0</v>
      </c>
      <c r="M1039" s="3">
        <v>0</v>
      </c>
      <c r="N1039" s="3">
        <v>0</v>
      </c>
      <c r="O1039" s="3">
        <v>0</v>
      </c>
      <c r="P1039" s="3">
        <v>0</v>
      </c>
      <c r="Q1039" s="3">
        <v>0</v>
      </c>
      <c r="R1039" s="3">
        <v>99.4</v>
      </c>
      <c r="S1039" s="2">
        <v>13.8</v>
      </c>
      <c r="T1039" t="s">
        <v>28</v>
      </c>
      <c r="U1039" s="3">
        <v>1</v>
      </c>
      <c r="V1039" s="3">
        <v>1</v>
      </c>
      <c r="W1039" s="3">
        <v>0</v>
      </c>
      <c r="X1039" s="3">
        <v>1</v>
      </c>
      <c r="Y1039" s="3">
        <v>0</v>
      </c>
      <c r="Z1039" s="3">
        <v>1</v>
      </c>
      <c r="AA1039" s="3">
        <v>0</v>
      </c>
    </row>
    <row r="1040" spans="1:27">
      <c r="A1040" t="s">
        <v>1127</v>
      </c>
      <c r="B1040" s="3">
        <v>2</v>
      </c>
      <c r="C1040" s="3">
        <v>0</v>
      </c>
      <c r="D1040" s="1">
        <v>38317</v>
      </c>
      <c r="E1040" s="1">
        <v>39082</v>
      </c>
      <c r="F1040" s="2">
        <f t="shared" si="16"/>
        <v>2.0944558521560577</v>
      </c>
      <c r="G1040" s="3">
        <v>1</v>
      </c>
      <c r="H1040" s="3">
        <v>1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1</v>
      </c>
      <c r="O1040" s="3">
        <v>0</v>
      </c>
      <c r="P1040" s="3">
        <v>0</v>
      </c>
      <c r="Q1040" s="3">
        <v>0</v>
      </c>
      <c r="R1040" s="3">
        <v>99.5</v>
      </c>
      <c r="S1040" s="2">
        <v>14.6</v>
      </c>
      <c r="T1040" t="s">
        <v>28</v>
      </c>
      <c r="U1040" s="3">
        <v>1</v>
      </c>
      <c r="V1040" s="3">
        <v>1</v>
      </c>
      <c r="W1040" s="3">
        <v>0</v>
      </c>
      <c r="X1040" s="3">
        <v>0</v>
      </c>
      <c r="Y1040" s="3">
        <v>0</v>
      </c>
      <c r="Z1040" s="3">
        <v>1</v>
      </c>
      <c r="AA1040" s="3">
        <v>0</v>
      </c>
    </row>
    <row r="1041" spans="1:27">
      <c r="A1041" t="s">
        <v>1128</v>
      </c>
      <c r="B1041" s="3">
        <v>3</v>
      </c>
      <c r="C1041" s="3">
        <v>0</v>
      </c>
      <c r="D1041" s="1">
        <v>38217</v>
      </c>
      <c r="E1041" s="1">
        <v>39082</v>
      </c>
      <c r="F1041" s="2">
        <f t="shared" si="16"/>
        <v>2.3682409308692676</v>
      </c>
      <c r="G1041" s="3">
        <v>2</v>
      </c>
      <c r="H1041" s="3">
        <v>1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1</v>
      </c>
      <c r="O1041" s="3">
        <v>0</v>
      </c>
      <c r="P1041" s="3">
        <v>0</v>
      </c>
      <c r="Q1041" s="3">
        <v>0</v>
      </c>
      <c r="R1041" s="3">
        <v>99.5</v>
      </c>
      <c r="S1041" s="2">
        <v>14.9</v>
      </c>
      <c r="T1041" t="s">
        <v>28</v>
      </c>
      <c r="U1041" s="3">
        <v>0</v>
      </c>
      <c r="V1041" s="3">
        <v>1</v>
      </c>
      <c r="W1041" s="3">
        <v>0</v>
      </c>
      <c r="X1041" s="3">
        <v>0</v>
      </c>
      <c r="Y1041" s="3">
        <v>0</v>
      </c>
      <c r="Z1041" s="3">
        <v>0</v>
      </c>
      <c r="AA1041" s="3">
        <v>0</v>
      </c>
    </row>
    <row r="1042" spans="1:27">
      <c r="A1042" t="s">
        <v>1129</v>
      </c>
      <c r="B1042" s="3">
        <v>3</v>
      </c>
      <c r="C1042" s="3">
        <v>0</v>
      </c>
      <c r="D1042" s="1">
        <v>36647</v>
      </c>
      <c r="E1042" s="1">
        <v>39082</v>
      </c>
      <c r="F1042" s="2">
        <f t="shared" si="16"/>
        <v>6.666666666666667</v>
      </c>
      <c r="G1042" s="3">
        <v>2</v>
      </c>
      <c r="H1042" s="3">
        <v>1</v>
      </c>
      <c r="I1042" s="3">
        <v>0</v>
      </c>
      <c r="J1042" s="3">
        <v>0</v>
      </c>
      <c r="K1042" s="3">
        <v>0</v>
      </c>
      <c r="L1042" s="3">
        <v>0</v>
      </c>
      <c r="M1042" s="3">
        <v>0</v>
      </c>
      <c r="N1042" s="3">
        <v>0</v>
      </c>
      <c r="O1042" s="3">
        <v>0</v>
      </c>
      <c r="P1042" s="3">
        <v>1</v>
      </c>
      <c r="Q1042" s="3">
        <v>0</v>
      </c>
      <c r="R1042" s="3">
        <v>99.5</v>
      </c>
      <c r="S1042" s="2">
        <v>16.399999999999999</v>
      </c>
      <c r="T1042" t="s">
        <v>28</v>
      </c>
      <c r="U1042" s="3">
        <v>1</v>
      </c>
      <c r="V1042" s="3">
        <v>1</v>
      </c>
      <c r="W1042" s="3">
        <v>1</v>
      </c>
      <c r="X1042" s="3">
        <v>0</v>
      </c>
      <c r="Y1042" s="3">
        <v>0</v>
      </c>
      <c r="Z1042" s="3">
        <v>0</v>
      </c>
      <c r="AA1042" s="3">
        <v>0</v>
      </c>
    </row>
    <row r="1043" spans="1:27">
      <c r="A1043" t="s">
        <v>1130</v>
      </c>
      <c r="B1043" s="3">
        <v>1</v>
      </c>
      <c r="C1043" s="3">
        <v>0</v>
      </c>
      <c r="D1043" s="1">
        <v>36732</v>
      </c>
      <c r="E1043" s="1">
        <v>39082</v>
      </c>
      <c r="F1043" s="2">
        <f t="shared" si="16"/>
        <v>6.4339493497604376</v>
      </c>
      <c r="G1043" s="3">
        <v>1</v>
      </c>
      <c r="H1043" s="3">
        <v>1</v>
      </c>
      <c r="I1043" s="3">
        <v>1</v>
      </c>
      <c r="J1043" s="3">
        <v>0</v>
      </c>
      <c r="K1043" s="3">
        <v>0</v>
      </c>
      <c r="L1043" s="3">
        <v>0</v>
      </c>
      <c r="M1043" s="3">
        <v>0</v>
      </c>
      <c r="N1043" s="3">
        <v>1</v>
      </c>
      <c r="O1043" s="3">
        <v>0</v>
      </c>
      <c r="P1043" s="3">
        <v>0</v>
      </c>
      <c r="Q1043" s="3">
        <v>0</v>
      </c>
      <c r="R1043" s="3">
        <v>99.5</v>
      </c>
      <c r="S1043" s="2">
        <v>14.3</v>
      </c>
      <c r="T1043" t="s">
        <v>336</v>
      </c>
      <c r="U1043" s="3">
        <v>1</v>
      </c>
      <c r="V1043" s="3">
        <v>1</v>
      </c>
      <c r="W1043" s="3">
        <v>0</v>
      </c>
      <c r="X1043" s="3">
        <v>0</v>
      </c>
      <c r="Y1043" s="3">
        <v>0</v>
      </c>
      <c r="Z1043" s="3">
        <v>1</v>
      </c>
      <c r="AA1043" s="3">
        <v>0</v>
      </c>
    </row>
    <row r="1044" spans="1:27">
      <c r="A1044" t="s">
        <v>1131</v>
      </c>
      <c r="B1044" s="3">
        <v>3</v>
      </c>
      <c r="C1044" s="3">
        <v>0</v>
      </c>
      <c r="D1044" s="1">
        <v>38231</v>
      </c>
      <c r="E1044" s="1">
        <v>39082</v>
      </c>
      <c r="F1044" s="2">
        <f t="shared" si="16"/>
        <v>2.3299110198494182</v>
      </c>
      <c r="G1044" s="3">
        <v>1</v>
      </c>
      <c r="H1044" s="3">
        <v>1</v>
      </c>
      <c r="I1044" s="3">
        <v>0</v>
      </c>
      <c r="J1044" s="3">
        <v>1</v>
      </c>
      <c r="K1044" s="3">
        <v>0</v>
      </c>
      <c r="L1044" s="3">
        <v>0</v>
      </c>
      <c r="M1044" s="3">
        <v>0</v>
      </c>
      <c r="N1044" s="3">
        <v>0</v>
      </c>
      <c r="O1044" s="3">
        <v>0</v>
      </c>
      <c r="P1044" s="3">
        <v>0</v>
      </c>
      <c r="Q1044" s="3">
        <v>0</v>
      </c>
      <c r="R1044" s="3">
        <v>99.6</v>
      </c>
      <c r="S1044" s="2">
        <v>16.100000000000001</v>
      </c>
      <c r="T1044" t="s">
        <v>28</v>
      </c>
      <c r="U1044" s="3">
        <v>0</v>
      </c>
      <c r="V1044" s="3">
        <v>0</v>
      </c>
      <c r="W1044" s="3">
        <v>0</v>
      </c>
      <c r="X1044" s="3">
        <v>0</v>
      </c>
      <c r="Y1044" s="3">
        <v>0</v>
      </c>
      <c r="Z1044" s="3">
        <v>1</v>
      </c>
      <c r="AA1044" s="3">
        <v>0</v>
      </c>
    </row>
    <row r="1045" spans="1:27">
      <c r="A1045" t="s">
        <v>1132</v>
      </c>
      <c r="B1045" s="3">
        <v>2</v>
      </c>
      <c r="C1045" s="3">
        <v>0</v>
      </c>
      <c r="D1045" s="1">
        <v>36854</v>
      </c>
      <c r="E1045" s="1">
        <v>39082</v>
      </c>
      <c r="F1045" s="2">
        <f t="shared" si="16"/>
        <v>6.0999315537303218</v>
      </c>
      <c r="G1045" s="3">
        <v>2</v>
      </c>
      <c r="H1045" s="3">
        <v>1</v>
      </c>
      <c r="I1045" s="3">
        <v>0</v>
      </c>
      <c r="J1045" s="3">
        <v>0</v>
      </c>
      <c r="K1045" s="3">
        <v>0</v>
      </c>
      <c r="L1045" s="3">
        <v>0</v>
      </c>
      <c r="M1045" s="3">
        <v>0</v>
      </c>
      <c r="N1045" s="3">
        <v>0</v>
      </c>
      <c r="O1045" s="3">
        <v>0</v>
      </c>
      <c r="P1045" s="3">
        <v>1</v>
      </c>
      <c r="Q1045" s="3">
        <v>0</v>
      </c>
      <c r="R1045" s="3">
        <v>99.7</v>
      </c>
      <c r="S1045" s="2">
        <v>14.4</v>
      </c>
      <c r="T1045" t="s">
        <v>28</v>
      </c>
      <c r="U1045" s="3">
        <v>1</v>
      </c>
      <c r="V1045" s="3">
        <v>1</v>
      </c>
      <c r="W1045" s="3">
        <v>0</v>
      </c>
      <c r="X1045" s="3">
        <v>0</v>
      </c>
      <c r="Y1045" s="3">
        <v>1</v>
      </c>
      <c r="Z1045" s="3">
        <v>0</v>
      </c>
      <c r="AA1045" s="3">
        <v>0</v>
      </c>
    </row>
    <row r="1046" spans="1:27">
      <c r="A1046" t="s">
        <v>1133</v>
      </c>
      <c r="B1046" s="3">
        <v>3</v>
      </c>
      <c r="C1046" s="3">
        <v>0</v>
      </c>
      <c r="D1046" s="1">
        <v>36939</v>
      </c>
      <c r="E1046" s="1">
        <v>39082</v>
      </c>
      <c r="F1046" s="2">
        <f t="shared" si="16"/>
        <v>5.8672142368240934</v>
      </c>
      <c r="G1046" s="3">
        <v>1</v>
      </c>
      <c r="H1046" s="3">
        <v>0</v>
      </c>
      <c r="I1046" s="3">
        <v>0</v>
      </c>
      <c r="J1046" s="3">
        <v>1</v>
      </c>
      <c r="K1046" s="3">
        <v>0</v>
      </c>
      <c r="L1046" s="3">
        <v>0</v>
      </c>
      <c r="M1046" s="3">
        <v>0</v>
      </c>
      <c r="N1046" s="3">
        <v>0</v>
      </c>
      <c r="O1046" s="3">
        <v>0</v>
      </c>
      <c r="P1046" s="3">
        <v>1</v>
      </c>
      <c r="Q1046" s="3">
        <v>0</v>
      </c>
      <c r="R1046" s="3">
        <v>99.7</v>
      </c>
      <c r="S1046" s="2">
        <v>14.3</v>
      </c>
      <c r="T1046" t="s">
        <v>44</v>
      </c>
      <c r="U1046" s="3">
        <v>0</v>
      </c>
      <c r="V1046" s="3">
        <v>1</v>
      </c>
      <c r="W1046" s="3">
        <v>0</v>
      </c>
      <c r="X1046" s="3">
        <v>0</v>
      </c>
      <c r="Y1046" s="3">
        <v>0</v>
      </c>
      <c r="Z1046" s="3">
        <v>1</v>
      </c>
      <c r="AA1046" s="3">
        <v>0</v>
      </c>
    </row>
    <row r="1047" spans="1:27">
      <c r="A1047" t="s">
        <v>1134</v>
      </c>
      <c r="B1047" s="3">
        <v>2</v>
      </c>
      <c r="C1047" s="3">
        <v>0</v>
      </c>
      <c r="D1047" s="1">
        <v>37422</v>
      </c>
      <c r="E1047" s="1">
        <v>39082</v>
      </c>
      <c r="F1047" s="2">
        <f t="shared" si="16"/>
        <v>4.5448323066392877</v>
      </c>
      <c r="G1047" s="3">
        <v>1</v>
      </c>
      <c r="H1047" s="3">
        <v>1</v>
      </c>
      <c r="I1047" s="3">
        <v>1</v>
      </c>
      <c r="J1047" s="3">
        <v>0</v>
      </c>
      <c r="K1047" s="3">
        <v>0</v>
      </c>
      <c r="L1047" s="3">
        <v>0</v>
      </c>
      <c r="M1047" s="3">
        <v>0</v>
      </c>
      <c r="N1047" s="3">
        <v>0</v>
      </c>
      <c r="O1047" s="3">
        <v>0</v>
      </c>
      <c r="P1047" s="3">
        <v>1</v>
      </c>
      <c r="Q1047" s="3">
        <v>0</v>
      </c>
      <c r="R1047" s="3">
        <v>99.7</v>
      </c>
      <c r="S1047" s="2">
        <v>13.2</v>
      </c>
      <c r="T1047" t="s">
        <v>28</v>
      </c>
      <c r="U1047" s="3">
        <v>1</v>
      </c>
      <c r="V1047" s="3">
        <v>1</v>
      </c>
      <c r="W1047" s="3">
        <v>1</v>
      </c>
      <c r="X1047" s="3">
        <v>0</v>
      </c>
      <c r="Y1047" s="3">
        <v>0</v>
      </c>
      <c r="Z1047" s="3">
        <v>1</v>
      </c>
      <c r="AA1047" s="3">
        <v>0</v>
      </c>
    </row>
    <row r="1048" spans="1:27">
      <c r="A1048" t="s">
        <v>1135</v>
      </c>
      <c r="B1048" s="3">
        <v>1</v>
      </c>
      <c r="C1048" s="3">
        <v>0</v>
      </c>
      <c r="D1048" s="1">
        <v>38194</v>
      </c>
      <c r="E1048" s="1">
        <v>39082</v>
      </c>
      <c r="F1048" s="2">
        <f t="shared" si="16"/>
        <v>2.431211498973306</v>
      </c>
      <c r="G1048" s="3">
        <v>1</v>
      </c>
      <c r="H1048" s="3">
        <v>1</v>
      </c>
      <c r="I1048" s="3">
        <v>0</v>
      </c>
      <c r="J1048" s="3">
        <v>0</v>
      </c>
      <c r="K1048" s="3">
        <v>0</v>
      </c>
      <c r="L1048" s="3">
        <v>1</v>
      </c>
      <c r="M1048" s="3">
        <v>1</v>
      </c>
      <c r="N1048" s="3">
        <v>1</v>
      </c>
      <c r="O1048" s="3">
        <v>0</v>
      </c>
      <c r="P1048" s="3">
        <v>0</v>
      </c>
      <c r="Q1048" s="3">
        <v>0</v>
      </c>
      <c r="R1048" s="3">
        <v>99.8</v>
      </c>
      <c r="S1048" s="2">
        <v>14.2</v>
      </c>
      <c r="T1048" t="s">
        <v>92</v>
      </c>
      <c r="U1048" s="3">
        <v>1</v>
      </c>
      <c r="V1048" s="3">
        <v>1</v>
      </c>
      <c r="W1048" s="3">
        <v>0</v>
      </c>
      <c r="X1048" s="3">
        <v>0</v>
      </c>
      <c r="Y1048" s="3">
        <v>0</v>
      </c>
      <c r="Z1048" s="3">
        <v>1</v>
      </c>
      <c r="AA1048" s="3">
        <v>0</v>
      </c>
    </row>
    <row r="1049" spans="1:27">
      <c r="A1049" t="s">
        <v>1136</v>
      </c>
      <c r="B1049" s="3">
        <v>3</v>
      </c>
      <c r="C1049" s="3">
        <v>0</v>
      </c>
      <c r="D1049" s="1">
        <v>38238</v>
      </c>
      <c r="E1049" s="1">
        <v>39082</v>
      </c>
      <c r="F1049" s="2">
        <f t="shared" si="16"/>
        <v>2.3107460643394937</v>
      </c>
      <c r="G1049" s="3">
        <v>1</v>
      </c>
      <c r="H1049" s="3">
        <v>1</v>
      </c>
      <c r="I1049" s="3">
        <v>0</v>
      </c>
      <c r="J1049" s="3">
        <v>0</v>
      </c>
      <c r="K1049" s="3">
        <v>0</v>
      </c>
      <c r="L1049" s="3">
        <v>0</v>
      </c>
      <c r="M1049" s="3">
        <v>0</v>
      </c>
      <c r="N1049" s="3">
        <v>1</v>
      </c>
      <c r="O1049" s="3">
        <v>0</v>
      </c>
      <c r="P1049" s="3">
        <v>1</v>
      </c>
      <c r="Q1049" s="3">
        <v>0</v>
      </c>
      <c r="R1049" s="3">
        <v>99.8</v>
      </c>
      <c r="S1049" s="2">
        <v>14.5</v>
      </c>
      <c r="T1049" t="s">
        <v>44</v>
      </c>
      <c r="U1049" s="3">
        <v>0</v>
      </c>
      <c r="V1049" s="3">
        <v>0</v>
      </c>
      <c r="W1049" s="3">
        <v>0</v>
      </c>
      <c r="X1049" s="3">
        <v>0</v>
      </c>
      <c r="Y1049" s="3">
        <v>0</v>
      </c>
      <c r="Z1049" s="3">
        <v>1</v>
      </c>
      <c r="AA1049" s="3">
        <v>0</v>
      </c>
    </row>
    <row r="1050" spans="1:27">
      <c r="A1050" t="s">
        <v>1137</v>
      </c>
      <c r="B1050" s="3">
        <v>1</v>
      </c>
      <c r="C1050" s="3">
        <v>0</v>
      </c>
      <c r="D1050" s="1">
        <v>36762</v>
      </c>
      <c r="E1050" s="1">
        <v>39082</v>
      </c>
      <c r="F1050" s="2">
        <f t="shared" si="16"/>
        <v>6.3518138261464747</v>
      </c>
      <c r="G1050" s="3">
        <v>1</v>
      </c>
      <c r="H1050" s="3">
        <v>1</v>
      </c>
      <c r="I1050" s="3">
        <v>0</v>
      </c>
      <c r="J1050" s="3">
        <v>1</v>
      </c>
      <c r="K1050" s="3">
        <v>0</v>
      </c>
      <c r="L1050" s="3">
        <v>1</v>
      </c>
      <c r="M1050" s="3">
        <v>0</v>
      </c>
      <c r="N1050" s="3">
        <v>1</v>
      </c>
      <c r="O1050" s="3">
        <v>0</v>
      </c>
      <c r="P1050" s="3">
        <v>1</v>
      </c>
      <c r="Q1050" s="3">
        <v>0</v>
      </c>
      <c r="R1050" s="3">
        <v>99.8</v>
      </c>
      <c r="S1050" s="2">
        <v>15.1</v>
      </c>
      <c r="T1050" t="s">
        <v>28</v>
      </c>
      <c r="U1050" s="3">
        <v>1</v>
      </c>
      <c r="V1050" s="3">
        <v>1</v>
      </c>
      <c r="W1050" s="3">
        <v>0</v>
      </c>
      <c r="X1050" s="3">
        <v>0</v>
      </c>
      <c r="Y1050" s="3">
        <v>0</v>
      </c>
      <c r="Z1050" s="3">
        <v>1</v>
      </c>
      <c r="AA1050" s="3">
        <v>0</v>
      </c>
    </row>
    <row r="1051" spans="1:27">
      <c r="A1051" t="s">
        <v>1138</v>
      </c>
      <c r="B1051" s="3">
        <v>2</v>
      </c>
      <c r="C1051" s="3">
        <v>0</v>
      </c>
      <c r="D1051" s="1">
        <v>37088</v>
      </c>
      <c r="E1051" s="1">
        <v>39082</v>
      </c>
      <c r="F1051" s="2">
        <f t="shared" si="16"/>
        <v>5.4592744695414099</v>
      </c>
      <c r="G1051" s="3">
        <v>2</v>
      </c>
      <c r="H1051" s="3">
        <v>1</v>
      </c>
      <c r="I1051" s="3">
        <v>1</v>
      </c>
      <c r="J1051" s="3">
        <v>0</v>
      </c>
      <c r="K1051" s="3">
        <v>1</v>
      </c>
      <c r="L1051" s="3">
        <v>0</v>
      </c>
      <c r="M1051" s="3">
        <v>1</v>
      </c>
      <c r="N1051" s="3">
        <v>1</v>
      </c>
      <c r="O1051" s="3">
        <v>1</v>
      </c>
      <c r="P1051" s="3">
        <v>0</v>
      </c>
      <c r="Q1051" s="3">
        <v>0</v>
      </c>
      <c r="R1051" s="3">
        <v>100.1</v>
      </c>
      <c r="S1051" s="2">
        <v>16</v>
      </c>
      <c r="T1051" t="s">
        <v>28</v>
      </c>
      <c r="U1051" s="3">
        <v>1</v>
      </c>
      <c r="V1051" s="3">
        <v>1</v>
      </c>
      <c r="W1051" s="3">
        <v>1</v>
      </c>
      <c r="X1051" s="3">
        <v>1</v>
      </c>
      <c r="Y1051" s="3">
        <v>1</v>
      </c>
      <c r="Z1051" s="3">
        <v>0</v>
      </c>
      <c r="AA1051" s="3">
        <v>0</v>
      </c>
    </row>
    <row r="1052" spans="1:27">
      <c r="A1052" t="s">
        <v>1139</v>
      </c>
      <c r="B1052" s="3">
        <v>3</v>
      </c>
      <c r="C1052" s="3">
        <v>0</v>
      </c>
      <c r="D1052" s="1">
        <v>36662</v>
      </c>
      <c r="E1052" s="1">
        <v>39082</v>
      </c>
      <c r="F1052" s="2">
        <f t="shared" si="16"/>
        <v>6.6255989048596851</v>
      </c>
      <c r="G1052" s="3">
        <v>2</v>
      </c>
      <c r="H1052" s="3">
        <v>1</v>
      </c>
      <c r="I1052" s="3">
        <v>0</v>
      </c>
      <c r="J1052" s="3">
        <v>0</v>
      </c>
      <c r="K1052" s="3">
        <v>0</v>
      </c>
      <c r="L1052" s="3">
        <v>0</v>
      </c>
      <c r="M1052" s="3">
        <v>0</v>
      </c>
      <c r="N1052" s="3">
        <v>1</v>
      </c>
      <c r="O1052" s="3">
        <v>1</v>
      </c>
      <c r="P1052" s="3">
        <v>0</v>
      </c>
      <c r="Q1052" s="3">
        <v>0</v>
      </c>
      <c r="R1052" s="3">
        <v>100.4</v>
      </c>
      <c r="S1052" s="2">
        <v>15.1</v>
      </c>
      <c r="T1052" t="s">
        <v>28</v>
      </c>
      <c r="U1052" s="3">
        <v>1</v>
      </c>
      <c r="V1052" s="3">
        <v>1</v>
      </c>
      <c r="W1052" s="3">
        <v>1</v>
      </c>
      <c r="X1052" s="3">
        <v>0</v>
      </c>
      <c r="Y1052" s="3">
        <v>0</v>
      </c>
      <c r="Z1052" s="3">
        <v>0</v>
      </c>
      <c r="AA1052" s="3">
        <v>0</v>
      </c>
    </row>
    <row r="1053" spans="1:27">
      <c r="A1053" t="s">
        <v>1140</v>
      </c>
      <c r="B1053" s="3">
        <v>2</v>
      </c>
      <c r="C1053" s="3">
        <v>0</v>
      </c>
      <c r="D1053" s="1">
        <v>38186</v>
      </c>
      <c r="E1053" s="1">
        <v>39082</v>
      </c>
      <c r="F1053" s="2">
        <f t="shared" si="16"/>
        <v>2.4531143052703626</v>
      </c>
      <c r="G1053" s="3">
        <v>1</v>
      </c>
      <c r="H1053" s="3">
        <v>1</v>
      </c>
      <c r="I1053" s="3">
        <v>0</v>
      </c>
      <c r="J1053" s="3">
        <v>0</v>
      </c>
      <c r="K1053" s="3">
        <v>0</v>
      </c>
      <c r="L1053" s="3">
        <v>0</v>
      </c>
      <c r="M1053" s="3">
        <v>0</v>
      </c>
      <c r="N1053" s="3">
        <v>1</v>
      </c>
      <c r="O1053" s="3">
        <v>0</v>
      </c>
      <c r="P1053" s="3">
        <v>1</v>
      </c>
      <c r="Q1053" s="3">
        <v>0</v>
      </c>
      <c r="R1053" s="3">
        <v>100.5</v>
      </c>
      <c r="S1053" s="2">
        <v>15.4</v>
      </c>
      <c r="T1053" t="s">
        <v>28</v>
      </c>
      <c r="U1053" s="3">
        <v>1</v>
      </c>
      <c r="V1053" s="3">
        <v>1</v>
      </c>
      <c r="W1053" s="3">
        <v>1</v>
      </c>
      <c r="X1053" s="3">
        <v>1</v>
      </c>
      <c r="Y1053" s="3">
        <v>0</v>
      </c>
      <c r="Z1053" s="3">
        <v>1</v>
      </c>
      <c r="AA1053" s="3">
        <v>0</v>
      </c>
    </row>
    <row r="1054" spans="1:27">
      <c r="A1054" t="s">
        <v>1141</v>
      </c>
      <c r="B1054" s="3">
        <v>2</v>
      </c>
      <c r="C1054" s="3">
        <v>0</v>
      </c>
      <c r="D1054" s="1">
        <v>36872</v>
      </c>
      <c r="E1054" s="1">
        <v>39082</v>
      </c>
      <c r="F1054" s="2">
        <f t="shared" si="16"/>
        <v>6.0506502395619437</v>
      </c>
      <c r="G1054" s="3">
        <v>1</v>
      </c>
      <c r="H1054" s="3">
        <v>1</v>
      </c>
      <c r="I1054" s="3">
        <v>0</v>
      </c>
      <c r="J1054" s="3">
        <v>0</v>
      </c>
      <c r="K1054" s="3">
        <v>0</v>
      </c>
      <c r="L1054" s="3">
        <v>0</v>
      </c>
      <c r="M1054" s="3">
        <v>0</v>
      </c>
      <c r="N1054" s="3">
        <v>0</v>
      </c>
      <c r="O1054" s="3">
        <v>0</v>
      </c>
      <c r="P1054" s="3">
        <v>0</v>
      </c>
      <c r="Q1054" s="3">
        <v>0</v>
      </c>
      <c r="R1054" s="3">
        <v>100.7</v>
      </c>
      <c r="S1054" s="2">
        <v>15.7</v>
      </c>
      <c r="T1054" t="s">
        <v>28</v>
      </c>
      <c r="U1054" s="3">
        <v>1</v>
      </c>
      <c r="V1054" s="3">
        <v>1</v>
      </c>
      <c r="W1054" s="3">
        <v>1</v>
      </c>
      <c r="X1054" s="3">
        <v>1</v>
      </c>
      <c r="Y1054" s="3">
        <v>0</v>
      </c>
      <c r="Z1054" s="3">
        <v>1</v>
      </c>
      <c r="AA1054" s="3">
        <v>0</v>
      </c>
    </row>
    <row r="1055" spans="1:27">
      <c r="A1055" t="s">
        <v>929</v>
      </c>
      <c r="B1055" s="3">
        <v>3</v>
      </c>
      <c r="C1055" s="3">
        <v>0</v>
      </c>
      <c r="D1055" s="1">
        <v>36786</v>
      </c>
      <c r="E1055" s="1">
        <v>39082</v>
      </c>
      <c r="F1055" s="2">
        <f t="shared" si="16"/>
        <v>6.2861054072553042</v>
      </c>
      <c r="G1055" s="3">
        <v>1</v>
      </c>
      <c r="H1055" s="3">
        <v>1</v>
      </c>
      <c r="I1055" s="3">
        <v>0</v>
      </c>
      <c r="J1055" s="3">
        <v>0</v>
      </c>
      <c r="K1055" s="3">
        <v>0</v>
      </c>
      <c r="L1055" s="3">
        <v>0</v>
      </c>
      <c r="M1055" s="3">
        <v>0</v>
      </c>
      <c r="N1055" s="3">
        <v>1</v>
      </c>
      <c r="O1055" s="3">
        <v>0</v>
      </c>
      <c r="P1055" s="3">
        <v>1</v>
      </c>
      <c r="Q1055" s="3">
        <v>0</v>
      </c>
      <c r="R1055" s="3">
        <v>100.7</v>
      </c>
      <c r="S1055" s="2">
        <v>13.2</v>
      </c>
      <c r="T1055" t="s">
        <v>28</v>
      </c>
      <c r="U1055" s="3">
        <v>0</v>
      </c>
      <c r="V1055" s="3">
        <v>1</v>
      </c>
      <c r="W1055" s="3">
        <v>1</v>
      </c>
      <c r="X1055" s="3">
        <v>1</v>
      </c>
      <c r="Y1055" s="3">
        <v>1</v>
      </c>
      <c r="Z1055" s="3">
        <v>1</v>
      </c>
      <c r="AA1055" s="3">
        <v>0</v>
      </c>
    </row>
    <row r="1056" spans="1:27">
      <c r="A1056" t="s">
        <v>1142</v>
      </c>
      <c r="B1056" s="3">
        <v>1</v>
      </c>
      <c r="C1056" s="3">
        <v>0</v>
      </c>
      <c r="D1056" s="1">
        <v>36931</v>
      </c>
      <c r="E1056" s="1">
        <v>39082</v>
      </c>
      <c r="F1056" s="2">
        <f t="shared" si="16"/>
        <v>5.8891170431211499</v>
      </c>
      <c r="G1056" s="3">
        <v>1</v>
      </c>
      <c r="H1056" s="3">
        <v>0</v>
      </c>
      <c r="I1056" s="3">
        <v>0</v>
      </c>
      <c r="J1056" s="3">
        <v>0</v>
      </c>
      <c r="K1056" s="3">
        <v>0</v>
      </c>
      <c r="L1056" s="3">
        <v>0</v>
      </c>
      <c r="M1056" s="3">
        <v>0</v>
      </c>
      <c r="N1056" s="3">
        <v>1</v>
      </c>
      <c r="O1056" s="3">
        <v>0</v>
      </c>
      <c r="P1056" s="3">
        <v>1</v>
      </c>
      <c r="Q1056" s="3">
        <v>0</v>
      </c>
      <c r="R1056" s="3">
        <v>101</v>
      </c>
      <c r="S1056" s="2">
        <v>12.6</v>
      </c>
      <c r="T1056" t="s">
        <v>1143</v>
      </c>
      <c r="U1056" s="3">
        <v>1</v>
      </c>
      <c r="V1056" s="3">
        <v>1</v>
      </c>
      <c r="W1056" s="3">
        <v>0</v>
      </c>
      <c r="X1056" s="3">
        <v>0</v>
      </c>
      <c r="Y1056" s="3">
        <v>0</v>
      </c>
      <c r="Z1056" s="3">
        <v>1</v>
      </c>
      <c r="AA1056" s="3">
        <v>0</v>
      </c>
    </row>
    <row r="1057" spans="1:27">
      <c r="A1057" t="s">
        <v>1144</v>
      </c>
      <c r="B1057" s="3">
        <v>3</v>
      </c>
      <c r="C1057" s="3">
        <v>0</v>
      </c>
      <c r="D1057" s="1">
        <v>38241</v>
      </c>
      <c r="E1057" s="1">
        <v>39082</v>
      </c>
      <c r="F1057" s="2">
        <f t="shared" si="16"/>
        <v>2.3025325119780971</v>
      </c>
      <c r="G1057" s="3">
        <v>2</v>
      </c>
      <c r="H1057" s="3">
        <v>1</v>
      </c>
      <c r="I1057" s="3">
        <v>0</v>
      </c>
      <c r="J1057" s="3">
        <v>0</v>
      </c>
      <c r="K1057" s="3">
        <v>0</v>
      </c>
      <c r="L1057" s="3">
        <v>0</v>
      </c>
      <c r="M1057" s="3">
        <v>0</v>
      </c>
      <c r="N1057" s="3">
        <v>1</v>
      </c>
      <c r="O1057" s="3">
        <v>0</v>
      </c>
      <c r="P1057" s="3">
        <v>0</v>
      </c>
      <c r="Q1057" s="3">
        <v>0</v>
      </c>
      <c r="R1057" s="3">
        <v>101</v>
      </c>
      <c r="S1057" s="2">
        <v>14.1</v>
      </c>
      <c r="T1057" t="s">
        <v>28</v>
      </c>
      <c r="U1057" s="3">
        <v>0</v>
      </c>
      <c r="V1057" s="3">
        <v>1</v>
      </c>
      <c r="W1057" s="3">
        <v>0</v>
      </c>
      <c r="X1057" s="3">
        <v>0</v>
      </c>
      <c r="Y1057" s="3">
        <v>0</v>
      </c>
      <c r="Z1057" s="3">
        <v>0</v>
      </c>
      <c r="AA1057" s="3">
        <v>0</v>
      </c>
    </row>
    <row r="1058" spans="1:27">
      <c r="A1058" t="s">
        <v>1145</v>
      </c>
      <c r="B1058" s="3">
        <v>1</v>
      </c>
      <c r="C1058" s="3">
        <v>0</v>
      </c>
      <c r="D1058" s="1">
        <v>36994</v>
      </c>
      <c r="E1058" s="1">
        <v>39082</v>
      </c>
      <c r="F1058" s="2">
        <f t="shared" si="16"/>
        <v>5.7166324435318279</v>
      </c>
      <c r="G1058" s="3">
        <v>1</v>
      </c>
      <c r="H1058" s="3">
        <v>1</v>
      </c>
      <c r="I1058" s="3">
        <v>1</v>
      </c>
      <c r="J1058" s="3">
        <v>1</v>
      </c>
      <c r="K1058" s="3">
        <v>0</v>
      </c>
      <c r="L1058" s="3">
        <v>1</v>
      </c>
      <c r="M1058" s="3">
        <v>0</v>
      </c>
      <c r="N1058" s="3">
        <v>1</v>
      </c>
      <c r="O1058" s="3">
        <v>0</v>
      </c>
      <c r="P1058" s="3">
        <v>1</v>
      </c>
      <c r="Q1058" s="3">
        <v>0</v>
      </c>
      <c r="R1058" s="3">
        <v>101.1</v>
      </c>
      <c r="S1058" s="2">
        <v>15.3</v>
      </c>
      <c r="T1058" t="s">
        <v>830</v>
      </c>
      <c r="U1058" s="3">
        <v>0</v>
      </c>
      <c r="V1058" s="3">
        <v>1</v>
      </c>
      <c r="W1058" s="3">
        <v>1</v>
      </c>
      <c r="X1058" s="3">
        <v>0</v>
      </c>
      <c r="Y1058" s="3">
        <v>0</v>
      </c>
      <c r="Z1058" s="3">
        <v>1</v>
      </c>
      <c r="AA1058" s="3">
        <v>0</v>
      </c>
    </row>
    <row r="1059" spans="1:27">
      <c r="A1059" t="s">
        <v>1146</v>
      </c>
      <c r="B1059" s="3">
        <v>1</v>
      </c>
      <c r="C1059" s="3">
        <v>0</v>
      </c>
      <c r="D1059" s="1">
        <v>36844</v>
      </c>
      <c r="E1059" s="1">
        <v>39082</v>
      </c>
      <c r="F1059" s="2">
        <f t="shared" si="16"/>
        <v>6.1273100616016425</v>
      </c>
      <c r="G1059" s="3">
        <v>2</v>
      </c>
      <c r="H1059" s="3">
        <v>0</v>
      </c>
      <c r="I1059" s="3">
        <v>0</v>
      </c>
      <c r="J1059" s="3">
        <v>0</v>
      </c>
      <c r="K1059" s="3">
        <v>0</v>
      </c>
      <c r="L1059" s="3">
        <v>0</v>
      </c>
      <c r="M1059" s="3">
        <v>0</v>
      </c>
      <c r="N1059" s="3">
        <v>1</v>
      </c>
      <c r="O1059" s="3">
        <v>0</v>
      </c>
      <c r="P1059" s="3">
        <v>1</v>
      </c>
      <c r="Q1059" s="3">
        <v>0</v>
      </c>
      <c r="R1059" s="3">
        <v>101.2</v>
      </c>
      <c r="S1059" s="2">
        <v>16.8</v>
      </c>
      <c r="T1059" t="s">
        <v>28</v>
      </c>
      <c r="U1059" s="3">
        <v>1</v>
      </c>
      <c r="V1059" s="3">
        <v>1</v>
      </c>
      <c r="W1059" s="3">
        <v>0</v>
      </c>
      <c r="X1059" s="3">
        <v>0</v>
      </c>
      <c r="Y1059" s="3">
        <v>0</v>
      </c>
      <c r="Z1059" s="3">
        <v>0</v>
      </c>
      <c r="AA1059" s="3">
        <v>0</v>
      </c>
    </row>
    <row r="1060" spans="1:27">
      <c r="A1060" t="s">
        <v>1147</v>
      </c>
      <c r="B1060" s="3">
        <v>2</v>
      </c>
      <c r="C1060" s="3">
        <v>0</v>
      </c>
      <c r="D1060" s="1">
        <v>38020</v>
      </c>
      <c r="E1060" s="1">
        <v>39082</v>
      </c>
      <c r="F1060" s="2">
        <f t="shared" si="16"/>
        <v>2.9075975359342916</v>
      </c>
      <c r="G1060" s="3">
        <v>1</v>
      </c>
      <c r="H1060" s="3">
        <v>1</v>
      </c>
      <c r="I1060" s="3">
        <v>0</v>
      </c>
      <c r="J1060" s="3">
        <v>0</v>
      </c>
      <c r="K1060" s="3">
        <v>1</v>
      </c>
      <c r="L1060" s="3">
        <v>0</v>
      </c>
      <c r="M1060" s="3">
        <v>0</v>
      </c>
      <c r="N1060" s="3">
        <v>1</v>
      </c>
      <c r="O1060" s="3">
        <v>0</v>
      </c>
      <c r="P1060" s="3">
        <v>0</v>
      </c>
      <c r="Q1060" s="3">
        <v>0</v>
      </c>
      <c r="R1060" s="3">
        <v>101.4</v>
      </c>
      <c r="S1060" s="2">
        <v>18.7</v>
      </c>
      <c r="T1060" t="s">
        <v>28</v>
      </c>
      <c r="U1060" s="3">
        <v>1</v>
      </c>
      <c r="V1060" s="3">
        <v>0</v>
      </c>
      <c r="W1060" s="3">
        <v>1</v>
      </c>
      <c r="X1060" s="3">
        <v>0</v>
      </c>
      <c r="Y1060" s="3">
        <v>1</v>
      </c>
      <c r="Z1060" s="3">
        <v>1</v>
      </c>
      <c r="AA1060" s="3">
        <v>0</v>
      </c>
    </row>
    <row r="1061" spans="1:27">
      <c r="A1061" t="s">
        <v>1148</v>
      </c>
      <c r="B1061" s="3">
        <v>1</v>
      </c>
      <c r="C1061" s="3">
        <v>0</v>
      </c>
      <c r="D1061" s="1">
        <v>36745</v>
      </c>
      <c r="E1061" s="1">
        <v>39082</v>
      </c>
      <c r="F1061" s="2">
        <f t="shared" si="16"/>
        <v>6.3983572895277208</v>
      </c>
      <c r="G1061" s="3">
        <v>1</v>
      </c>
      <c r="H1061" s="3">
        <v>0</v>
      </c>
      <c r="I1061" s="3">
        <v>0</v>
      </c>
      <c r="J1061" s="3">
        <v>0</v>
      </c>
      <c r="K1061" s="3">
        <v>0</v>
      </c>
      <c r="L1061" s="3">
        <v>0</v>
      </c>
      <c r="M1061" s="3">
        <v>0</v>
      </c>
      <c r="N1061" s="3">
        <v>1</v>
      </c>
      <c r="O1061" s="3">
        <v>0</v>
      </c>
      <c r="P1061" s="3">
        <v>0</v>
      </c>
      <c r="Q1061" s="3">
        <v>0</v>
      </c>
      <c r="R1061" s="3">
        <v>101.5</v>
      </c>
      <c r="S1061" s="2">
        <v>14.5</v>
      </c>
      <c r="T1061" t="s">
        <v>28</v>
      </c>
      <c r="U1061" s="3">
        <v>1</v>
      </c>
      <c r="V1061" s="3">
        <v>1</v>
      </c>
      <c r="W1061" s="3">
        <v>1</v>
      </c>
      <c r="X1061" s="3">
        <v>1</v>
      </c>
      <c r="Y1061" s="3">
        <v>0</v>
      </c>
      <c r="Z1061" s="3">
        <v>1</v>
      </c>
      <c r="AA1061" s="3">
        <v>0</v>
      </c>
    </row>
    <row r="1062" spans="1:27">
      <c r="A1062" t="s">
        <v>1149</v>
      </c>
      <c r="B1062" s="3">
        <v>2</v>
      </c>
      <c r="C1062" s="3">
        <v>0</v>
      </c>
      <c r="D1062" s="1">
        <v>38032</v>
      </c>
      <c r="E1062" s="1">
        <v>39082</v>
      </c>
      <c r="F1062" s="2">
        <f t="shared" si="16"/>
        <v>2.8747433264887063</v>
      </c>
      <c r="G1062" s="3">
        <v>1</v>
      </c>
      <c r="H1062" s="3">
        <v>1</v>
      </c>
      <c r="I1062" s="3">
        <v>0</v>
      </c>
      <c r="J1062" s="3">
        <v>1</v>
      </c>
      <c r="K1062" s="3">
        <v>0</v>
      </c>
      <c r="L1062" s="3">
        <v>0</v>
      </c>
      <c r="M1062" s="3">
        <v>1</v>
      </c>
      <c r="N1062" s="3">
        <v>1</v>
      </c>
      <c r="O1062" s="3">
        <v>0</v>
      </c>
      <c r="P1062" s="3">
        <v>0</v>
      </c>
      <c r="Q1062" s="3">
        <v>0</v>
      </c>
      <c r="R1062" s="3">
        <v>101.8</v>
      </c>
      <c r="S1062" s="2">
        <v>16</v>
      </c>
      <c r="T1062" t="s">
        <v>28</v>
      </c>
      <c r="U1062" s="3">
        <v>1</v>
      </c>
      <c r="V1062" s="3">
        <v>1</v>
      </c>
      <c r="W1062" s="3">
        <v>0</v>
      </c>
      <c r="X1062" s="3">
        <v>0</v>
      </c>
      <c r="Y1062" s="3">
        <v>0</v>
      </c>
      <c r="Z1062" s="3">
        <v>1</v>
      </c>
      <c r="AA1062" s="3">
        <v>0</v>
      </c>
    </row>
    <row r="1063" spans="1:27">
      <c r="A1063" t="s">
        <v>1150</v>
      </c>
      <c r="B1063" s="3">
        <v>3</v>
      </c>
      <c r="C1063" s="3">
        <v>0</v>
      </c>
      <c r="D1063" s="1">
        <v>38236</v>
      </c>
      <c r="E1063" s="1">
        <v>39082</v>
      </c>
      <c r="F1063" s="2">
        <f t="shared" si="16"/>
        <v>2.3162217659137578</v>
      </c>
      <c r="G1063" s="3">
        <v>2</v>
      </c>
      <c r="H1063" s="3">
        <v>1</v>
      </c>
      <c r="I1063" s="3">
        <v>0</v>
      </c>
      <c r="J1063" s="3">
        <v>1</v>
      </c>
      <c r="K1063" s="3">
        <v>0</v>
      </c>
      <c r="L1063" s="3">
        <v>0</v>
      </c>
      <c r="M1063" s="3">
        <v>0</v>
      </c>
      <c r="N1063" s="3">
        <v>0</v>
      </c>
      <c r="O1063" s="3">
        <v>0</v>
      </c>
      <c r="P1063" s="3">
        <v>0</v>
      </c>
      <c r="Q1063" s="3">
        <v>0</v>
      </c>
      <c r="R1063" s="3">
        <v>102</v>
      </c>
      <c r="S1063" s="2">
        <v>16.100000000000001</v>
      </c>
      <c r="T1063" t="s">
        <v>105</v>
      </c>
      <c r="U1063" s="3">
        <v>0</v>
      </c>
      <c r="V1063" s="3">
        <v>0</v>
      </c>
      <c r="W1063" s="3">
        <v>0</v>
      </c>
      <c r="X1063" s="3">
        <v>0</v>
      </c>
      <c r="Y1063" s="3">
        <v>1</v>
      </c>
      <c r="Z1063" s="3">
        <v>0</v>
      </c>
      <c r="AA1063" s="3">
        <v>0</v>
      </c>
    </row>
    <row r="1064" spans="1:27">
      <c r="A1064" t="s">
        <v>1151</v>
      </c>
      <c r="B1064" s="3">
        <v>1</v>
      </c>
      <c r="C1064" s="3">
        <v>0</v>
      </c>
      <c r="D1064" s="1">
        <v>38276</v>
      </c>
      <c r="E1064" s="1">
        <v>39082</v>
      </c>
      <c r="F1064" s="2">
        <f t="shared" si="16"/>
        <v>2.2067077344284738</v>
      </c>
      <c r="G1064" s="3">
        <v>2</v>
      </c>
      <c r="H1064" s="3">
        <v>1</v>
      </c>
      <c r="I1064" s="3">
        <v>1</v>
      </c>
      <c r="J1064" s="3">
        <v>0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  <c r="P1064" s="3">
        <v>1</v>
      </c>
      <c r="Q1064" s="3">
        <v>0</v>
      </c>
      <c r="R1064" s="3">
        <v>102</v>
      </c>
      <c r="S1064" s="2">
        <v>14.5</v>
      </c>
      <c r="T1064" t="s">
        <v>28</v>
      </c>
      <c r="U1064" s="3">
        <v>0</v>
      </c>
      <c r="V1064" s="3">
        <v>1</v>
      </c>
      <c r="W1064" s="3">
        <v>1</v>
      </c>
      <c r="X1064" s="3">
        <v>0</v>
      </c>
      <c r="Y1064" s="3">
        <v>0</v>
      </c>
      <c r="Z1064" s="3">
        <v>0</v>
      </c>
      <c r="AA1064" s="3">
        <v>0</v>
      </c>
    </row>
    <row r="1065" spans="1:27">
      <c r="A1065" t="s">
        <v>1152</v>
      </c>
      <c r="B1065" s="3">
        <v>3</v>
      </c>
      <c r="C1065" s="3">
        <v>0</v>
      </c>
      <c r="D1065" s="1">
        <v>38108</v>
      </c>
      <c r="E1065" s="1">
        <v>39082</v>
      </c>
      <c r="F1065" s="2">
        <f t="shared" si="16"/>
        <v>2.6666666666666665</v>
      </c>
      <c r="G1065" s="3">
        <v>2</v>
      </c>
      <c r="H1065" s="3">
        <v>1</v>
      </c>
      <c r="I1065" s="3">
        <v>1</v>
      </c>
      <c r="J1065" s="3">
        <v>1</v>
      </c>
      <c r="K1065" s="3">
        <v>0</v>
      </c>
      <c r="L1065" s="3">
        <v>0</v>
      </c>
      <c r="M1065" s="3">
        <v>0</v>
      </c>
      <c r="N1065" s="3">
        <v>0</v>
      </c>
      <c r="O1065" s="3">
        <v>0</v>
      </c>
      <c r="P1065" s="3">
        <v>1</v>
      </c>
      <c r="Q1065" s="3">
        <v>0</v>
      </c>
      <c r="R1065" s="3">
        <v>102</v>
      </c>
      <c r="S1065" s="2">
        <v>14.3</v>
      </c>
      <c r="T1065" t="s">
        <v>28</v>
      </c>
      <c r="U1065" s="3">
        <v>1</v>
      </c>
      <c r="V1065" s="3">
        <v>1</v>
      </c>
      <c r="W1065" s="3">
        <v>0</v>
      </c>
      <c r="X1065" s="3">
        <v>0</v>
      </c>
      <c r="Y1065" s="3">
        <v>0</v>
      </c>
      <c r="Z1065" s="3">
        <v>0</v>
      </c>
      <c r="AA1065" s="3">
        <v>0</v>
      </c>
    </row>
    <row r="1066" spans="1:27">
      <c r="A1066" t="s">
        <v>1153</v>
      </c>
      <c r="B1066" s="3">
        <v>3</v>
      </c>
      <c r="C1066" s="3">
        <v>0</v>
      </c>
      <c r="D1066" s="1">
        <v>38341</v>
      </c>
      <c r="E1066" s="1">
        <v>39082</v>
      </c>
      <c r="F1066" s="2">
        <f t="shared" si="16"/>
        <v>2.0287474332648872</v>
      </c>
      <c r="G1066" s="3">
        <v>2</v>
      </c>
      <c r="H1066" s="3">
        <v>0</v>
      </c>
      <c r="I1066" s="3">
        <v>0</v>
      </c>
      <c r="J1066" s="3">
        <v>0</v>
      </c>
      <c r="K1066" s="3">
        <v>0</v>
      </c>
      <c r="L1066" s="3">
        <v>0</v>
      </c>
      <c r="M1066" s="3">
        <v>0</v>
      </c>
      <c r="N1066" s="3">
        <v>0</v>
      </c>
      <c r="O1066" s="3">
        <v>0</v>
      </c>
      <c r="P1066" s="3">
        <v>0</v>
      </c>
      <c r="Q1066" s="3">
        <v>0</v>
      </c>
      <c r="R1066" s="3">
        <v>102.3</v>
      </c>
      <c r="S1066" s="2">
        <v>15.4</v>
      </c>
      <c r="T1066" t="s">
        <v>28</v>
      </c>
      <c r="U1066" s="3">
        <v>0</v>
      </c>
      <c r="V1066" s="3">
        <v>1</v>
      </c>
      <c r="W1066" s="3">
        <v>0</v>
      </c>
      <c r="X1066" s="3">
        <v>0</v>
      </c>
      <c r="Y1066" s="3">
        <v>0</v>
      </c>
      <c r="Z1066" s="3">
        <v>0</v>
      </c>
      <c r="AA1066" s="3">
        <v>0</v>
      </c>
    </row>
    <row r="1067" spans="1:27">
      <c r="A1067" t="s">
        <v>1154</v>
      </c>
      <c r="B1067" s="3">
        <v>3</v>
      </c>
      <c r="C1067" s="3">
        <v>0</v>
      </c>
      <c r="D1067" s="1">
        <v>38092</v>
      </c>
      <c r="E1067" s="1">
        <v>39082</v>
      </c>
      <c r="F1067" s="2">
        <f t="shared" si="16"/>
        <v>2.7104722792607805</v>
      </c>
      <c r="G1067" s="3">
        <v>2</v>
      </c>
      <c r="H1067" s="3">
        <v>1</v>
      </c>
      <c r="I1067" s="3">
        <v>0</v>
      </c>
      <c r="J1067" s="3">
        <v>0</v>
      </c>
      <c r="K1067" s="3">
        <v>0</v>
      </c>
      <c r="L1067" s="3">
        <v>0</v>
      </c>
      <c r="M1067" s="3">
        <v>0</v>
      </c>
      <c r="N1067" s="3">
        <v>1</v>
      </c>
      <c r="O1067" s="3">
        <v>0</v>
      </c>
      <c r="P1067" s="3">
        <v>0</v>
      </c>
      <c r="Q1067" s="3">
        <v>0</v>
      </c>
      <c r="R1067" s="3">
        <v>102.3</v>
      </c>
      <c r="S1067" s="2">
        <v>15.4</v>
      </c>
      <c r="T1067" t="s">
        <v>82</v>
      </c>
      <c r="U1067" s="3">
        <v>1</v>
      </c>
      <c r="V1067" s="3">
        <v>1</v>
      </c>
      <c r="W1067" s="3">
        <v>0</v>
      </c>
      <c r="X1067" s="3">
        <v>0</v>
      </c>
      <c r="Y1067" s="3">
        <v>1</v>
      </c>
      <c r="Z1067" s="3">
        <v>0</v>
      </c>
      <c r="AA1067" s="3">
        <v>0</v>
      </c>
    </row>
    <row r="1068" spans="1:27">
      <c r="A1068" t="s">
        <v>1155</v>
      </c>
      <c r="B1068" s="3">
        <v>1</v>
      </c>
      <c r="C1068" s="3">
        <v>0</v>
      </c>
      <c r="D1068" s="1">
        <v>36825</v>
      </c>
      <c r="E1068" s="1">
        <v>39082</v>
      </c>
      <c r="F1068" s="2">
        <f t="shared" si="16"/>
        <v>6.1793292265571527</v>
      </c>
      <c r="G1068" s="3">
        <v>1</v>
      </c>
      <c r="H1068" s="3">
        <v>1</v>
      </c>
      <c r="I1068" s="3">
        <v>0</v>
      </c>
      <c r="J1068" s="3">
        <v>0</v>
      </c>
      <c r="K1068" s="3">
        <v>0</v>
      </c>
      <c r="L1068" s="3">
        <v>0</v>
      </c>
      <c r="M1068" s="3">
        <v>1</v>
      </c>
      <c r="N1068" s="3">
        <v>1</v>
      </c>
      <c r="O1068" s="3">
        <v>0</v>
      </c>
      <c r="P1068" s="3">
        <v>0</v>
      </c>
      <c r="Q1068" s="3">
        <v>0</v>
      </c>
      <c r="R1068" s="3">
        <v>102.5</v>
      </c>
      <c r="S1068" s="2">
        <v>15.6</v>
      </c>
      <c r="T1068" t="s">
        <v>28</v>
      </c>
      <c r="U1068" s="3">
        <v>1</v>
      </c>
      <c r="V1068" s="3">
        <v>1</v>
      </c>
      <c r="W1068" s="3">
        <v>1</v>
      </c>
      <c r="X1068" s="3">
        <v>1</v>
      </c>
      <c r="Y1068" s="3">
        <v>0</v>
      </c>
      <c r="Z1068" s="3">
        <v>1</v>
      </c>
      <c r="AA1068" s="3">
        <v>0</v>
      </c>
    </row>
    <row r="1069" spans="1:27">
      <c r="A1069" t="s">
        <v>1156</v>
      </c>
      <c r="B1069" s="3">
        <v>2</v>
      </c>
      <c r="C1069" s="3">
        <v>0</v>
      </c>
      <c r="D1069" s="1">
        <v>38164</v>
      </c>
      <c r="E1069" s="1">
        <v>39082</v>
      </c>
      <c r="F1069" s="2">
        <f t="shared" si="16"/>
        <v>2.5133470225872689</v>
      </c>
      <c r="G1069" s="3">
        <v>1</v>
      </c>
      <c r="H1069" s="3">
        <v>1</v>
      </c>
      <c r="I1069" s="3">
        <v>0</v>
      </c>
      <c r="J1069" s="3">
        <v>0</v>
      </c>
      <c r="K1069" s="3">
        <v>0</v>
      </c>
      <c r="L1069" s="3">
        <v>0</v>
      </c>
      <c r="M1069" s="3">
        <v>0</v>
      </c>
      <c r="N1069" s="3">
        <v>1</v>
      </c>
      <c r="O1069" s="3">
        <v>0</v>
      </c>
      <c r="P1069" s="3">
        <v>0</v>
      </c>
      <c r="Q1069" s="3">
        <v>0</v>
      </c>
      <c r="R1069" s="3">
        <v>102.5</v>
      </c>
      <c r="S1069" s="2">
        <v>14.2</v>
      </c>
      <c r="T1069" t="s">
        <v>172</v>
      </c>
      <c r="U1069" s="3">
        <v>1</v>
      </c>
      <c r="V1069" s="3">
        <v>1</v>
      </c>
      <c r="W1069" s="3">
        <v>0</v>
      </c>
      <c r="X1069" s="3">
        <v>1</v>
      </c>
      <c r="Y1069" s="3">
        <v>1</v>
      </c>
      <c r="Z1069" s="3">
        <v>1</v>
      </c>
      <c r="AA1069" s="3">
        <v>0</v>
      </c>
    </row>
    <row r="1070" spans="1:27">
      <c r="A1070" t="s">
        <v>1157</v>
      </c>
      <c r="B1070" s="3">
        <v>3</v>
      </c>
      <c r="C1070" s="3">
        <v>0</v>
      </c>
      <c r="D1070" s="1">
        <v>36823</v>
      </c>
      <c r="E1070" s="1">
        <v>39082</v>
      </c>
      <c r="F1070" s="2">
        <f t="shared" si="16"/>
        <v>6.1848049281314168</v>
      </c>
      <c r="G1070" s="3">
        <v>2</v>
      </c>
      <c r="H1070" s="3">
        <v>0</v>
      </c>
      <c r="I1070" s="3">
        <v>1</v>
      </c>
      <c r="J1070" s="3">
        <v>0</v>
      </c>
      <c r="K1070" s="3">
        <v>0</v>
      </c>
      <c r="L1070" s="3">
        <v>0</v>
      </c>
      <c r="M1070" s="3">
        <v>0</v>
      </c>
      <c r="N1070" s="3">
        <v>1</v>
      </c>
      <c r="O1070" s="3">
        <v>0</v>
      </c>
      <c r="P1070" s="3">
        <v>1</v>
      </c>
      <c r="Q1070" s="3">
        <v>0</v>
      </c>
      <c r="R1070" s="3">
        <v>103.3</v>
      </c>
      <c r="S1070" s="2">
        <v>14.4</v>
      </c>
      <c r="T1070" t="s">
        <v>28</v>
      </c>
      <c r="U1070" s="3">
        <v>0</v>
      </c>
      <c r="V1070" s="3">
        <v>1</v>
      </c>
      <c r="W1070" s="3">
        <v>1</v>
      </c>
      <c r="X1070" s="3">
        <v>1</v>
      </c>
      <c r="Y1070" s="3">
        <v>0</v>
      </c>
      <c r="Z1070" s="3">
        <v>0</v>
      </c>
      <c r="AA1070" s="3">
        <v>0</v>
      </c>
    </row>
    <row r="1071" spans="1:27">
      <c r="A1071" t="s">
        <v>1158</v>
      </c>
      <c r="B1071" s="3">
        <v>1</v>
      </c>
      <c r="C1071" s="3">
        <v>0</v>
      </c>
      <c r="D1071" s="1">
        <v>36747</v>
      </c>
      <c r="E1071" s="1">
        <v>39082</v>
      </c>
      <c r="F1071" s="2">
        <f t="shared" si="16"/>
        <v>6.3928815879534566</v>
      </c>
      <c r="G1071" s="3">
        <v>1</v>
      </c>
      <c r="H1071" s="3">
        <v>0</v>
      </c>
      <c r="I1071" s="3">
        <v>0</v>
      </c>
      <c r="J1071" s="3">
        <v>0</v>
      </c>
      <c r="K1071" s="3">
        <v>0</v>
      </c>
      <c r="L1071" s="3">
        <v>1</v>
      </c>
      <c r="M1071" s="3">
        <v>1</v>
      </c>
      <c r="N1071" s="3">
        <v>1</v>
      </c>
      <c r="O1071" s="3">
        <v>0</v>
      </c>
      <c r="P1071" s="3">
        <v>1</v>
      </c>
      <c r="Q1071" s="3">
        <v>0</v>
      </c>
      <c r="R1071" s="3">
        <v>103.5</v>
      </c>
      <c r="S1071" s="2">
        <v>12.2</v>
      </c>
      <c r="T1071" t="s">
        <v>44</v>
      </c>
      <c r="U1071" s="3">
        <v>1</v>
      </c>
      <c r="V1071" s="3">
        <v>1</v>
      </c>
      <c r="W1071" s="3">
        <v>0</v>
      </c>
      <c r="X1071" s="3">
        <v>0</v>
      </c>
      <c r="Y1071" s="3">
        <v>0</v>
      </c>
      <c r="Z1071" s="3">
        <v>1</v>
      </c>
      <c r="AA1071" s="3">
        <v>0</v>
      </c>
    </row>
    <row r="1072" spans="1:27">
      <c r="A1072" t="s">
        <v>1159</v>
      </c>
      <c r="B1072" s="3">
        <v>1</v>
      </c>
      <c r="C1072" s="3">
        <v>0</v>
      </c>
      <c r="D1072" s="1">
        <v>38132</v>
      </c>
      <c r="E1072" s="1">
        <v>39082</v>
      </c>
      <c r="F1072" s="2">
        <f t="shared" si="16"/>
        <v>2.6009582477754964</v>
      </c>
      <c r="G1072" s="3">
        <v>1</v>
      </c>
      <c r="H1072" s="3">
        <v>0</v>
      </c>
      <c r="I1072" s="3">
        <v>0</v>
      </c>
      <c r="J1072" s="3">
        <v>0</v>
      </c>
      <c r="K1072" s="3">
        <v>0</v>
      </c>
      <c r="L1072" s="3">
        <v>1</v>
      </c>
      <c r="M1072" s="3">
        <v>0</v>
      </c>
      <c r="N1072" s="3">
        <v>1</v>
      </c>
      <c r="O1072" s="3">
        <v>0</v>
      </c>
      <c r="P1072" s="3">
        <v>0</v>
      </c>
      <c r="Q1072" s="3">
        <v>0</v>
      </c>
      <c r="R1072" s="3">
        <v>103.6</v>
      </c>
      <c r="S1072" s="2">
        <v>16</v>
      </c>
      <c r="T1072" t="s">
        <v>28</v>
      </c>
      <c r="U1072" s="3">
        <v>1</v>
      </c>
      <c r="V1072" s="3">
        <v>1</v>
      </c>
      <c r="W1072" s="3">
        <v>0</v>
      </c>
      <c r="X1072" s="3">
        <v>0</v>
      </c>
      <c r="Y1072" s="3">
        <v>0</v>
      </c>
      <c r="Z1072" s="3">
        <v>1</v>
      </c>
      <c r="AA1072" s="3">
        <v>0</v>
      </c>
    </row>
    <row r="1073" spans="1:27">
      <c r="A1073" t="s">
        <v>1160</v>
      </c>
      <c r="B1073" s="3">
        <v>1</v>
      </c>
      <c r="C1073" s="3">
        <v>0</v>
      </c>
      <c r="D1073" s="1">
        <v>36677</v>
      </c>
      <c r="E1073" s="1">
        <v>39082</v>
      </c>
      <c r="F1073" s="2">
        <f t="shared" si="16"/>
        <v>6.584531143052704</v>
      </c>
      <c r="G1073" s="3">
        <v>1</v>
      </c>
      <c r="H1073" s="3">
        <v>1</v>
      </c>
      <c r="I1073" s="3">
        <v>1</v>
      </c>
      <c r="J1073" s="3">
        <v>0</v>
      </c>
      <c r="K1073" s="3">
        <v>0</v>
      </c>
      <c r="L1073" s="3">
        <v>0</v>
      </c>
      <c r="M1073" s="3">
        <v>0</v>
      </c>
      <c r="N1073" s="3">
        <v>0</v>
      </c>
      <c r="O1073" s="3">
        <v>0</v>
      </c>
      <c r="P1073" s="3">
        <v>0</v>
      </c>
      <c r="Q1073" s="3">
        <v>0</v>
      </c>
      <c r="R1073" s="3">
        <v>103.6</v>
      </c>
      <c r="S1073" s="2">
        <v>15.8</v>
      </c>
      <c r="T1073" t="s">
        <v>92</v>
      </c>
      <c r="U1073" s="3">
        <v>1</v>
      </c>
      <c r="V1073" s="3">
        <v>1</v>
      </c>
      <c r="W1073" s="3">
        <v>1</v>
      </c>
      <c r="X1073" s="3">
        <v>1</v>
      </c>
      <c r="Y1073" s="3">
        <v>0</v>
      </c>
      <c r="Z1073" s="3">
        <v>1</v>
      </c>
      <c r="AA1073" s="3">
        <v>0</v>
      </c>
    </row>
    <row r="1074" spans="1:27">
      <c r="A1074" t="s">
        <v>1161</v>
      </c>
      <c r="B1074" s="3">
        <v>3</v>
      </c>
      <c r="C1074" s="3">
        <v>0</v>
      </c>
      <c r="D1074" s="1">
        <v>38153</v>
      </c>
      <c r="E1074" s="1">
        <v>39082</v>
      </c>
      <c r="F1074" s="2">
        <f t="shared" si="16"/>
        <v>2.5434633812457221</v>
      </c>
      <c r="G1074" s="3">
        <v>2</v>
      </c>
      <c r="H1074" s="3">
        <v>1</v>
      </c>
      <c r="I1074" s="3">
        <v>0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  <c r="P1074" s="3">
        <v>1</v>
      </c>
      <c r="Q1074" s="3">
        <v>0</v>
      </c>
      <c r="R1074" s="3">
        <v>104</v>
      </c>
      <c r="S1074" s="2">
        <v>15.6</v>
      </c>
      <c r="T1074" t="s">
        <v>28</v>
      </c>
      <c r="U1074" s="3">
        <v>0</v>
      </c>
      <c r="V1074" s="3">
        <v>1</v>
      </c>
      <c r="W1074" s="3">
        <v>1</v>
      </c>
      <c r="X1074" s="3">
        <v>1</v>
      </c>
      <c r="Y1074" s="3">
        <v>1</v>
      </c>
      <c r="Z1074" s="3">
        <v>0</v>
      </c>
      <c r="AA1074" s="3">
        <v>0</v>
      </c>
    </row>
    <row r="1075" spans="1:27">
      <c r="A1075" t="s">
        <v>1162</v>
      </c>
      <c r="B1075" s="3">
        <v>2</v>
      </c>
      <c r="C1075" s="3">
        <v>0</v>
      </c>
      <c r="D1075" s="1">
        <v>36797</v>
      </c>
      <c r="E1075" s="1">
        <v>39082</v>
      </c>
      <c r="F1075" s="2">
        <f t="shared" si="16"/>
        <v>6.2559890485968515</v>
      </c>
      <c r="G1075" s="3">
        <v>2</v>
      </c>
      <c r="H1075" s="3">
        <v>1</v>
      </c>
      <c r="I1075" s="3">
        <v>0</v>
      </c>
      <c r="J1075" s="3">
        <v>0</v>
      </c>
      <c r="K1075" s="3">
        <v>0</v>
      </c>
      <c r="L1075" s="3">
        <v>0</v>
      </c>
      <c r="M1075" s="3">
        <v>0</v>
      </c>
      <c r="N1075" s="3">
        <v>1</v>
      </c>
      <c r="O1075" s="3">
        <v>0</v>
      </c>
      <c r="P1075" s="3">
        <v>1</v>
      </c>
      <c r="Q1075" s="3">
        <v>0</v>
      </c>
      <c r="R1075" s="3">
        <v>105</v>
      </c>
      <c r="S1075" s="2">
        <v>13.4</v>
      </c>
      <c r="T1075" t="s">
        <v>69</v>
      </c>
      <c r="U1075" s="3">
        <v>1</v>
      </c>
      <c r="V1075" s="3">
        <v>1</v>
      </c>
      <c r="W1075" s="3">
        <v>1</v>
      </c>
      <c r="X1075" s="3">
        <v>0</v>
      </c>
      <c r="Y1075" s="3">
        <v>0</v>
      </c>
      <c r="Z1075" s="3">
        <v>0</v>
      </c>
      <c r="AA1075" s="3">
        <v>0</v>
      </c>
    </row>
    <row r="1076" spans="1:27">
      <c r="A1076" t="s">
        <v>893</v>
      </c>
      <c r="B1076" s="3">
        <v>2</v>
      </c>
      <c r="C1076" s="3">
        <v>0</v>
      </c>
      <c r="D1076" s="1">
        <v>36985</v>
      </c>
      <c r="E1076" s="1">
        <v>39082</v>
      </c>
      <c r="F1076" s="2">
        <f t="shared" si="16"/>
        <v>5.7412731006160165</v>
      </c>
      <c r="G1076" s="3">
        <v>1</v>
      </c>
      <c r="H1076" s="3">
        <v>1</v>
      </c>
      <c r="I1076" s="3">
        <v>1</v>
      </c>
      <c r="J1076" s="3">
        <v>1</v>
      </c>
      <c r="K1076" s="3">
        <v>1</v>
      </c>
      <c r="L1076" s="3">
        <v>0</v>
      </c>
      <c r="M1076" s="3">
        <v>0</v>
      </c>
      <c r="N1076" s="3">
        <v>1</v>
      </c>
      <c r="O1076" s="3">
        <v>1</v>
      </c>
      <c r="P1076" s="3">
        <v>1</v>
      </c>
      <c r="Q1076" s="3">
        <v>0</v>
      </c>
      <c r="R1076" s="3">
        <v>105.2</v>
      </c>
      <c r="S1076" s="2">
        <v>15.7</v>
      </c>
      <c r="T1076" t="s">
        <v>28</v>
      </c>
      <c r="U1076" s="3">
        <v>1</v>
      </c>
      <c r="V1076" s="3">
        <v>1</v>
      </c>
      <c r="W1076" s="3">
        <v>0</v>
      </c>
      <c r="X1076" s="3">
        <v>0</v>
      </c>
      <c r="Y1076" s="3">
        <v>0</v>
      </c>
      <c r="Z1076" s="3">
        <v>1</v>
      </c>
      <c r="AA1076" s="3">
        <v>0</v>
      </c>
    </row>
    <row r="1077" spans="1:27">
      <c r="A1077" t="s">
        <v>1163</v>
      </c>
      <c r="B1077" s="3">
        <v>3</v>
      </c>
      <c r="C1077" s="3">
        <v>0</v>
      </c>
      <c r="D1077" s="1">
        <v>36678</v>
      </c>
      <c r="E1077" s="1">
        <v>39082</v>
      </c>
      <c r="F1077" s="2">
        <f t="shared" si="16"/>
        <v>6.5817932922655711</v>
      </c>
      <c r="G1077" s="3">
        <v>2</v>
      </c>
      <c r="H1077" s="3">
        <v>1</v>
      </c>
      <c r="I1077" s="3">
        <v>0</v>
      </c>
      <c r="J1077" s="3">
        <v>1</v>
      </c>
      <c r="K1077" s="3">
        <v>0</v>
      </c>
      <c r="L1077" s="3">
        <v>0</v>
      </c>
      <c r="M1077" s="3">
        <v>0</v>
      </c>
      <c r="N1077" s="3">
        <v>1</v>
      </c>
      <c r="O1077" s="3">
        <v>0</v>
      </c>
      <c r="P1077" s="3">
        <v>0</v>
      </c>
      <c r="Q1077" s="3">
        <v>0</v>
      </c>
      <c r="R1077" s="3">
        <v>105.3</v>
      </c>
      <c r="S1077" s="2">
        <v>16.5</v>
      </c>
      <c r="T1077" t="s">
        <v>28</v>
      </c>
      <c r="U1077" s="3">
        <v>0</v>
      </c>
      <c r="V1077" s="3">
        <v>0</v>
      </c>
      <c r="W1077" s="3">
        <v>1</v>
      </c>
      <c r="X1077" s="3">
        <v>1</v>
      </c>
      <c r="Y1077" s="3">
        <v>0</v>
      </c>
      <c r="Z1077" s="3">
        <v>0</v>
      </c>
      <c r="AA1077" s="3">
        <v>0</v>
      </c>
    </row>
    <row r="1078" spans="1:27">
      <c r="A1078" t="s">
        <v>1164</v>
      </c>
      <c r="B1078" s="3">
        <v>3</v>
      </c>
      <c r="C1078" s="3">
        <v>0</v>
      </c>
      <c r="D1078" s="1">
        <v>36669</v>
      </c>
      <c r="E1078" s="1">
        <v>39082</v>
      </c>
      <c r="F1078" s="2">
        <f t="shared" si="16"/>
        <v>6.6064339493497606</v>
      </c>
      <c r="G1078" s="3">
        <v>2</v>
      </c>
      <c r="H1078" s="3">
        <v>1</v>
      </c>
      <c r="I1078" s="3">
        <v>0</v>
      </c>
      <c r="J1078" s="3">
        <v>0</v>
      </c>
      <c r="K1078" s="3">
        <v>0</v>
      </c>
      <c r="L1078" s="3">
        <v>0</v>
      </c>
      <c r="M1078" s="3">
        <v>1</v>
      </c>
      <c r="N1078" s="3">
        <v>1</v>
      </c>
      <c r="O1078" s="3">
        <v>0</v>
      </c>
      <c r="P1078" s="3">
        <v>1</v>
      </c>
      <c r="Q1078" s="3">
        <v>0</v>
      </c>
      <c r="R1078" s="3">
        <v>105.5</v>
      </c>
      <c r="S1078" s="2">
        <v>17.7</v>
      </c>
      <c r="T1078" t="s">
        <v>759</v>
      </c>
      <c r="U1078" s="3">
        <v>1</v>
      </c>
      <c r="V1078" s="3">
        <v>1</v>
      </c>
      <c r="W1078" s="3">
        <v>1</v>
      </c>
      <c r="X1078" s="3">
        <v>1</v>
      </c>
      <c r="Y1078" s="3">
        <v>0</v>
      </c>
      <c r="Z1078" s="3">
        <v>0</v>
      </c>
      <c r="AA1078" s="3">
        <v>0</v>
      </c>
    </row>
    <row r="1079" spans="1:27">
      <c r="A1079" t="s">
        <v>1165</v>
      </c>
      <c r="B1079" s="3">
        <v>3</v>
      </c>
      <c r="C1079" s="3">
        <v>0</v>
      </c>
      <c r="D1079" s="1">
        <v>36662</v>
      </c>
      <c r="E1079" s="1">
        <v>39082</v>
      </c>
      <c r="F1079" s="2">
        <f t="shared" si="16"/>
        <v>6.6255989048596851</v>
      </c>
      <c r="G1079" s="3">
        <v>2</v>
      </c>
      <c r="H1079" s="3">
        <v>0</v>
      </c>
      <c r="I1079" s="3">
        <v>1</v>
      </c>
      <c r="J1079" s="3">
        <v>0</v>
      </c>
      <c r="K1079" s="3">
        <v>0</v>
      </c>
      <c r="L1079" s="3">
        <v>0</v>
      </c>
      <c r="M1079" s="3">
        <v>0</v>
      </c>
      <c r="N1079" s="3">
        <v>1</v>
      </c>
      <c r="O1079" s="3">
        <v>0</v>
      </c>
      <c r="P1079" s="3">
        <v>1</v>
      </c>
      <c r="Q1079" s="3">
        <v>0</v>
      </c>
      <c r="R1079" s="3">
        <v>105.8</v>
      </c>
      <c r="S1079" s="2">
        <v>15.5</v>
      </c>
      <c r="T1079" t="s">
        <v>28</v>
      </c>
      <c r="U1079" s="3">
        <v>0</v>
      </c>
      <c r="V1079" s="3">
        <v>1</v>
      </c>
      <c r="W1079" s="3">
        <v>0</v>
      </c>
      <c r="X1079" s="3">
        <v>0</v>
      </c>
      <c r="Y1079" s="3">
        <v>0</v>
      </c>
      <c r="Z1079" s="3">
        <v>0</v>
      </c>
      <c r="AA1079" s="3">
        <v>0</v>
      </c>
    </row>
    <row r="1080" spans="1:27">
      <c r="A1080" t="s">
        <v>1166</v>
      </c>
      <c r="B1080" s="3">
        <v>3</v>
      </c>
      <c r="C1080" s="3">
        <v>0</v>
      </c>
      <c r="D1080" s="1">
        <v>38092</v>
      </c>
      <c r="E1080" s="1">
        <v>39082</v>
      </c>
      <c r="F1080" s="2">
        <f t="shared" si="16"/>
        <v>2.7104722792607805</v>
      </c>
      <c r="G1080" s="3">
        <v>2</v>
      </c>
      <c r="H1080" s="3">
        <v>1</v>
      </c>
      <c r="I1080" s="3">
        <v>0</v>
      </c>
      <c r="J1080" s="3">
        <v>0</v>
      </c>
      <c r="K1080" s="3">
        <v>0</v>
      </c>
      <c r="L1080" s="3">
        <v>0</v>
      </c>
      <c r="M1080" s="3">
        <v>0</v>
      </c>
      <c r="N1080" s="3">
        <v>1</v>
      </c>
      <c r="O1080" s="3">
        <v>0</v>
      </c>
      <c r="P1080" s="3">
        <v>0</v>
      </c>
      <c r="Q1080" s="3">
        <v>0</v>
      </c>
      <c r="R1080" s="3">
        <v>106.2</v>
      </c>
      <c r="S1080" s="2">
        <v>15.6</v>
      </c>
      <c r="T1080" t="s">
        <v>1167</v>
      </c>
      <c r="U1080" s="3">
        <v>0</v>
      </c>
      <c r="V1080" s="3">
        <v>1</v>
      </c>
      <c r="W1080" s="3">
        <v>0</v>
      </c>
      <c r="X1080" s="3">
        <v>1</v>
      </c>
      <c r="Y1080" s="3">
        <v>1</v>
      </c>
      <c r="Z1080" s="3">
        <v>0</v>
      </c>
      <c r="AA1080" s="3">
        <v>0</v>
      </c>
    </row>
    <row r="1081" spans="1:27">
      <c r="A1081" t="s">
        <v>1168</v>
      </c>
      <c r="B1081" s="3">
        <v>2</v>
      </c>
      <c r="C1081" s="3">
        <v>0</v>
      </c>
      <c r="D1081" s="1">
        <v>38148</v>
      </c>
      <c r="E1081" s="1">
        <v>39082</v>
      </c>
      <c r="F1081" s="2">
        <f t="shared" si="16"/>
        <v>2.5571526351813825</v>
      </c>
      <c r="G1081" s="3">
        <v>1</v>
      </c>
      <c r="H1081" s="3">
        <v>0</v>
      </c>
      <c r="I1081" s="3">
        <v>1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>
        <v>0</v>
      </c>
      <c r="P1081" s="3">
        <v>0</v>
      </c>
      <c r="Q1081" s="3">
        <v>0</v>
      </c>
      <c r="R1081" s="3">
        <v>110.1</v>
      </c>
      <c r="S1081" s="2">
        <v>14.4</v>
      </c>
      <c r="T1081" t="s">
        <v>59</v>
      </c>
      <c r="U1081" s="3">
        <v>0</v>
      </c>
      <c r="V1081" s="3">
        <v>0</v>
      </c>
      <c r="W1081" s="3">
        <v>1</v>
      </c>
      <c r="X1081" s="3">
        <v>1</v>
      </c>
      <c r="Y1081" s="3">
        <v>0</v>
      </c>
      <c r="Z1081" s="3">
        <v>1</v>
      </c>
      <c r="AA1081" s="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5A885-D9BA-423D-9CA4-65CF79026188}">
  <dimension ref="A1:R1081"/>
  <sheetViews>
    <sheetView topLeftCell="A10" workbookViewId="0">
      <selection activeCell="Q29" sqref="Q29"/>
    </sheetView>
  </sheetViews>
  <sheetFormatPr defaultRowHeight="14.4"/>
  <cols>
    <col min="2" max="2" width="9"/>
    <col min="4" max="4" width="9.77734375" bestFit="1" customWidth="1"/>
    <col min="16" max="16" width="13.77734375" customWidth="1"/>
  </cols>
  <sheetData>
    <row r="1" spans="1:17">
      <c r="A1" t="s">
        <v>1</v>
      </c>
      <c r="B1" t="s">
        <v>2</v>
      </c>
      <c r="C1" t="s">
        <v>6</v>
      </c>
      <c r="D1" t="s">
        <v>7</v>
      </c>
    </row>
    <row r="2" spans="1:17">
      <c r="A2" s="3">
        <v>3</v>
      </c>
      <c r="B2" s="3">
        <v>1</v>
      </c>
      <c r="C2" s="3">
        <v>2</v>
      </c>
      <c r="D2" s="3">
        <v>0</v>
      </c>
    </row>
    <row r="3" spans="1:17">
      <c r="A3" s="3">
        <v>3</v>
      </c>
      <c r="B3" s="3">
        <v>1</v>
      </c>
      <c r="C3" s="3">
        <v>2</v>
      </c>
      <c r="D3" s="3">
        <v>1</v>
      </c>
    </row>
    <row r="4" spans="1:17">
      <c r="A4" s="3">
        <v>1</v>
      </c>
      <c r="B4" s="3">
        <v>1</v>
      </c>
      <c r="C4" s="3">
        <v>2</v>
      </c>
      <c r="D4" s="3">
        <v>0</v>
      </c>
      <c r="O4" t="s">
        <v>1243</v>
      </c>
    </row>
    <row r="5" spans="1:17">
      <c r="A5" s="3">
        <v>1</v>
      </c>
      <c r="B5" s="3">
        <v>1</v>
      </c>
      <c r="C5" s="3">
        <v>2</v>
      </c>
      <c r="D5" s="3">
        <v>0</v>
      </c>
    </row>
    <row r="6" spans="1:17">
      <c r="A6" s="3">
        <v>3</v>
      </c>
      <c r="B6" s="3">
        <v>1</v>
      </c>
      <c r="C6" s="3">
        <v>1</v>
      </c>
      <c r="D6" s="3">
        <v>1</v>
      </c>
      <c r="O6" s="7" t="s">
        <v>1244</v>
      </c>
      <c r="P6" s="7" t="s">
        <v>1245</v>
      </c>
      <c r="Q6" s="7" t="s">
        <v>1246</v>
      </c>
    </row>
    <row r="7" spans="1:17">
      <c r="A7" s="3">
        <v>3</v>
      </c>
      <c r="B7" s="3">
        <v>1</v>
      </c>
      <c r="C7" s="3">
        <v>1</v>
      </c>
      <c r="D7" s="3">
        <v>1</v>
      </c>
      <c r="O7" s="7">
        <v>1</v>
      </c>
      <c r="P7" s="7">
        <f>COUNTIF(A:A,O7)</f>
        <v>314</v>
      </c>
      <c r="Q7" s="18">
        <f>P7/$P$10</f>
        <v>0.29074074074074074</v>
      </c>
    </row>
    <row r="8" spans="1:17">
      <c r="A8" s="3">
        <v>1</v>
      </c>
      <c r="B8" s="3">
        <v>1</v>
      </c>
      <c r="C8" s="3">
        <v>2</v>
      </c>
      <c r="D8" s="3">
        <v>0</v>
      </c>
      <c r="O8" s="7">
        <v>2</v>
      </c>
      <c r="P8" s="7">
        <f t="shared" ref="P8:P9" si="0">COUNTIF(A:A,O8)</f>
        <v>353</v>
      </c>
      <c r="Q8" s="18">
        <f t="shared" ref="Q8:Q9" si="1">P8/$P$10</f>
        <v>0.32685185185185184</v>
      </c>
    </row>
    <row r="9" spans="1:17">
      <c r="A9" s="3">
        <v>3</v>
      </c>
      <c r="B9" s="3">
        <v>1</v>
      </c>
      <c r="C9" s="3">
        <v>2</v>
      </c>
      <c r="D9" s="3">
        <v>1</v>
      </c>
      <c r="O9" s="7">
        <v>3</v>
      </c>
      <c r="P9" s="7">
        <f t="shared" si="0"/>
        <v>413</v>
      </c>
      <c r="Q9" s="18">
        <f t="shared" si="1"/>
        <v>0.38240740740740742</v>
      </c>
    </row>
    <row r="10" spans="1:17">
      <c r="A10" s="3">
        <v>2</v>
      </c>
      <c r="B10" s="3">
        <v>1</v>
      </c>
      <c r="C10" s="3">
        <v>1</v>
      </c>
      <c r="D10" s="3">
        <v>1</v>
      </c>
      <c r="O10" s="7" t="s">
        <v>1247</v>
      </c>
      <c r="P10" s="7">
        <f>SUM(P7:P9)</f>
        <v>1080</v>
      </c>
      <c r="Q10" s="7"/>
    </row>
    <row r="11" spans="1:17">
      <c r="A11" s="3">
        <v>3</v>
      </c>
      <c r="B11" s="3">
        <v>1</v>
      </c>
      <c r="C11" s="3">
        <v>2</v>
      </c>
      <c r="D11" s="3">
        <v>1</v>
      </c>
    </row>
    <row r="12" spans="1:17">
      <c r="A12" s="3">
        <v>1</v>
      </c>
      <c r="B12" s="3">
        <v>1</v>
      </c>
      <c r="C12" s="3">
        <v>2</v>
      </c>
      <c r="D12" s="3">
        <v>1</v>
      </c>
    </row>
    <row r="13" spans="1:17">
      <c r="A13" s="3">
        <v>3</v>
      </c>
      <c r="B13" s="3">
        <v>1</v>
      </c>
      <c r="C13" s="3">
        <v>1</v>
      </c>
      <c r="D13" s="3">
        <v>1</v>
      </c>
      <c r="O13" t="s">
        <v>1248</v>
      </c>
    </row>
    <row r="14" spans="1:17">
      <c r="A14" s="3">
        <v>2</v>
      </c>
      <c r="B14" s="3">
        <v>1</v>
      </c>
      <c r="C14" s="3">
        <v>1</v>
      </c>
      <c r="D14" s="3">
        <v>0</v>
      </c>
      <c r="O14" t="s">
        <v>1249</v>
      </c>
    </row>
    <row r="15" spans="1:17">
      <c r="A15" s="3">
        <v>3</v>
      </c>
      <c r="B15" s="3">
        <v>1</v>
      </c>
      <c r="C15" s="3">
        <v>2</v>
      </c>
      <c r="D15" s="3">
        <v>1</v>
      </c>
      <c r="P15" t="s">
        <v>2</v>
      </c>
    </row>
    <row r="16" spans="1:17">
      <c r="A16" s="3">
        <v>2</v>
      </c>
      <c r="B16" s="3">
        <v>0</v>
      </c>
      <c r="C16" s="3">
        <v>1</v>
      </c>
      <c r="D16" s="3">
        <v>1</v>
      </c>
      <c r="O16" s="7"/>
      <c r="P16" s="7">
        <v>0</v>
      </c>
      <c r="Q16" s="7">
        <v>1</v>
      </c>
    </row>
    <row r="17" spans="1:18">
      <c r="A17" s="3">
        <v>3</v>
      </c>
      <c r="B17" s="3">
        <v>1</v>
      </c>
      <c r="C17" s="3">
        <v>2</v>
      </c>
      <c r="D17" s="3">
        <v>1</v>
      </c>
      <c r="N17" t="s">
        <v>1</v>
      </c>
      <c r="O17" s="7">
        <v>1</v>
      </c>
      <c r="P17" s="7">
        <f>COUNTIFS($A:$A,O17, $B:$B, P$16)</f>
        <v>215</v>
      </c>
      <c r="Q17" s="7">
        <f>COUNTIFS($A:$A,$O17, $B:$B, Q$16)</f>
        <v>99</v>
      </c>
    </row>
    <row r="18" spans="1:18">
      <c r="A18" s="3">
        <v>1</v>
      </c>
      <c r="B18" s="3">
        <v>1</v>
      </c>
      <c r="C18" s="3">
        <v>2</v>
      </c>
      <c r="D18" s="3">
        <v>0</v>
      </c>
      <c r="O18" s="7">
        <v>2</v>
      </c>
      <c r="P18" s="7">
        <f t="shared" ref="P18:P19" si="2">COUNTIFS($A:$A,O18, $B:$B, P$16)</f>
        <v>195</v>
      </c>
      <c r="Q18" s="7">
        <f t="shared" ref="Q18:Q19" si="3">COUNTIFS($A:$A,$O18, $B:$B, Q$16)</f>
        <v>158</v>
      </c>
    </row>
    <row r="19" spans="1:18">
      <c r="A19" s="3">
        <v>1</v>
      </c>
      <c r="B19" s="3">
        <v>1</v>
      </c>
      <c r="C19" s="3">
        <v>1</v>
      </c>
      <c r="D19" s="3">
        <v>0</v>
      </c>
      <c r="O19" s="7">
        <v>3</v>
      </c>
      <c r="P19" s="7">
        <f t="shared" si="2"/>
        <v>213</v>
      </c>
      <c r="Q19" s="7">
        <f t="shared" si="3"/>
        <v>200</v>
      </c>
    </row>
    <row r="20" spans="1:18">
      <c r="A20" s="3">
        <v>1</v>
      </c>
      <c r="B20" s="3">
        <v>1</v>
      </c>
      <c r="C20" s="3">
        <v>2</v>
      </c>
      <c r="D20" s="3">
        <v>1</v>
      </c>
    </row>
    <row r="21" spans="1:18">
      <c r="A21" s="3">
        <v>1</v>
      </c>
      <c r="B21" s="3">
        <v>0</v>
      </c>
      <c r="C21" s="3">
        <v>1</v>
      </c>
      <c r="D21" s="3">
        <v>1</v>
      </c>
      <c r="O21" s="19" t="s">
        <v>1250</v>
      </c>
    </row>
    <row r="22" spans="1:18">
      <c r="A22" s="3">
        <v>1</v>
      </c>
      <c r="B22" s="3">
        <v>1</v>
      </c>
      <c r="C22" s="3">
        <v>1</v>
      </c>
      <c r="D22" s="3">
        <v>0</v>
      </c>
    </row>
    <row r="23" spans="1:18">
      <c r="A23" s="3">
        <v>2</v>
      </c>
      <c r="B23" s="3">
        <v>1</v>
      </c>
      <c r="C23" s="3">
        <v>1</v>
      </c>
      <c r="D23" s="3">
        <v>1</v>
      </c>
      <c r="Q23" t="s">
        <v>2</v>
      </c>
    </row>
    <row r="24" spans="1:18">
      <c r="A24" s="3">
        <v>3</v>
      </c>
      <c r="B24" s="3">
        <v>1</v>
      </c>
      <c r="C24" s="3">
        <v>1</v>
      </c>
      <c r="D24" s="3">
        <v>1</v>
      </c>
      <c r="P24" s="7"/>
      <c r="Q24" s="7">
        <v>0</v>
      </c>
      <c r="R24" s="7">
        <v>1</v>
      </c>
    </row>
    <row r="25" spans="1:18">
      <c r="A25" s="3">
        <v>2</v>
      </c>
      <c r="B25" s="3">
        <v>0</v>
      </c>
      <c r="C25" s="3">
        <v>1</v>
      </c>
      <c r="D25" s="3">
        <v>1</v>
      </c>
      <c r="O25" t="s">
        <v>1</v>
      </c>
      <c r="P25" s="7">
        <v>1</v>
      </c>
      <c r="Q25" s="18">
        <f>$P17/($P17+$Q17)</f>
        <v>0.6847133757961783</v>
      </c>
      <c r="R25" s="18">
        <f>$Q17/($P17+$Q17)</f>
        <v>0.31528662420382164</v>
      </c>
    </row>
    <row r="26" spans="1:18">
      <c r="A26" s="3">
        <v>3</v>
      </c>
      <c r="B26" s="3">
        <v>1</v>
      </c>
      <c r="C26" s="3">
        <v>2</v>
      </c>
      <c r="D26" s="3">
        <v>1</v>
      </c>
      <c r="P26" s="7">
        <v>2</v>
      </c>
      <c r="Q26" s="18">
        <f t="shared" ref="Q26:Q27" si="4">$P18/($P18+$Q18)</f>
        <v>0.55240793201133143</v>
      </c>
      <c r="R26" s="18">
        <f t="shared" ref="R26:R27" si="5">$Q18/($P18+$Q18)</f>
        <v>0.44759206798866857</v>
      </c>
    </row>
    <row r="27" spans="1:18">
      <c r="A27" s="3">
        <v>2</v>
      </c>
      <c r="B27" s="3">
        <v>1</v>
      </c>
      <c r="C27" s="3">
        <v>1</v>
      </c>
      <c r="D27" s="3">
        <v>1</v>
      </c>
      <c r="P27" s="7">
        <v>3</v>
      </c>
      <c r="Q27" s="18">
        <f t="shared" si="4"/>
        <v>0.5157384987893463</v>
      </c>
      <c r="R27" s="18">
        <f t="shared" si="5"/>
        <v>0.48426150121065376</v>
      </c>
    </row>
    <row r="28" spans="1:18">
      <c r="A28" s="3">
        <v>2</v>
      </c>
      <c r="B28" s="3">
        <v>0</v>
      </c>
      <c r="C28" s="3">
        <v>2</v>
      </c>
      <c r="D28" s="3">
        <v>0</v>
      </c>
    </row>
    <row r="29" spans="1:18">
      <c r="A29" s="3">
        <v>2</v>
      </c>
      <c r="B29" s="3">
        <v>0</v>
      </c>
      <c r="C29" s="3">
        <v>1</v>
      </c>
      <c r="D29" s="3">
        <v>1</v>
      </c>
      <c r="N29" s="19" t="s">
        <v>1251</v>
      </c>
    </row>
    <row r="30" spans="1:18">
      <c r="A30" s="3">
        <v>2</v>
      </c>
      <c r="B30" s="3">
        <v>0</v>
      </c>
      <c r="C30" s="3">
        <v>2</v>
      </c>
      <c r="D30" s="3">
        <v>0</v>
      </c>
    </row>
    <row r="31" spans="1:18">
      <c r="A31" s="3">
        <v>2</v>
      </c>
      <c r="B31" s="3">
        <v>0</v>
      </c>
      <c r="C31" s="3">
        <v>1</v>
      </c>
      <c r="D31" s="3">
        <v>1</v>
      </c>
      <c r="P31" t="s">
        <v>2</v>
      </c>
    </row>
    <row r="32" spans="1:18">
      <c r="A32" s="3">
        <v>2</v>
      </c>
      <c r="B32" s="3">
        <v>0</v>
      </c>
      <c r="C32" s="3">
        <v>2</v>
      </c>
      <c r="D32" s="3">
        <v>1</v>
      </c>
      <c r="O32" s="7"/>
      <c r="P32" s="7">
        <v>0</v>
      </c>
      <c r="Q32" s="7">
        <v>1</v>
      </c>
    </row>
    <row r="33" spans="1:17">
      <c r="A33" s="3">
        <v>2</v>
      </c>
      <c r="B33" s="3">
        <v>0</v>
      </c>
      <c r="C33" s="3">
        <v>1</v>
      </c>
      <c r="D33" s="3">
        <v>1</v>
      </c>
      <c r="N33" t="s">
        <v>1</v>
      </c>
      <c r="O33" s="7">
        <v>1</v>
      </c>
      <c r="P33" s="18">
        <f>$P17/SUM($P$17:$P$19)</f>
        <v>0.3451043338683788</v>
      </c>
      <c r="Q33" s="18">
        <f>$Q17/SUM($Q$17:$Q$19)</f>
        <v>0.21663019693654267</v>
      </c>
    </row>
    <row r="34" spans="1:17">
      <c r="A34" s="3">
        <v>3</v>
      </c>
      <c r="B34" s="3">
        <v>0</v>
      </c>
      <c r="C34" s="3">
        <v>2</v>
      </c>
      <c r="D34" s="3">
        <v>0</v>
      </c>
      <c r="O34" s="7">
        <v>2</v>
      </c>
      <c r="P34" s="18">
        <f t="shared" ref="P34:P35" si="6">$P18/SUM($P$17:$P$19)</f>
        <v>0.3130016051364366</v>
      </c>
      <c r="Q34" s="18">
        <f t="shared" ref="Q34:Q35" si="7">$Q18/SUM($Q$17:$Q$19)</f>
        <v>0.34573304157549234</v>
      </c>
    </row>
    <row r="35" spans="1:17">
      <c r="A35" s="3">
        <v>3</v>
      </c>
      <c r="B35" s="3">
        <v>0</v>
      </c>
      <c r="C35" s="3">
        <v>2</v>
      </c>
      <c r="D35" s="3">
        <v>0</v>
      </c>
      <c r="O35" s="7">
        <v>3</v>
      </c>
      <c r="P35" s="18">
        <f t="shared" si="6"/>
        <v>0.3418940609951846</v>
      </c>
      <c r="Q35" s="18">
        <f t="shared" si="7"/>
        <v>0.43763676148796499</v>
      </c>
    </row>
    <row r="36" spans="1:17">
      <c r="A36" s="3">
        <v>3</v>
      </c>
      <c r="B36" s="3">
        <v>0</v>
      </c>
      <c r="C36" s="3">
        <v>2</v>
      </c>
      <c r="D36" s="3">
        <v>1</v>
      </c>
    </row>
    <row r="37" spans="1:17">
      <c r="A37" s="3">
        <v>3</v>
      </c>
      <c r="B37" s="3">
        <v>0</v>
      </c>
      <c r="C37" s="3">
        <v>1</v>
      </c>
      <c r="D37" s="3">
        <v>1</v>
      </c>
    </row>
    <row r="38" spans="1:17">
      <c r="A38" s="3">
        <v>2</v>
      </c>
      <c r="B38" s="3">
        <v>0</v>
      </c>
      <c r="C38" s="3">
        <v>1</v>
      </c>
      <c r="D38" s="3">
        <v>1</v>
      </c>
    </row>
    <row r="39" spans="1:17">
      <c r="A39" s="3">
        <v>1</v>
      </c>
      <c r="B39" s="3">
        <v>1</v>
      </c>
      <c r="C39" s="3">
        <v>2</v>
      </c>
      <c r="D39" s="3">
        <v>0</v>
      </c>
    </row>
    <row r="40" spans="1:17">
      <c r="A40" s="3">
        <v>1</v>
      </c>
      <c r="B40" s="3">
        <v>0</v>
      </c>
      <c r="C40" s="3">
        <v>2</v>
      </c>
      <c r="D40" s="3">
        <v>1</v>
      </c>
    </row>
    <row r="41" spans="1:17">
      <c r="A41" s="3">
        <v>2</v>
      </c>
      <c r="B41" s="3">
        <v>0</v>
      </c>
      <c r="C41" s="3">
        <v>1</v>
      </c>
      <c r="D41" s="3">
        <v>1</v>
      </c>
    </row>
    <row r="42" spans="1:17">
      <c r="A42" s="3">
        <v>1</v>
      </c>
      <c r="B42" s="3">
        <v>0</v>
      </c>
      <c r="C42" s="3">
        <v>1</v>
      </c>
      <c r="D42" s="3">
        <v>0</v>
      </c>
    </row>
    <row r="43" spans="1:17">
      <c r="A43" s="3">
        <v>2</v>
      </c>
      <c r="B43" s="3">
        <v>0</v>
      </c>
      <c r="C43" s="3">
        <v>2</v>
      </c>
      <c r="D43" s="3">
        <v>1</v>
      </c>
    </row>
    <row r="44" spans="1:17">
      <c r="A44" s="3">
        <v>3</v>
      </c>
      <c r="B44" s="3">
        <v>0</v>
      </c>
      <c r="C44" s="3">
        <v>2</v>
      </c>
      <c r="D44" s="3">
        <v>1</v>
      </c>
    </row>
    <row r="45" spans="1:17">
      <c r="A45" s="3">
        <v>3</v>
      </c>
      <c r="B45" s="3">
        <v>0</v>
      </c>
      <c r="C45" s="3">
        <v>2</v>
      </c>
      <c r="D45" s="3">
        <v>1</v>
      </c>
    </row>
    <row r="46" spans="1:17">
      <c r="A46" s="3">
        <v>1</v>
      </c>
      <c r="B46" s="3">
        <v>0</v>
      </c>
      <c r="C46" s="3">
        <v>1</v>
      </c>
      <c r="D46" s="3">
        <v>0</v>
      </c>
    </row>
    <row r="47" spans="1:17">
      <c r="A47" s="3">
        <v>3</v>
      </c>
      <c r="B47" s="3">
        <v>1</v>
      </c>
      <c r="C47" s="3">
        <v>2</v>
      </c>
      <c r="D47" s="3">
        <v>0</v>
      </c>
    </row>
    <row r="48" spans="1:17">
      <c r="A48" s="3">
        <v>3</v>
      </c>
      <c r="B48" s="3">
        <v>0</v>
      </c>
      <c r="C48" s="3">
        <v>1</v>
      </c>
      <c r="D48" s="3">
        <v>1</v>
      </c>
    </row>
    <row r="49" spans="1:4">
      <c r="A49" s="3">
        <v>2</v>
      </c>
      <c r="B49" s="3">
        <v>1</v>
      </c>
      <c r="C49" s="3">
        <v>2</v>
      </c>
      <c r="D49" s="3">
        <v>1</v>
      </c>
    </row>
    <row r="50" spans="1:4">
      <c r="A50" s="3">
        <v>2</v>
      </c>
      <c r="B50" s="3">
        <v>1</v>
      </c>
      <c r="C50" s="3">
        <v>2</v>
      </c>
      <c r="D50" s="3">
        <v>1</v>
      </c>
    </row>
    <row r="51" spans="1:4">
      <c r="A51" s="3">
        <v>2</v>
      </c>
      <c r="B51" s="3">
        <v>1</v>
      </c>
      <c r="C51" s="3">
        <v>1</v>
      </c>
      <c r="D51" s="3">
        <v>1</v>
      </c>
    </row>
    <row r="52" spans="1:4">
      <c r="A52" s="3">
        <v>1</v>
      </c>
      <c r="B52" s="3">
        <v>1</v>
      </c>
      <c r="C52" s="3">
        <v>1</v>
      </c>
      <c r="D52" s="3">
        <v>0</v>
      </c>
    </row>
    <row r="53" spans="1:4">
      <c r="A53" s="3">
        <v>1</v>
      </c>
      <c r="B53" s="3">
        <v>1</v>
      </c>
      <c r="C53" s="3">
        <v>2</v>
      </c>
      <c r="D53" s="3">
        <v>1</v>
      </c>
    </row>
    <row r="54" spans="1:4">
      <c r="A54" s="3">
        <v>3</v>
      </c>
      <c r="B54" s="3">
        <v>1</v>
      </c>
      <c r="C54" s="3">
        <v>1</v>
      </c>
      <c r="D54" s="3">
        <v>0</v>
      </c>
    </row>
    <row r="55" spans="1:4">
      <c r="A55" s="3">
        <v>2</v>
      </c>
      <c r="B55" s="3">
        <v>1</v>
      </c>
      <c r="C55" s="3">
        <v>2</v>
      </c>
      <c r="D55" s="3">
        <v>1</v>
      </c>
    </row>
    <row r="56" spans="1:4">
      <c r="A56" s="3">
        <v>3</v>
      </c>
      <c r="B56" s="3">
        <v>1</v>
      </c>
      <c r="C56" s="3">
        <v>1</v>
      </c>
      <c r="D56" s="3">
        <v>0</v>
      </c>
    </row>
    <row r="57" spans="1:4">
      <c r="A57" s="3">
        <v>3</v>
      </c>
      <c r="B57" s="3">
        <v>1</v>
      </c>
      <c r="C57" s="3">
        <v>2</v>
      </c>
      <c r="D57" s="3">
        <v>0</v>
      </c>
    </row>
    <row r="58" spans="1:4">
      <c r="A58" s="3">
        <v>3</v>
      </c>
      <c r="B58" s="3">
        <v>1</v>
      </c>
      <c r="C58" s="3">
        <v>2</v>
      </c>
      <c r="D58" s="3">
        <v>1</v>
      </c>
    </row>
    <row r="59" spans="1:4">
      <c r="A59" s="3">
        <v>3</v>
      </c>
      <c r="B59" s="3">
        <v>1</v>
      </c>
      <c r="C59" s="3">
        <v>1</v>
      </c>
      <c r="D59" s="3">
        <v>1</v>
      </c>
    </row>
    <row r="60" spans="1:4">
      <c r="A60" s="3">
        <v>2</v>
      </c>
      <c r="B60" s="3">
        <v>1</v>
      </c>
      <c r="C60" s="3">
        <v>1</v>
      </c>
      <c r="D60" s="3">
        <v>0</v>
      </c>
    </row>
    <row r="61" spans="1:4">
      <c r="A61" s="3">
        <v>2</v>
      </c>
      <c r="B61" s="3">
        <v>1</v>
      </c>
      <c r="C61" s="3">
        <v>2</v>
      </c>
      <c r="D61" s="3">
        <v>0</v>
      </c>
    </row>
    <row r="62" spans="1:4">
      <c r="A62" s="3">
        <v>1</v>
      </c>
      <c r="B62" s="3">
        <v>1</v>
      </c>
      <c r="C62" s="3">
        <v>2</v>
      </c>
      <c r="D62" s="3">
        <v>1</v>
      </c>
    </row>
    <row r="63" spans="1:4">
      <c r="A63" s="3">
        <v>2</v>
      </c>
      <c r="B63" s="3">
        <v>1</v>
      </c>
      <c r="C63" s="3">
        <v>2</v>
      </c>
      <c r="D63" s="3">
        <v>1</v>
      </c>
    </row>
    <row r="64" spans="1:4">
      <c r="A64" s="3">
        <v>2</v>
      </c>
      <c r="B64" s="3">
        <v>1</v>
      </c>
      <c r="C64" s="3">
        <v>2</v>
      </c>
      <c r="D64" s="3">
        <v>1</v>
      </c>
    </row>
    <row r="65" spans="1:4">
      <c r="A65" s="3">
        <v>1</v>
      </c>
      <c r="B65" s="3">
        <v>1</v>
      </c>
      <c r="C65" s="3">
        <v>2</v>
      </c>
      <c r="D65" s="3">
        <v>1</v>
      </c>
    </row>
    <row r="66" spans="1:4">
      <c r="A66" s="3">
        <v>2</v>
      </c>
      <c r="B66" s="3">
        <v>1</v>
      </c>
      <c r="C66" s="3">
        <v>1</v>
      </c>
      <c r="D66" s="3">
        <v>0</v>
      </c>
    </row>
    <row r="67" spans="1:4">
      <c r="A67" s="3">
        <v>3</v>
      </c>
      <c r="B67" s="3">
        <v>1</v>
      </c>
      <c r="C67" s="3">
        <v>2</v>
      </c>
      <c r="D67" s="3">
        <v>1</v>
      </c>
    </row>
    <row r="68" spans="1:4">
      <c r="A68" s="3">
        <v>3</v>
      </c>
      <c r="B68" s="3">
        <v>0</v>
      </c>
      <c r="C68" s="3">
        <v>1</v>
      </c>
      <c r="D68" s="3">
        <v>1</v>
      </c>
    </row>
    <row r="69" spans="1:4">
      <c r="A69" s="3">
        <v>1</v>
      </c>
      <c r="B69" s="3">
        <v>1</v>
      </c>
      <c r="C69" s="3">
        <v>2</v>
      </c>
      <c r="D69" s="3">
        <v>1</v>
      </c>
    </row>
    <row r="70" spans="1:4">
      <c r="A70" s="3">
        <v>1</v>
      </c>
      <c r="B70" s="3">
        <v>1</v>
      </c>
      <c r="C70" s="3">
        <v>2</v>
      </c>
      <c r="D70" s="3">
        <v>1</v>
      </c>
    </row>
    <row r="71" spans="1:4">
      <c r="A71" s="3">
        <v>2</v>
      </c>
      <c r="B71" s="3">
        <v>1</v>
      </c>
      <c r="C71" s="3">
        <v>2</v>
      </c>
      <c r="D71" s="3">
        <v>1</v>
      </c>
    </row>
    <row r="72" spans="1:4">
      <c r="A72" s="3">
        <v>3</v>
      </c>
      <c r="B72" s="3">
        <v>1</v>
      </c>
      <c r="C72" s="3">
        <v>2</v>
      </c>
      <c r="D72" s="3">
        <v>1</v>
      </c>
    </row>
    <row r="73" spans="1:4">
      <c r="A73" s="3">
        <v>3</v>
      </c>
      <c r="B73" s="3">
        <v>1</v>
      </c>
      <c r="C73" s="3">
        <v>1</v>
      </c>
      <c r="D73" s="3">
        <v>1</v>
      </c>
    </row>
    <row r="74" spans="1:4">
      <c r="A74" s="3">
        <v>2</v>
      </c>
      <c r="B74" s="3">
        <v>1</v>
      </c>
      <c r="C74" s="3">
        <v>2</v>
      </c>
      <c r="D74" s="3">
        <v>1</v>
      </c>
    </row>
    <row r="75" spans="1:4">
      <c r="A75" s="3">
        <v>3</v>
      </c>
      <c r="B75" s="3">
        <v>1</v>
      </c>
      <c r="C75" s="3">
        <v>2</v>
      </c>
      <c r="D75" s="3">
        <v>1</v>
      </c>
    </row>
    <row r="76" spans="1:4">
      <c r="A76" s="3">
        <v>2</v>
      </c>
      <c r="B76" s="3">
        <v>1</v>
      </c>
      <c r="C76" s="3">
        <v>2</v>
      </c>
      <c r="D76" s="3">
        <v>1</v>
      </c>
    </row>
    <row r="77" spans="1:4">
      <c r="A77" s="3">
        <v>2</v>
      </c>
      <c r="B77" s="3">
        <v>1</v>
      </c>
      <c r="C77" s="3">
        <v>1</v>
      </c>
      <c r="D77" s="3">
        <v>1</v>
      </c>
    </row>
    <row r="78" spans="1:4">
      <c r="A78" s="3">
        <v>3</v>
      </c>
      <c r="B78" s="3">
        <v>1</v>
      </c>
      <c r="C78" s="3">
        <v>2</v>
      </c>
      <c r="D78" s="3">
        <v>1</v>
      </c>
    </row>
    <row r="79" spans="1:4">
      <c r="A79" s="3">
        <v>1</v>
      </c>
      <c r="B79" s="3">
        <v>1</v>
      </c>
      <c r="C79" s="3">
        <v>2</v>
      </c>
      <c r="D79" s="3">
        <v>1</v>
      </c>
    </row>
    <row r="80" spans="1:4">
      <c r="A80" s="3">
        <v>2</v>
      </c>
      <c r="B80" s="3">
        <v>1</v>
      </c>
      <c r="C80" s="3">
        <v>2</v>
      </c>
      <c r="D80" s="3">
        <v>1</v>
      </c>
    </row>
    <row r="81" spans="1:4">
      <c r="A81" s="3">
        <v>3</v>
      </c>
      <c r="B81" s="3">
        <v>1</v>
      </c>
      <c r="C81" s="3">
        <v>1</v>
      </c>
      <c r="D81" s="3">
        <v>1</v>
      </c>
    </row>
    <row r="82" spans="1:4">
      <c r="A82" s="3">
        <v>3</v>
      </c>
      <c r="B82" s="3">
        <v>1</v>
      </c>
      <c r="C82" s="3">
        <v>1</v>
      </c>
      <c r="D82" s="3">
        <v>1</v>
      </c>
    </row>
    <row r="83" spans="1:4">
      <c r="A83" s="3">
        <v>2</v>
      </c>
      <c r="B83" s="3">
        <v>1</v>
      </c>
      <c r="C83" s="3">
        <v>1</v>
      </c>
      <c r="D83" s="3">
        <v>1</v>
      </c>
    </row>
    <row r="84" spans="1:4">
      <c r="A84" s="3">
        <v>3</v>
      </c>
      <c r="B84" s="3">
        <v>1</v>
      </c>
      <c r="C84" s="3">
        <v>1</v>
      </c>
      <c r="D84" s="3">
        <v>1</v>
      </c>
    </row>
    <row r="85" spans="1:4">
      <c r="A85" s="3">
        <v>3</v>
      </c>
      <c r="B85" s="3">
        <v>1</v>
      </c>
      <c r="C85" s="3">
        <v>2</v>
      </c>
      <c r="D85" s="3">
        <v>1</v>
      </c>
    </row>
    <row r="86" spans="1:4">
      <c r="A86" s="3">
        <v>2</v>
      </c>
      <c r="B86" s="3">
        <v>1</v>
      </c>
      <c r="C86" s="3">
        <v>1</v>
      </c>
      <c r="D86" s="3">
        <v>1</v>
      </c>
    </row>
    <row r="87" spans="1:4">
      <c r="A87" s="3">
        <v>2</v>
      </c>
      <c r="B87" s="3">
        <v>1</v>
      </c>
      <c r="C87" s="3">
        <v>2</v>
      </c>
      <c r="D87" s="3">
        <v>1</v>
      </c>
    </row>
    <row r="88" spans="1:4">
      <c r="A88" s="3">
        <v>2</v>
      </c>
      <c r="B88" s="3">
        <v>1</v>
      </c>
      <c r="C88" s="3">
        <v>2</v>
      </c>
      <c r="D88" s="3">
        <v>1</v>
      </c>
    </row>
    <row r="89" spans="1:4">
      <c r="A89" s="3">
        <v>2</v>
      </c>
      <c r="B89" s="3">
        <v>1</v>
      </c>
      <c r="C89" s="3">
        <v>1</v>
      </c>
      <c r="D89" s="3">
        <v>1</v>
      </c>
    </row>
    <row r="90" spans="1:4">
      <c r="A90" s="3">
        <v>3</v>
      </c>
      <c r="B90" s="3">
        <v>1</v>
      </c>
      <c r="C90" s="3">
        <v>2</v>
      </c>
      <c r="D90" s="3">
        <v>1</v>
      </c>
    </row>
    <row r="91" spans="1:4">
      <c r="A91" s="3">
        <v>1</v>
      </c>
      <c r="B91" s="3">
        <v>1</v>
      </c>
      <c r="C91" s="3">
        <v>2</v>
      </c>
      <c r="D91" s="3">
        <v>1</v>
      </c>
    </row>
    <row r="92" spans="1:4">
      <c r="A92" s="3">
        <v>2</v>
      </c>
      <c r="B92" s="3">
        <v>1</v>
      </c>
      <c r="C92" s="3">
        <v>1</v>
      </c>
      <c r="D92" s="3">
        <v>1</v>
      </c>
    </row>
    <row r="93" spans="1:4">
      <c r="A93" s="3">
        <v>2</v>
      </c>
      <c r="B93" s="3">
        <v>1</v>
      </c>
      <c r="C93" s="3">
        <v>2</v>
      </c>
      <c r="D93" s="3">
        <v>1</v>
      </c>
    </row>
    <row r="94" spans="1:4">
      <c r="A94" s="3">
        <v>2</v>
      </c>
      <c r="B94" s="3">
        <v>1</v>
      </c>
      <c r="C94" s="3">
        <v>2</v>
      </c>
      <c r="D94" s="3">
        <v>1</v>
      </c>
    </row>
    <row r="95" spans="1:4">
      <c r="A95" s="3">
        <v>3</v>
      </c>
      <c r="B95" s="3">
        <v>1</v>
      </c>
      <c r="C95" s="3">
        <v>2</v>
      </c>
      <c r="D95" s="3">
        <v>1</v>
      </c>
    </row>
    <row r="96" spans="1:4">
      <c r="A96" s="3">
        <v>1</v>
      </c>
      <c r="B96" s="3">
        <v>0</v>
      </c>
      <c r="C96" s="3">
        <v>1</v>
      </c>
      <c r="D96" s="3">
        <v>1</v>
      </c>
    </row>
    <row r="97" spans="1:4">
      <c r="A97" s="3">
        <v>3</v>
      </c>
      <c r="B97" s="3">
        <v>1</v>
      </c>
      <c r="C97" s="3">
        <v>2</v>
      </c>
      <c r="D97" s="3">
        <v>1</v>
      </c>
    </row>
    <row r="98" spans="1:4">
      <c r="A98" s="3">
        <v>2</v>
      </c>
      <c r="B98" s="3">
        <v>1</v>
      </c>
      <c r="C98" s="3">
        <v>1</v>
      </c>
      <c r="D98" s="3">
        <v>1</v>
      </c>
    </row>
    <row r="99" spans="1:4">
      <c r="A99" s="3">
        <v>3</v>
      </c>
      <c r="B99" s="3">
        <v>1</v>
      </c>
      <c r="C99" s="3">
        <v>2</v>
      </c>
      <c r="D99" s="3">
        <v>1</v>
      </c>
    </row>
    <row r="100" spans="1:4">
      <c r="A100" s="3">
        <v>1</v>
      </c>
      <c r="B100" s="3">
        <v>1</v>
      </c>
      <c r="C100" s="3">
        <v>1</v>
      </c>
      <c r="D100" s="3">
        <v>0</v>
      </c>
    </row>
    <row r="101" spans="1:4">
      <c r="A101" s="3">
        <v>3</v>
      </c>
      <c r="B101" s="3">
        <v>1</v>
      </c>
      <c r="C101" s="3">
        <v>1</v>
      </c>
      <c r="D101" s="3">
        <v>1</v>
      </c>
    </row>
    <row r="102" spans="1:4">
      <c r="A102" s="3">
        <v>2</v>
      </c>
      <c r="B102" s="3">
        <v>1</v>
      </c>
      <c r="C102" s="3">
        <v>1</v>
      </c>
      <c r="D102" s="3">
        <v>1</v>
      </c>
    </row>
    <row r="103" spans="1:4">
      <c r="A103" s="3">
        <v>3</v>
      </c>
      <c r="B103" s="3">
        <v>1</v>
      </c>
      <c r="C103" s="3">
        <v>1</v>
      </c>
      <c r="D103" s="3">
        <v>1</v>
      </c>
    </row>
    <row r="104" spans="1:4">
      <c r="A104" s="3">
        <v>2</v>
      </c>
      <c r="B104" s="3">
        <v>1</v>
      </c>
      <c r="C104" s="3">
        <v>2</v>
      </c>
      <c r="D104" s="3">
        <v>1</v>
      </c>
    </row>
    <row r="105" spans="1:4">
      <c r="A105" s="3">
        <v>2</v>
      </c>
      <c r="B105" s="3">
        <v>1</v>
      </c>
      <c r="C105" s="3">
        <v>1</v>
      </c>
      <c r="D105" s="3">
        <v>1</v>
      </c>
    </row>
    <row r="106" spans="1:4">
      <c r="A106" s="3">
        <v>1</v>
      </c>
      <c r="B106" s="3">
        <v>1</v>
      </c>
      <c r="C106" s="3">
        <v>2</v>
      </c>
      <c r="D106" s="3">
        <v>1</v>
      </c>
    </row>
    <row r="107" spans="1:4">
      <c r="A107" s="3">
        <v>2</v>
      </c>
      <c r="B107" s="3">
        <v>1</v>
      </c>
      <c r="C107" s="3">
        <v>2</v>
      </c>
      <c r="D107" s="3">
        <v>1</v>
      </c>
    </row>
    <row r="108" spans="1:4">
      <c r="A108" s="3">
        <v>2</v>
      </c>
      <c r="B108" s="3">
        <v>1</v>
      </c>
      <c r="C108" s="3">
        <v>2</v>
      </c>
      <c r="D108" s="3">
        <v>0</v>
      </c>
    </row>
    <row r="109" spans="1:4">
      <c r="A109" s="3">
        <v>3</v>
      </c>
      <c r="B109" s="3">
        <v>1</v>
      </c>
      <c r="C109" s="3">
        <v>1</v>
      </c>
      <c r="D109" s="3">
        <v>1</v>
      </c>
    </row>
    <row r="110" spans="1:4">
      <c r="A110" s="3">
        <v>3</v>
      </c>
      <c r="B110" s="3">
        <v>1</v>
      </c>
      <c r="C110" s="3">
        <v>1</v>
      </c>
      <c r="D110" s="3">
        <v>0</v>
      </c>
    </row>
    <row r="111" spans="1:4">
      <c r="A111" s="3">
        <v>2</v>
      </c>
      <c r="B111" s="3">
        <v>1</v>
      </c>
      <c r="C111" s="3">
        <v>1</v>
      </c>
      <c r="D111" s="3">
        <v>1</v>
      </c>
    </row>
    <row r="112" spans="1:4">
      <c r="A112" s="3">
        <v>2</v>
      </c>
      <c r="B112" s="3">
        <v>1</v>
      </c>
      <c r="C112" s="3">
        <v>1</v>
      </c>
      <c r="D112" s="3">
        <v>0</v>
      </c>
    </row>
    <row r="113" spans="1:4">
      <c r="A113" s="3">
        <v>3</v>
      </c>
      <c r="B113" s="3">
        <v>1</v>
      </c>
      <c r="C113" s="3">
        <v>1</v>
      </c>
      <c r="D113" s="3">
        <v>1</v>
      </c>
    </row>
    <row r="114" spans="1:4">
      <c r="A114" s="3">
        <v>3</v>
      </c>
      <c r="B114" s="3">
        <v>1</v>
      </c>
      <c r="C114" s="3">
        <v>1</v>
      </c>
      <c r="D114" s="3">
        <v>1</v>
      </c>
    </row>
    <row r="115" spans="1:4">
      <c r="A115" s="3">
        <v>2</v>
      </c>
      <c r="B115" s="3">
        <v>1</v>
      </c>
      <c r="C115" s="3">
        <v>1</v>
      </c>
      <c r="D115" s="3">
        <v>1</v>
      </c>
    </row>
    <row r="116" spans="1:4">
      <c r="A116" s="3">
        <v>1</v>
      </c>
      <c r="B116" s="3">
        <v>1</v>
      </c>
      <c r="C116" s="3">
        <v>2</v>
      </c>
      <c r="D116" s="3">
        <v>1</v>
      </c>
    </row>
    <row r="117" spans="1:4">
      <c r="A117" s="3">
        <v>2</v>
      </c>
      <c r="B117" s="3">
        <v>1</v>
      </c>
      <c r="C117" s="3">
        <v>2</v>
      </c>
      <c r="D117" s="3">
        <v>1</v>
      </c>
    </row>
    <row r="118" spans="1:4">
      <c r="A118" s="3">
        <v>3</v>
      </c>
      <c r="B118" s="3">
        <v>1</v>
      </c>
      <c r="C118" s="3">
        <v>2</v>
      </c>
      <c r="D118" s="3">
        <v>0</v>
      </c>
    </row>
    <row r="119" spans="1:4">
      <c r="A119" s="3">
        <v>3</v>
      </c>
      <c r="B119" s="3">
        <v>1</v>
      </c>
      <c r="C119" s="3">
        <v>2</v>
      </c>
      <c r="D119" s="3">
        <v>1</v>
      </c>
    </row>
    <row r="120" spans="1:4">
      <c r="A120" s="3">
        <v>3</v>
      </c>
      <c r="B120" s="3">
        <v>1</v>
      </c>
      <c r="C120" s="3">
        <v>1</v>
      </c>
      <c r="D120" s="3">
        <v>1</v>
      </c>
    </row>
    <row r="121" spans="1:4">
      <c r="A121" s="3">
        <v>3</v>
      </c>
      <c r="B121" s="3">
        <v>1</v>
      </c>
      <c r="C121" s="3">
        <v>2</v>
      </c>
      <c r="D121" s="3">
        <v>1</v>
      </c>
    </row>
    <row r="122" spans="1:4">
      <c r="A122" s="3">
        <v>3</v>
      </c>
      <c r="B122" s="3">
        <v>1</v>
      </c>
      <c r="C122" s="3">
        <v>2</v>
      </c>
      <c r="D122" s="3">
        <v>1</v>
      </c>
    </row>
    <row r="123" spans="1:4">
      <c r="A123" s="3">
        <v>3</v>
      </c>
      <c r="B123" s="3">
        <v>1</v>
      </c>
      <c r="C123" s="3">
        <v>1</v>
      </c>
      <c r="D123" s="3">
        <v>1</v>
      </c>
    </row>
    <row r="124" spans="1:4">
      <c r="A124" s="3">
        <v>2</v>
      </c>
      <c r="B124" s="3">
        <v>1</v>
      </c>
      <c r="C124" s="3">
        <v>2</v>
      </c>
      <c r="D124" s="3">
        <v>1</v>
      </c>
    </row>
    <row r="125" spans="1:4">
      <c r="A125" s="3">
        <v>2</v>
      </c>
      <c r="B125" s="3">
        <v>1</v>
      </c>
      <c r="C125" s="3">
        <v>2</v>
      </c>
      <c r="D125" s="3">
        <v>0</v>
      </c>
    </row>
    <row r="126" spans="1:4">
      <c r="A126" s="3">
        <v>3</v>
      </c>
      <c r="B126" s="3">
        <v>1</v>
      </c>
      <c r="C126" s="3">
        <v>2</v>
      </c>
      <c r="D126" s="3">
        <v>0</v>
      </c>
    </row>
    <row r="127" spans="1:4">
      <c r="A127" s="3">
        <v>2</v>
      </c>
      <c r="B127" s="3">
        <v>1</v>
      </c>
      <c r="C127" s="3">
        <v>2</v>
      </c>
      <c r="D127" s="3">
        <v>1</v>
      </c>
    </row>
    <row r="128" spans="1:4">
      <c r="A128" s="3">
        <v>1</v>
      </c>
      <c r="B128" s="3">
        <v>1</v>
      </c>
      <c r="C128" s="3">
        <v>2</v>
      </c>
      <c r="D128" s="3">
        <v>1</v>
      </c>
    </row>
    <row r="129" spans="1:4">
      <c r="A129" s="3">
        <v>3</v>
      </c>
      <c r="B129" s="3">
        <v>1</v>
      </c>
      <c r="C129" s="3">
        <v>2</v>
      </c>
      <c r="D129" s="3">
        <v>1</v>
      </c>
    </row>
    <row r="130" spans="1:4">
      <c r="A130" s="3">
        <v>1</v>
      </c>
      <c r="B130" s="3">
        <v>1</v>
      </c>
      <c r="C130" s="3">
        <v>1</v>
      </c>
      <c r="D130" s="3">
        <v>1</v>
      </c>
    </row>
    <row r="131" spans="1:4">
      <c r="A131" s="3">
        <v>2</v>
      </c>
      <c r="B131" s="3">
        <v>1</v>
      </c>
      <c r="C131" s="3">
        <v>1</v>
      </c>
      <c r="D131" s="3">
        <v>1</v>
      </c>
    </row>
    <row r="132" spans="1:4">
      <c r="A132" s="3">
        <v>2</v>
      </c>
      <c r="B132" s="3">
        <v>1</v>
      </c>
      <c r="C132" s="3">
        <v>2</v>
      </c>
      <c r="D132" s="3">
        <v>1</v>
      </c>
    </row>
    <row r="133" spans="1:4">
      <c r="A133" s="3">
        <v>3</v>
      </c>
      <c r="B133" s="3">
        <v>1</v>
      </c>
      <c r="C133" s="3">
        <v>2</v>
      </c>
      <c r="D133" s="3">
        <v>1</v>
      </c>
    </row>
    <row r="134" spans="1:4">
      <c r="A134" s="3">
        <v>3</v>
      </c>
      <c r="B134" s="3">
        <v>1</v>
      </c>
      <c r="C134" s="3">
        <v>1</v>
      </c>
      <c r="D134" s="3">
        <v>1</v>
      </c>
    </row>
    <row r="135" spans="1:4">
      <c r="A135" s="3">
        <v>2</v>
      </c>
      <c r="B135" s="3">
        <v>1</v>
      </c>
      <c r="C135" s="3">
        <v>2</v>
      </c>
      <c r="D135" s="3">
        <v>1</v>
      </c>
    </row>
    <row r="136" spans="1:4">
      <c r="A136" s="3">
        <v>2</v>
      </c>
      <c r="B136" s="3">
        <v>1</v>
      </c>
      <c r="C136" s="3">
        <v>2</v>
      </c>
      <c r="D136" s="3">
        <v>0</v>
      </c>
    </row>
    <row r="137" spans="1:4">
      <c r="A137" s="3">
        <v>1</v>
      </c>
      <c r="B137" s="3">
        <v>1</v>
      </c>
      <c r="C137" s="3">
        <v>1</v>
      </c>
      <c r="D137" s="3">
        <v>1</v>
      </c>
    </row>
    <row r="138" spans="1:4">
      <c r="A138" s="3">
        <v>1</v>
      </c>
      <c r="B138" s="3">
        <v>1</v>
      </c>
      <c r="C138" s="3">
        <v>2</v>
      </c>
      <c r="D138" s="3">
        <v>1</v>
      </c>
    </row>
    <row r="139" spans="1:4">
      <c r="A139" s="3">
        <v>3</v>
      </c>
      <c r="B139" s="3">
        <v>1</v>
      </c>
      <c r="C139" s="3">
        <v>1</v>
      </c>
      <c r="D139" s="3">
        <v>1</v>
      </c>
    </row>
    <row r="140" spans="1:4">
      <c r="A140" s="3">
        <v>1</v>
      </c>
      <c r="B140" s="3">
        <v>1</v>
      </c>
      <c r="C140" s="3">
        <v>1</v>
      </c>
      <c r="D140" s="3">
        <v>1</v>
      </c>
    </row>
    <row r="141" spans="1:4">
      <c r="A141" s="3">
        <v>2</v>
      </c>
      <c r="B141" s="3">
        <v>1</v>
      </c>
      <c r="C141" s="3">
        <v>1</v>
      </c>
      <c r="D141" s="3">
        <v>1</v>
      </c>
    </row>
    <row r="142" spans="1:4">
      <c r="A142" s="3">
        <v>3</v>
      </c>
      <c r="B142" s="3">
        <v>1</v>
      </c>
      <c r="C142" s="3">
        <v>1</v>
      </c>
      <c r="D142" s="3">
        <v>1</v>
      </c>
    </row>
    <row r="143" spans="1:4">
      <c r="A143" s="3">
        <v>3</v>
      </c>
      <c r="B143" s="3">
        <v>1</v>
      </c>
      <c r="C143" s="3">
        <v>2</v>
      </c>
      <c r="D143" s="3">
        <v>1</v>
      </c>
    </row>
    <row r="144" spans="1:4">
      <c r="A144" s="3">
        <v>1</v>
      </c>
      <c r="B144" s="3">
        <v>1</v>
      </c>
      <c r="C144" s="3">
        <v>2</v>
      </c>
      <c r="D144" s="3">
        <v>0</v>
      </c>
    </row>
    <row r="145" spans="1:4">
      <c r="A145" s="3">
        <v>3</v>
      </c>
      <c r="B145" s="3">
        <v>1</v>
      </c>
      <c r="C145" s="3">
        <v>2</v>
      </c>
      <c r="D145" s="3">
        <v>0</v>
      </c>
    </row>
    <row r="146" spans="1:4">
      <c r="A146" s="3">
        <v>2</v>
      </c>
      <c r="B146" s="3">
        <v>1</v>
      </c>
      <c r="C146" s="3">
        <v>2</v>
      </c>
      <c r="D146" s="3">
        <v>1</v>
      </c>
    </row>
    <row r="147" spans="1:4">
      <c r="A147" s="3">
        <v>2</v>
      </c>
      <c r="B147" s="3">
        <v>1</v>
      </c>
      <c r="C147" s="3">
        <v>2</v>
      </c>
      <c r="D147" s="3">
        <v>0</v>
      </c>
    </row>
    <row r="148" spans="1:4">
      <c r="A148" s="3">
        <v>1</v>
      </c>
      <c r="B148" s="3">
        <v>0</v>
      </c>
      <c r="C148" s="3">
        <v>1</v>
      </c>
      <c r="D148" s="3">
        <v>1</v>
      </c>
    </row>
    <row r="149" spans="1:4">
      <c r="A149" s="3">
        <v>2</v>
      </c>
      <c r="B149" s="3">
        <v>1</v>
      </c>
      <c r="C149" s="3">
        <v>1</v>
      </c>
      <c r="D149" s="3">
        <v>0</v>
      </c>
    </row>
    <row r="150" spans="1:4">
      <c r="A150" s="3">
        <v>2</v>
      </c>
      <c r="B150" s="3">
        <v>1</v>
      </c>
      <c r="C150" s="3">
        <v>2</v>
      </c>
      <c r="D150" s="3">
        <v>1</v>
      </c>
    </row>
    <row r="151" spans="1:4">
      <c r="A151" s="3">
        <v>3</v>
      </c>
      <c r="B151" s="3">
        <v>1</v>
      </c>
      <c r="C151" s="3">
        <v>2</v>
      </c>
      <c r="D151" s="3">
        <v>1</v>
      </c>
    </row>
    <row r="152" spans="1:4">
      <c r="A152" s="3">
        <v>2</v>
      </c>
      <c r="B152" s="3">
        <v>1</v>
      </c>
      <c r="C152" s="3">
        <v>2</v>
      </c>
      <c r="D152" s="3">
        <v>1</v>
      </c>
    </row>
    <row r="153" spans="1:4">
      <c r="A153" s="3">
        <v>1</v>
      </c>
      <c r="B153" s="3">
        <v>1</v>
      </c>
      <c r="C153" s="3">
        <v>1</v>
      </c>
      <c r="D153" s="3">
        <v>0</v>
      </c>
    </row>
    <row r="154" spans="1:4">
      <c r="A154" s="3">
        <v>2</v>
      </c>
      <c r="B154" s="3">
        <v>1</v>
      </c>
      <c r="C154" s="3">
        <v>1</v>
      </c>
      <c r="D154" s="3">
        <v>1</v>
      </c>
    </row>
    <row r="155" spans="1:4">
      <c r="A155" s="3">
        <v>3</v>
      </c>
      <c r="B155" s="3">
        <v>1</v>
      </c>
      <c r="C155" s="3">
        <v>1</v>
      </c>
      <c r="D155" s="3">
        <v>1</v>
      </c>
    </row>
    <row r="156" spans="1:4">
      <c r="A156" s="3">
        <v>2</v>
      </c>
      <c r="B156" s="3">
        <v>1</v>
      </c>
      <c r="C156" s="3">
        <v>1</v>
      </c>
      <c r="D156" s="3">
        <v>0</v>
      </c>
    </row>
    <row r="157" spans="1:4">
      <c r="A157" s="3">
        <v>1</v>
      </c>
      <c r="B157" s="3">
        <v>1</v>
      </c>
      <c r="C157" s="3">
        <v>1</v>
      </c>
      <c r="D157" s="3">
        <v>1</v>
      </c>
    </row>
    <row r="158" spans="1:4">
      <c r="A158" s="3">
        <v>1</v>
      </c>
      <c r="B158" s="3">
        <v>1</v>
      </c>
      <c r="C158" s="3">
        <v>2</v>
      </c>
      <c r="D158" s="3">
        <v>0</v>
      </c>
    </row>
    <row r="159" spans="1:4">
      <c r="A159" s="3">
        <v>3</v>
      </c>
      <c r="B159" s="3">
        <v>1</v>
      </c>
      <c r="C159" s="3">
        <v>2</v>
      </c>
      <c r="D159" s="3">
        <v>0</v>
      </c>
    </row>
    <row r="160" spans="1:4">
      <c r="A160" s="3">
        <v>3</v>
      </c>
      <c r="B160" s="3">
        <v>1</v>
      </c>
      <c r="C160" s="3">
        <v>2</v>
      </c>
      <c r="D160" s="3">
        <v>1</v>
      </c>
    </row>
    <row r="161" spans="1:4">
      <c r="A161" s="3">
        <v>3</v>
      </c>
      <c r="B161" s="3">
        <v>1</v>
      </c>
      <c r="C161" s="3">
        <v>1</v>
      </c>
      <c r="D161" s="3">
        <v>1</v>
      </c>
    </row>
    <row r="162" spans="1:4">
      <c r="A162" s="3">
        <v>3</v>
      </c>
      <c r="B162" s="3">
        <v>1</v>
      </c>
      <c r="C162" s="3">
        <v>2</v>
      </c>
      <c r="D162" s="3">
        <v>1</v>
      </c>
    </row>
    <row r="163" spans="1:4">
      <c r="A163" s="3">
        <v>1</v>
      </c>
      <c r="B163" s="3">
        <v>1</v>
      </c>
      <c r="C163" s="3">
        <v>2</v>
      </c>
      <c r="D163" s="3">
        <v>1</v>
      </c>
    </row>
    <row r="164" spans="1:4">
      <c r="A164" s="3">
        <v>1</v>
      </c>
      <c r="B164" s="3">
        <v>1</v>
      </c>
      <c r="C164" s="3">
        <v>2</v>
      </c>
      <c r="D164" s="3">
        <v>0</v>
      </c>
    </row>
    <row r="165" spans="1:4">
      <c r="A165" s="3">
        <v>2</v>
      </c>
      <c r="B165" s="3">
        <v>1</v>
      </c>
      <c r="C165" s="3">
        <v>2</v>
      </c>
      <c r="D165" s="3">
        <v>1</v>
      </c>
    </row>
    <row r="166" spans="1:4">
      <c r="A166" s="3">
        <v>1</v>
      </c>
      <c r="B166" s="3">
        <v>1</v>
      </c>
      <c r="C166" s="3">
        <v>2</v>
      </c>
      <c r="D166" s="3">
        <v>0</v>
      </c>
    </row>
    <row r="167" spans="1:4">
      <c r="A167" s="3">
        <v>3</v>
      </c>
      <c r="B167" s="3">
        <v>1</v>
      </c>
      <c r="C167" s="3">
        <v>1</v>
      </c>
      <c r="D167" s="3">
        <v>1</v>
      </c>
    </row>
    <row r="168" spans="1:4">
      <c r="A168" s="3">
        <v>3</v>
      </c>
      <c r="B168" s="3">
        <v>1</v>
      </c>
      <c r="C168" s="3">
        <v>1</v>
      </c>
      <c r="D168" s="3">
        <v>0</v>
      </c>
    </row>
    <row r="169" spans="1:4">
      <c r="A169" s="3">
        <v>2</v>
      </c>
      <c r="B169" s="3">
        <v>1</v>
      </c>
      <c r="C169" s="3">
        <v>1</v>
      </c>
      <c r="D169" s="3">
        <v>1</v>
      </c>
    </row>
    <row r="170" spans="1:4">
      <c r="A170" s="3">
        <v>3</v>
      </c>
      <c r="B170" s="3">
        <v>1</v>
      </c>
      <c r="C170" s="3">
        <v>1</v>
      </c>
      <c r="D170" s="3">
        <v>1</v>
      </c>
    </row>
    <row r="171" spans="1:4">
      <c r="A171" s="3">
        <v>1</v>
      </c>
      <c r="B171" s="3">
        <v>1</v>
      </c>
      <c r="C171" s="3">
        <v>1</v>
      </c>
      <c r="D171" s="3">
        <v>1</v>
      </c>
    </row>
    <row r="172" spans="1:4">
      <c r="A172" s="3">
        <v>2</v>
      </c>
      <c r="B172" s="3">
        <v>1</v>
      </c>
      <c r="C172" s="3">
        <v>2</v>
      </c>
      <c r="D172" s="3">
        <v>1</v>
      </c>
    </row>
    <row r="173" spans="1:4">
      <c r="A173" s="3">
        <v>3</v>
      </c>
      <c r="B173" s="3">
        <v>1</v>
      </c>
      <c r="C173" s="3">
        <v>1</v>
      </c>
      <c r="D173" s="3">
        <v>1</v>
      </c>
    </row>
    <row r="174" spans="1:4">
      <c r="A174" s="3">
        <v>2</v>
      </c>
      <c r="B174" s="3">
        <v>1</v>
      </c>
      <c r="C174" s="3">
        <v>2</v>
      </c>
      <c r="D174" s="3">
        <v>0</v>
      </c>
    </row>
    <row r="175" spans="1:4">
      <c r="A175" s="3">
        <v>2</v>
      </c>
      <c r="B175" s="3">
        <v>1</v>
      </c>
      <c r="C175" s="3">
        <v>1</v>
      </c>
      <c r="D175" s="3">
        <v>1</v>
      </c>
    </row>
    <row r="176" spans="1:4">
      <c r="A176" s="3">
        <v>1</v>
      </c>
      <c r="B176" s="3">
        <v>1</v>
      </c>
      <c r="C176" s="3">
        <v>1</v>
      </c>
      <c r="D176" s="3">
        <v>1</v>
      </c>
    </row>
    <row r="177" spans="1:4">
      <c r="A177" s="3">
        <v>3</v>
      </c>
      <c r="B177" s="3">
        <v>1</v>
      </c>
      <c r="C177" s="3">
        <v>1</v>
      </c>
      <c r="D177" s="3">
        <v>1</v>
      </c>
    </row>
    <row r="178" spans="1:4">
      <c r="A178" s="3">
        <v>3</v>
      </c>
      <c r="B178" s="3">
        <v>1</v>
      </c>
      <c r="C178" s="3">
        <v>1</v>
      </c>
      <c r="D178" s="3">
        <v>1</v>
      </c>
    </row>
    <row r="179" spans="1:4">
      <c r="A179" s="3">
        <v>2</v>
      </c>
      <c r="B179" s="3">
        <v>1</v>
      </c>
      <c r="C179" s="3">
        <v>2</v>
      </c>
      <c r="D179" s="3">
        <v>1</v>
      </c>
    </row>
    <row r="180" spans="1:4">
      <c r="A180" s="3">
        <v>3</v>
      </c>
      <c r="B180" s="3">
        <v>1</v>
      </c>
      <c r="C180" s="3">
        <v>1</v>
      </c>
      <c r="D180" s="3">
        <v>1</v>
      </c>
    </row>
    <row r="181" spans="1:4">
      <c r="A181" s="3">
        <v>3</v>
      </c>
      <c r="B181" s="3">
        <v>1</v>
      </c>
      <c r="C181" s="3">
        <v>1</v>
      </c>
      <c r="D181" s="3">
        <v>1</v>
      </c>
    </row>
    <row r="182" spans="1:4">
      <c r="A182" s="3">
        <v>1</v>
      </c>
      <c r="B182" s="3">
        <v>1</v>
      </c>
      <c r="C182" s="3">
        <v>2</v>
      </c>
      <c r="D182" s="3">
        <v>1</v>
      </c>
    </row>
    <row r="183" spans="1:4">
      <c r="A183" s="3">
        <v>3</v>
      </c>
      <c r="B183" s="3">
        <v>1</v>
      </c>
      <c r="C183" s="3">
        <v>1</v>
      </c>
      <c r="D183" s="3">
        <v>0</v>
      </c>
    </row>
    <row r="184" spans="1:4">
      <c r="A184" s="3">
        <v>3</v>
      </c>
      <c r="B184" s="3">
        <v>1</v>
      </c>
      <c r="C184" s="3">
        <v>1</v>
      </c>
      <c r="D184" s="3">
        <v>1</v>
      </c>
    </row>
    <row r="185" spans="1:4">
      <c r="A185" s="3">
        <v>1</v>
      </c>
      <c r="B185" s="3">
        <v>1</v>
      </c>
      <c r="C185" s="3">
        <v>1</v>
      </c>
      <c r="D185" s="3">
        <v>0</v>
      </c>
    </row>
    <row r="186" spans="1:4">
      <c r="A186" s="3">
        <v>2</v>
      </c>
      <c r="B186" s="3">
        <v>1</v>
      </c>
      <c r="C186" s="3">
        <v>1</v>
      </c>
      <c r="D186" s="3">
        <v>1</v>
      </c>
    </row>
    <row r="187" spans="1:4">
      <c r="A187" s="3">
        <v>2</v>
      </c>
      <c r="B187" s="3">
        <v>1</v>
      </c>
      <c r="C187" s="3">
        <v>2</v>
      </c>
      <c r="D187" s="3">
        <v>1</v>
      </c>
    </row>
    <row r="188" spans="1:4">
      <c r="A188" s="3">
        <v>1</v>
      </c>
      <c r="B188" s="3">
        <v>1</v>
      </c>
      <c r="C188" s="3">
        <v>2</v>
      </c>
      <c r="D188" s="3">
        <v>1</v>
      </c>
    </row>
    <row r="189" spans="1:4">
      <c r="A189" s="3">
        <v>2</v>
      </c>
      <c r="B189" s="3">
        <v>1</v>
      </c>
      <c r="C189" s="3">
        <v>1</v>
      </c>
      <c r="D189" s="3">
        <v>1</v>
      </c>
    </row>
    <row r="190" spans="1:4">
      <c r="A190" s="3">
        <v>2</v>
      </c>
      <c r="B190" s="3">
        <v>1</v>
      </c>
      <c r="C190" s="3">
        <v>1</v>
      </c>
      <c r="D190" s="3">
        <v>1</v>
      </c>
    </row>
    <row r="191" spans="1:4">
      <c r="A191" s="3">
        <v>2</v>
      </c>
      <c r="B191" s="3">
        <v>0</v>
      </c>
      <c r="C191" s="3">
        <v>2</v>
      </c>
      <c r="D191" s="3">
        <v>1</v>
      </c>
    </row>
    <row r="192" spans="1:4">
      <c r="A192" s="3">
        <v>3</v>
      </c>
      <c r="B192" s="3">
        <v>1</v>
      </c>
      <c r="C192" s="3">
        <v>2</v>
      </c>
      <c r="D192" s="3">
        <v>1</v>
      </c>
    </row>
    <row r="193" spans="1:4">
      <c r="A193" s="3">
        <v>3</v>
      </c>
      <c r="B193" s="3">
        <v>0</v>
      </c>
      <c r="C193" s="3">
        <v>2</v>
      </c>
      <c r="D193" s="3">
        <v>1</v>
      </c>
    </row>
    <row r="194" spans="1:4">
      <c r="A194" s="3">
        <v>2</v>
      </c>
      <c r="B194" s="3">
        <v>1</v>
      </c>
      <c r="C194" s="3">
        <v>2</v>
      </c>
      <c r="D194" s="3">
        <v>1</v>
      </c>
    </row>
    <row r="195" spans="1:4">
      <c r="A195" s="3">
        <v>2</v>
      </c>
      <c r="B195" s="3">
        <v>1</v>
      </c>
      <c r="C195" s="3">
        <v>1</v>
      </c>
      <c r="D195" s="3">
        <v>1</v>
      </c>
    </row>
    <row r="196" spans="1:4">
      <c r="A196" s="3">
        <v>3</v>
      </c>
      <c r="B196" s="3">
        <v>1</v>
      </c>
      <c r="C196" s="3">
        <v>1</v>
      </c>
      <c r="D196" s="3">
        <v>1</v>
      </c>
    </row>
    <row r="197" spans="1:4">
      <c r="A197" s="3">
        <v>2</v>
      </c>
      <c r="B197" s="3">
        <v>1</v>
      </c>
      <c r="C197" s="3">
        <v>2</v>
      </c>
      <c r="D197" s="3">
        <v>1</v>
      </c>
    </row>
    <row r="198" spans="1:4">
      <c r="A198" s="3">
        <v>1</v>
      </c>
      <c r="B198" s="3">
        <v>1</v>
      </c>
      <c r="C198" s="3">
        <v>1</v>
      </c>
      <c r="D198" s="3">
        <v>0</v>
      </c>
    </row>
    <row r="199" spans="1:4">
      <c r="A199" s="3">
        <v>1</v>
      </c>
      <c r="B199" s="3">
        <v>1</v>
      </c>
      <c r="C199" s="3">
        <v>1</v>
      </c>
      <c r="D199" s="3">
        <v>0</v>
      </c>
    </row>
    <row r="200" spans="1:4">
      <c r="A200" s="3">
        <v>2</v>
      </c>
      <c r="B200" s="3">
        <v>1</v>
      </c>
      <c r="C200" s="3">
        <v>1</v>
      </c>
      <c r="D200" s="3">
        <v>1</v>
      </c>
    </row>
    <row r="201" spans="1:4">
      <c r="A201" s="3">
        <v>1</v>
      </c>
      <c r="B201" s="3">
        <v>1</v>
      </c>
      <c r="C201" s="3">
        <v>1</v>
      </c>
      <c r="D201" s="3">
        <v>1</v>
      </c>
    </row>
    <row r="202" spans="1:4">
      <c r="A202" s="3">
        <v>2</v>
      </c>
      <c r="B202" s="3">
        <v>1</v>
      </c>
      <c r="C202" s="3">
        <v>2</v>
      </c>
      <c r="D202" s="3">
        <v>1</v>
      </c>
    </row>
    <row r="203" spans="1:4">
      <c r="A203" s="3">
        <v>1</v>
      </c>
      <c r="B203" s="3">
        <v>1</v>
      </c>
      <c r="C203" s="3">
        <v>2</v>
      </c>
      <c r="D203" s="3">
        <v>1</v>
      </c>
    </row>
    <row r="204" spans="1:4">
      <c r="A204" s="3">
        <v>3</v>
      </c>
      <c r="B204" s="3">
        <v>1</v>
      </c>
      <c r="C204" s="3">
        <v>2</v>
      </c>
      <c r="D204" s="3">
        <v>1</v>
      </c>
    </row>
    <row r="205" spans="1:4">
      <c r="A205" s="3">
        <v>3</v>
      </c>
      <c r="B205" s="3">
        <v>1</v>
      </c>
      <c r="C205" s="3">
        <v>2</v>
      </c>
      <c r="D205" s="3">
        <v>1</v>
      </c>
    </row>
    <row r="206" spans="1:4">
      <c r="A206" s="3">
        <v>2</v>
      </c>
      <c r="B206" s="3">
        <v>1</v>
      </c>
      <c r="C206" s="3">
        <v>2</v>
      </c>
      <c r="D206" s="3">
        <v>1</v>
      </c>
    </row>
    <row r="207" spans="1:4">
      <c r="A207" s="3">
        <v>3</v>
      </c>
      <c r="B207" s="3">
        <v>1</v>
      </c>
      <c r="C207" s="3">
        <v>2</v>
      </c>
      <c r="D207" s="3">
        <v>0</v>
      </c>
    </row>
    <row r="208" spans="1:4">
      <c r="A208" s="3">
        <v>1</v>
      </c>
      <c r="B208" s="3">
        <v>1</v>
      </c>
      <c r="C208" s="3">
        <v>1</v>
      </c>
      <c r="D208" s="3">
        <v>0</v>
      </c>
    </row>
    <row r="209" spans="1:4">
      <c r="A209" s="3">
        <v>3</v>
      </c>
      <c r="B209" s="3">
        <v>1</v>
      </c>
      <c r="C209" s="3">
        <v>1</v>
      </c>
      <c r="D209" s="3">
        <v>1</v>
      </c>
    </row>
    <row r="210" spans="1:4">
      <c r="A210" s="3">
        <v>3</v>
      </c>
      <c r="B210" s="3">
        <v>1</v>
      </c>
      <c r="C210" s="3">
        <v>1</v>
      </c>
      <c r="D210" s="3">
        <v>1</v>
      </c>
    </row>
    <row r="211" spans="1:4">
      <c r="A211" s="3">
        <v>1</v>
      </c>
      <c r="B211" s="3">
        <v>1</v>
      </c>
      <c r="C211" s="3">
        <v>1</v>
      </c>
      <c r="D211" s="3">
        <v>0</v>
      </c>
    </row>
    <row r="212" spans="1:4">
      <c r="A212" s="3">
        <v>3</v>
      </c>
      <c r="B212" s="3">
        <v>1</v>
      </c>
      <c r="C212" s="3">
        <v>2</v>
      </c>
      <c r="D212" s="3">
        <v>1</v>
      </c>
    </row>
    <row r="213" spans="1:4">
      <c r="A213" s="3">
        <v>3</v>
      </c>
      <c r="B213" s="3">
        <v>1</v>
      </c>
      <c r="C213" s="3">
        <v>1</v>
      </c>
      <c r="D213" s="3">
        <v>0</v>
      </c>
    </row>
    <row r="214" spans="1:4">
      <c r="A214" s="3">
        <v>2</v>
      </c>
      <c r="B214" s="3">
        <v>1</v>
      </c>
      <c r="C214" s="3">
        <v>2</v>
      </c>
      <c r="D214" s="3">
        <v>1</v>
      </c>
    </row>
    <row r="215" spans="1:4">
      <c r="A215" s="3">
        <v>2</v>
      </c>
      <c r="B215" s="3">
        <v>1</v>
      </c>
      <c r="C215" s="3">
        <v>2</v>
      </c>
      <c r="D215" s="3">
        <v>1</v>
      </c>
    </row>
    <row r="216" spans="1:4">
      <c r="A216" s="3">
        <v>1</v>
      </c>
      <c r="B216" s="3">
        <v>1</v>
      </c>
      <c r="C216" s="3">
        <v>2</v>
      </c>
      <c r="D216" s="3">
        <v>0</v>
      </c>
    </row>
    <row r="217" spans="1:4">
      <c r="A217" s="3">
        <v>2</v>
      </c>
      <c r="B217" s="3">
        <v>1</v>
      </c>
      <c r="C217" s="3">
        <v>1</v>
      </c>
      <c r="D217" s="3">
        <v>1</v>
      </c>
    </row>
    <row r="218" spans="1:4">
      <c r="A218" s="3">
        <v>3</v>
      </c>
      <c r="B218" s="3">
        <v>1</v>
      </c>
      <c r="C218" s="3">
        <v>1</v>
      </c>
      <c r="D218" s="3">
        <v>1</v>
      </c>
    </row>
    <row r="219" spans="1:4">
      <c r="A219" s="3">
        <v>3</v>
      </c>
      <c r="B219" s="3">
        <v>1</v>
      </c>
      <c r="C219" s="3">
        <v>2</v>
      </c>
      <c r="D219" s="3">
        <v>1</v>
      </c>
    </row>
    <row r="220" spans="1:4">
      <c r="A220" s="3">
        <v>1</v>
      </c>
      <c r="B220" s="3">
        <v>1</v>
      </c>
      <c r="C220" s="3">
        <v>2</v>
      </c>
      <c r="D220" s="3">
        <v>1</v>
      </c>
    </row>
    <row r="221" spans="1:4">
      <c r="A221" s="3">
        <v>1</v>
      </c>
      <c r="B221" s="3">
        <v>1</v>
      </c>
      <c r="C221" s="3">
        <v>2</v>
      </c>
      <c r="D221" s="3">
        <v>0</v>
      </c>
    </row>
    <row r="222" spans="1:4">
      <c r="A222" s="3">
        <v>1</v>
      </c>
      <c r="B222" s="3">
        <v>1</v>
      </c>
      <c r="C222" s="3">
        <v>1</v>
      </c>
      <c r="D222" s="3">
        <v>1</v>
      </c>
    </row>
    <row r="223" spans="1:4">
      <c r="A223" s="3">
        <v>2</v>
      </c>
      <c r="B223" s="3">
        <v>1</v>
      </c>
      <c r="C223" s="3">
        <v>2</v>
      </c>
      <c r="D223" s="3">
        <v>0</v>
      </c>
    </row>
    <row r="224" spans="1:4">
      <c r="A224" s="3">
        <v>2</v>
      </c>
      <c r="B224" s="3">
        <v>1</v>
      </c>
      <c r="C224" s="3">
        <v>2</v>
      </c>
      <c r="D224" s="3">
        <v>1</v>
      </c>
    </row>
    <row r="225" spans="1:4">
      <c r="A225" s="3">
        <v>3</v>
      </c>
      <c r="B225" s="3">
        <v>1</v>
      </c>
      <c r="C225" s="3">
        <v>1</v>
      </c>
      <c r="D225" s="3">
        <v>1</v>
      </c>
    </row>
    <row r="226" spans="1:4">
      <c r="A226" s="3">
        <v>1</v>
      </c>
      <c r="B226" s="3">
        <v>1</v>
      </c>
      <c r="C226" s="3">
        <v>2</v>
      </c>
      <c r="D226" s="3">
        <v>1</v>
      </c>
    </row>
    <row r="227" spans="1:4">
      <c r="A227" s="3">
        <v>3</v>
      </c>
      <c r="B227" s="3">
        <v>1</v>
      </c>
      <c r="C227" s="3">
        <v>2</v>
      </c>
      <c r="D227" s="3">
        <v>1</v>
      </c>
    </row>
    <row r="228" spans="1:4">
      <c r="A228" s="3">
        <v>2</v>
      </c>
      <c r="B228" s="3">
        <v>1</v>
      </c>
      <c r="C228" s="3">
        <v>2</v>
      </c>
      <c r="D228" s="3">
        <v>1</v>
      </c>
    </row>
    <row r="229" spans="1:4">
      <c r="A229" s="3">
        <v>2</v>
      </c>
      <c r="B229" s="3">
        <v>1</v>
      </c>
      <c r="C229" s="3">
        <v>1</v>
      </c>
      <c r="D229" s="3">
        <v>1</v>
      </c>
    </row>
    <row r="230" spans="1:4">
      <c r="A230" s="3">
        <v>1</v>
      </c>
      <c r="B230" s="3">
        <v>1</v>
      </c>
      <c r="C230" s="3">
        <v>1</v>
      </c>
      <c r="D230" s="3">
        <v>0</v>
      </c>
    </row>
    <row r="231" spans="1:4">
      <c r="A231" s="3">
        <v>3</v>
      </c>
      <c r="B231" s="3">
        <v>1</v>
      </c>
      <c r="C231" s="3">
        <v>1</v>
      </c>
      <c r="D231" s="3">
        <v>1</v>
      </c>
    </row>
    <row r="232" spans="1:4">
      <c r="A232" s="3">
        <v>1</v>
      </c>
      <c r="B232" s="3">
        <v>0</v>
      </c>
      <c r="C232" s="3">
        <v>2</v>
      </c>
      <c r="D232" s="3">
        <v>1</v>
      </c>
    </row>
    <row r="233" spans="1:4">
      <c r="A233" s="3">
        <v>1</v>
      </c>
      <c r="B233" s="3">
        <v>1</v>
      </c>
      <c r="C233" s="3">
        <v>1</v>
      </c>
      <c r="D233" s="3">
        <v>0</v>
      </c>
    </row>
    <row r="234" spans="1:4">
      <c r="A234" s="3">
        <v>1</v>
      </c>
      <c r="B234" s="3">
        <v>1</v>
      </c>
      <c r="C234" s="3">
        <v>2</v>
      </c>
      <c r="D234" s="3">
        <v>0</v>
      </c>
    </row>
    <row r="235" spans="1:4">
      <c r="A235" s="3">
        <v>2</v>
      </c>
      <c r="B235" s="3">
        <v>1</v>
      </c>
      <c r="C235" s="3">
        <v>1</v>
      </c>
      <c r="D235" s="3">
        <v>0</v>
      </c>
    </row>
    <row r="236" spans="1:4">
      <c r="A236" s="3">
        <v>2</v>
      </c>
      <c r="B236" s="3">
        <v>0</v>
      </c>
      <c r="C236" s="3">
        <v>2</v>
      </c>
      <c r="D236" s="3">
        <v>1</v>
      </c>
    </row>
    <row r="237" spans="1:4">
      <c r="A237" s="3">
        <v>1</v>
      </c>
      <c r="B237" s="3">
        <v>1</v>
      </c>
      <c r="C237" s="3">
        <v>1</v>
      </c>
      <c r="D237" s="3">
        <v>1</v>
      </c>
    </row>
    <row r="238" spans="1:4">
      <c r="A238" s="3">
        <v>2</v>
      </c>
      <c r="B238" s="3">
        <v>1</v>
      </c>
      <c r="C238" s="3">
        <v>1</v>
      </c>
      <c r="D238" s="3">
        <v>1</v>
      </c>
    </row>
    <row r="239" spans="1:4">
      <c r="A239" s="3">
        <v>2</v>
      </c>
      <c r="B239" s="3">
        <v>1</v>
      </c>
      <c r="C239" s="3">
        <v>2</v>
      </c>
      <c r="D239" s="3">
        <v>1</v>
      </c>
    </row>
    <row r="240" spans="1:4">
      <c r="A240" s="3">
        <v>3</v>
      </c>
      <c r="B240" s="3">
        <v>1</v>
      </c>
      <c r="C240" s="3">
        <v>1</v>
      </c>
      <c r="D240" s="3">
        <v>1</v>
      </c>
    </row>
    <row r="241" spans="1:4">
      <c r="A241" s="3">
        <v>3</v>
      </c>
      <c r="B241" s="3">
        <v>1</v>
      </c>
      <c r="C241" s="3">
        <v>2</v>
      </c>
      <c r="D241" s="3">
        <v>1</v>
      </c>
    </row>
    <row r="242" spans="1:4">
      <c r="A242" s="3">
        <v>1</v>
      </c>
      <c r="B242" s="3">
        <v>1</v>
      </c>
      <c r="C242" s="3">
        <v>2</v>
      </c>
      <c r="D242" s="3">
        <v>0</v>
      </c>
    </row>
    <row r="243" spans="1:4">
      <c r="A243" s="3">
        <v>2</v>
      </c>
      <c r="B243" s="3">
        <v>0</v>
      </c>
      <c r="C243" s="3">
        <v>1</v>
      </c>
      <c r="D243" s="3">
        <v>0</v>
      </c>
    </row>
    <row r="244" spans="1:4">
      <c r="A244" s="3">
        <v>3</v>
      </c>
      <c r="B244" s="3">
        <v>1</v>
      </c>
      <c r="C244" s="3">
        <v>2</v>
      </c>
      <c r="D244" s="3">
        <v>1</v>
      </c>
    </row>
    <row r="245" spans="1:4">
      <c r="A245" s="3">
        <v>2</v>
      </c>
      <c r="B245" s="3">
        <v>0</v>
      </c>
      <c r="C245" s="3">
        <v>2</v>
      </c>
      <c r="D245" s="3">
        <v>0</v>
      </c>
    </row>
    <row r="246" spans="1:4">
      <c r="A246" s="3">
        <v>2</v>
      </c>
      <c r="B246" s="3">
        <v>0</v>
      </c>
      <c r="C246" s="3">
        <v>2</v>
      </c>
      <c r="D246" s="3">
        <v>1</v>
      </c>
    </row>
    <row r="247" spans="1:4">
      <c r="A247" s="3">
        <v>2</v>
      </c>
      <c r="B247" s="3">
        <v>1</v>
      </c>
      <c r="C247" s="3">
        <v>1</v>
      </c>
      <c r="D247" s="3">
        <v>1</v>
      </c>
    </row>
    <row r="248" spans="1:4">
      <c r="A248" s="3">
        <v>2</v>
      </c>
      <c r="B248" s="3">
        <v>1</v>
      </c>
      <c r="C248" s="3">
        <v>2</v>
      </c>
      <c r="D248" s="3">
        <v>1</v>
      </c>
    </row>
    <row r="249" spans="1:4">
      <c r="A249" s="3">
        <v>3</v>
      </c>
      <c r="B249" s="3">
        <v>1</v>
      </c>
      <c r="C249" s="3">
        <v>1</v>
      </c>
      <c r="D249" s="3">
        <v>1</v>
      </c>
    </row>
    <row r="250" spans="1:4">
      <c r="A250" s="3">
        <v>3</v>
      </c>
      <c r="B250" s="3">
        <v>1</v>
      </c>
      <c r="C250" s="3">
        <v>1</v>
      </c>
      <c r="D250" s="3">
        <v>1</v>
      </c>
    </row>
    <row r="251" spans="1:4">
      <c r="A251" s="3">
        <v>3</v>
      </c>
      <c r="B251" s="3">
        <v>1</v>
      </c>
      <c r="C251" s="3">
        <v>2</v>
      </c>
      <c r="D251" s="3">
        <v>1</v>
      </c>
    </row>
    <row r="252" spans="1:4">
      <c r="A252" s="3">
        <v>3</v>
      </c>
      <c r="B252" s="3">
        <v>1</v>
      </c>
      <c r="C252" s="3">
        <v>1</v>
      </c>
      <c r="D252" s="3">
        <v>0</v>
      </c>
    </row>
    <row r="253" spans="1:4">
      <c r="A253" s="3">
        <v>3</v>
      </c>
      <c r="B253" s="3">
        <v>1</v>
      </c>
      <c r="C253" s="3">
        <v>1</v>
      </c>
      <c r="D253" s="3">
        <v>1</v>
      </c>
    </row>
    <row r="254" spans="1:4">
      <c r="A254" s="3">
        <v>3</v>
      </c>
      <c r="B254" s="3">
        <v>1</v>
      </c>
      <c r="C254" s="3">
        <v>1</v>
      </c>
      <c r="D254" s="3">
        <v>1</v>
      </c>
    </row>
    <row r="255" spans="1:4">
      <c r="A255" s="3">
        <v>3</v>
      </c>
      <c r="B255" s="3">
        <v>1</v>
      </c>
      <c r="C255" s="3">
        <v>2</v>
      </c>
      <c r="D255" s="3">
        <v>1</v>
      </c>
    </row>
    <row r="256" spans="1:4">
      <c r="A256" s="3">
        <v>1</v>
      </c>
      <c r="B256" s="3">
        <v>1</v>
      </c>
      <c r="C256" s="3">
        <v>1</v>
      </c>
      <c r="D256" s="3">
        <v>0</v>
      </c>
    </row>
    <row r="257" spans="1:4">
      <c r="A257" s="3">
        <v>2</v>
      </c>
      <c r="B257" s="3">
        <v>1</v>
      </c>
      <c r="C257" s="3">
        <v>2</v>
      </c>
      <c r="D257" s="3">
        <v>0</v>
      </c>
    </row>
    <row r="258" spans="1:4">
      <c r="A258" s="3">
        <v>1</v>
      </c>
      <c r="B258" s="3">
        <v>1</v>
      </c>
      <c r="C258" s="3">
        <v>1</v>
      </c>
      <c r="D258" s="3">
        <v>1</v>
      </c>
    </row>
    <row r="259" spans="1:4">
      <c r="A259" s="3">
        <v>1</v>
      </c>
      <c r="B259" s="3">
        <v>1</v>
      </c>
      <c r="C259" s="3">
        <v>2</v>
      </c>
      <c r="D259" s="3">
        <v>1</v>
      </c>
    </row>
    <row r="260" spans="1:4">
      <c r="A260" s="3">
        <v>1</v>
      </c>
      <c r="B260" s="3">
        <v>1</v>
      </c>
      <c r="C260" s="3">
        <v>2</v>
      </c>
      <c r="D260" s="3">
        <v>0</v>
      </c>
    </row>
    <row r="261" spans="1:4">
      <c r="A261" s="3">
        <v>2</v>
      </c>
      <c r="B261" s="3">
        <v>0</v>
      </c>
      <c r="C261" s="3">
        <v>1</v>
      </c>
      <c r="D261" s="3">
        <v>1</v>
      </c>
    </row>
    <row r="262" spans="1:4">
      <c r="A262" s="3">
        <v>3</v>
      </c>
      <c r="B262" s="3">
        <v>1</v>
      </c>
      <c r="C262" s="3">
        <v>1</v>
      </c>
      <c r="D262" s="3">
        <v>1</v>
      </c>
    </row>
    <row r="263" spans="1:4">
      <c r="A263" s="3">
        <v>3</v>
      </c>
      <c r="B263" s="3">
        <v>1</v>
      </c>
      <c r="C263" s="3">
        <v>1</v>
      </c>
      <c r="D263" s="3">
        <v>0</v>
      </c>
    </row>
    <row r="264" spans="1:4">
      <c r="A264" s="3">
        <v>1</v>
      </c>
      <c r="B264" s="3">
        <v>1</v>
      </c>
      <c r="C264" s="3">
        <v>1</v>
      </c>
      <c r="D264" s="3">
        <v>1</v>
      </c>
    </row>
    <row r="265" spans="1:4">
      <c r="A265" s="3">
        <v>1</v>
      </c>
      <c r="B265" s="3">
        <v>1</v>
      </c>
      <c r="C265" s="3">
        <v>1</v>
      </c>
      <c r="D265" s="3">
        <v>1</v>
      </c>
    </row>
    <row r="266" spans="1:4">
      <c r="A266" s="3">
        <v>1</v>
      </c>
      <c r="B266" s="3">
        <v>1</v>
      </c>
      <c r="C266" s="3">
        <v>2</v>
      </c>
      <c r="D266" s="3">
        <v>1</v>
      </c>
    </row>
    <row r="267" spans="1:4">
      <c r="A267" s="3">
        <v>2</v>
      </c>
      <c r="B267" s="3">
        <v>1</v>
      </c>
      <c r="C267" s="3">
        <v>1</v>
      </c>
      <c r="D267" s="3">
        <v>1</v>
      </c>
    </row>
    <row r="268" spans="1:4">
      <c r="A268" s="3">
        <v>2</v>
      </c>
      <c r="B268" s="3">
        <v>1</v>
      </c>
      <c r="C268" s="3">
        <v>2</v>
      </c>
      <c r="D268" s="3">
        <v>1</v>
      </c>
    </row>
    <row r="269" spans="1:4">
      <c r="A269" s="3">
        <v>3</v>
      </c>
      <c r="B269" s="3">
        <v>1</v>
      </c>
      <c r="C269" s="3">
        <v>2</v>
      </c>
      <c r="D269" s="3">
        <v>1</v>
      </c>
    </row>
    <row r="270" spans="1:4">
      <c r="A270" s="3">
        <v>3</v>
      </c>
      <c r="B270" s="3">
        <v>1</v>
      </c>
      <c r="C270" s="3">
        <v>1</v>
      </c>
      <c r="D270" s="3">
        <v>1</v>
      </c>
    </row>
    <row r="271" spans="1:4">
      <c r="A271" s="3">
        <v>1</v>
      </c>
      <c r="B271" s="3">
        <v>1</v>
      </c>
      <c r="C271" s="3">
        <v>2</v>
      </c>
      <c r="D271" s="3">
        <v>1</v>
      </c>
    </row>
    <row r="272" spans="1:4">
      <c r="A272" s="3">
        <v>3</v>
      </c>
      <c r="B272" s="3">
        <v>1</v>
      </c>
      <c r="C272" s="3">
        <v>2</v>
      </c>
      <c r="D272" s="3">
        <v>0</v>
      </c>
    </row>
    <row r="273" spans="1:4">
      <c r="A273" s="3">
        <v>1</v>
      </c>
      <c r="B273" s="3">
        <v>1</v>
      </c>
      <c r="C273" s="3">
        <v>1</v>
      </c>
      <c r="D273" s="3">
        <v>1</v>
      </c>
    </row>
    <row r="274" spans="1:4">
      <c r="A274" s="3">
        <v>3</v>
      </c>
      <c r="B274" s="3">
        <v>1</v>
      </c>
      <c r="C274" s="3">
        <v>1</v>
      </c>
      <c r="D274" s="3">
        <v>1</v>
      </c>
    </row>
    <row r="275" spans="1:4">
      <c r="A275" s="3">
        <v>2</v>
      </c>
      <c r="B275" s="3">
        <v>1</v>
      </c>
      <c r="C275" s="3">
        <v>2</v>
      </c>
      <c r="D275" s="3">
        <v>1</v>
      </c>
    </row>
    <row r="276" spans="1:4">
      <c r="A276" s="3">
        <v>2</v>
      </c>
      <c r="B276" s="3">
        <v>0</v>
      </c>
      <c r="C276" s="3">
        <v>1</v>
      </c>
      <c r="D276" s="3">
        <v>0</v>
      </c>
    </row>
    <row r="277" spans="1:4">
      <c r="A277" s="3">
        <v>3</v>
      </c>
      <c r="B277" s="3">
        <v>1</v>
      </c>
      <c r="C277" s="3">
        <v>2</v>
      </c>
      <c r="D277" s="3">
        <v>1</v>
      </c>
    </row>
    <row r="278" spans="1:4">
      <c r="A278" s="3">
        <v>3</v>
      </c>
      <c r="B278" s="3">
        <v>1</v>
      </c>
      <c r="C278" s="3">
        <v>1</v>
      </c>
      <c r="D278" s="3">
        <v>1</v>
      </c>
    </row>
    <row r="279" spans="1:4">
      <c r="A279" s="3">
        <v>3</v>
      </c>
      <c r="B279" s="3">
        <v>1</v>
      </c>
      <c r="C279" s="3">
        <v>2</v>
      </c>
      <c r="D279" s="3">
        <v>1</v>
      </c>
    </row>
    <row r="280" spans="1:4">
      <c r="A280" s="3">
        <v>2</v>
      </c>
      <c r="B280" s="3">
        <v>1</v>
      </c>
      <c r="C280" s="3">
        <v>2</v>
      </c>
      <c r="D280" s="3">
        <v>1</v>
      </c>
    </row>
    <row r="281" spans="1:4">
      <c r="A281" s="3">
        <v>2</v>
      </c>
      <c r="B281" s="3">
        <v>1</v>
      </c>
      <c r="C281" s="3">
        <v>2</v>
      </c>
      <c r="D281" s="3">
        <v>1</v>
      </c>
    </row>
    <row r="282" spans="1:4">
      <c r="A282" s="3">
        <v>1</v>
      </c>
      <c r="B282" s="3">
        <v>0</v>
      </c>
      <c r="C282" s="3">
        <v>2</v>
      </c>
      <c r="D282" s="3">
        <v>0</v>
      </c>
    </row>
    <row r="283" spans="1:4">
      <c r="A283" s="3">
        <v>3</v>
      </c>
      <c r="B283" s="3">
        <v>1</v>
      </c>
      <c r="C283" s="3">
        <v>2</v>
      </c>
      <c r="D283" s="3">
        <v>0</v>
      </c>
    </row>
    <row r="284" spans="1:4">
      <c r="A284" s="3">
        <v>3</v>
      </c>
      <c r="B284" s="3">
        <v>1</v>
      </c>
      <c r="C284" s="3">
        <v>1</v>
      </c>
      <c r="D284" s="3">
        <v>1</v>
      </c>
    </row>
    <row r="285" spans="1:4">
      <c r="A285" s="3">
        <v>3</v>
      </c>
      <c r="B285" s="3">
        <v>1</v>
      </c>
      <c r="C285" s="3">
        <v>2</v>
      </c>
      <c r="D285" s="3">
        <v>0</v>
      </c>
    </row>
    <row r="286" spans="1:4">
      <c r="A286" s="3">
        <v>1</v>
      </c>
      <c r="B286" s="3">
        <v>1</v>
      </c>
      <c r="C286" s="3">
        <v>2</v>
      </c>
      <c r="D286" s="3">
        <v>1</v>
      </c>
    </row>
    <row r="287" spans="1:4">
      <c r="A287" s="3">
        <v>3</v>
      </c>
      <c r="B287" s="3">
        <v>0</v>
      </c>
      <c r="C287" s="3">
        <v>1</v>
      </c>
      <c r="D287" s="3">
        <v>1</v>
      </c>
    </row>
    <row r="288" spans="1:4">
      <c r="A288" s="3">
        <v>3</v>
      </c>
      <c r="B288" s="3">
        <v>1</v>
      </c>
      <c r="C288" s="3">
        <v>1</v>
      </c>
      <c r="D288" s="3">
        <v>1</v>
      </c>
    </row>
    <row r="289" spans="1:4">
      <c r="A289" s="3">
        <v>2</v>
      </c>
      <c r="B289" s="3">
        <v>1</v>
      </c>
      <c r="C289" s="3">
        <v>2</v>
      </c>
      <c r="D289" s="3">
        <v>1</v>
      </c>
    </row>
    <row r="290" spans="1:4">
      <c r="A290" s="3">
        <v>3</v>
      </c>
      <c r="B290" s="3">
        <v>1</v>
      </c>
      <c r="C290" s="3">
        <v>2</v>
      </c>
      <c r="D290" s="3">
        <v>1</v>
      </c>
    </row>
    <row r="291" spans="1:4">
      <c r="A291" s="3">
        <v>3</v>
      </c>
      <c r="B291" s="3">
        <v>1</v>
      </c>
      <c r="C291" s="3">
        <v>2</v>
      </c>
      <c r="D291" s="3">
        <v>1</v>
      </c>
    </row>
    <row r="292" spans="1:4">
      <c r="A292" s="3">
        <v>2</v>
      </c>
      <c r="B292" s="3">
        <v>1</v>
      </c>
      <c r="C292" s="3">
        <v>1</v>
      </c>
      <c r="D292" s="3">
        <v>1</v>
      </c>
    </row>
    <row r="293" spans="1:4">
      <c r="A293" s="3">
        <v>3</v>
      </c>
      <c r="B293" s="3">
        <v>1</v>
      </c>
      <c r="C293" s="3">
        <v>2</v>
      </c>
      <c r="D293" s="3">
        <v>0</v>
      </c>
    </row>
    <row r="294" spans="1:4">
      <c r="A294" s="3">
        <v>2</v>
      </c>
      <c r="B294" s="3">
        <v>1</v>
      </c>
      <c r="C294" s="3">
        <v>1</v>
      </c>
      <c r="D294" s="3">
        <v>1</v>
      </c>
    </row>
    <row r="295" spans="1:4">
      <c r="A295" s="3">
        <v>3</v>
      </c>
      <c r="B295" s="3">
        <v>1</v>
      </c>
      <c r="C295" s="3">
        <v>1</v>
      </c>
      <c r="D295" s="3">
        <v>1</v>
      </c>
    </row>
    <row r="296" spans="1:4">
      <c r="A296" s="3">
        <v>2</v>
      </c>
      <c r="B296" s="3">
        <v>0</v>
      </c>
      <c r="C296" s="3">
        <v>2</v>
      </c>
      <c r="D296" s="3">
        <v>1</v>
      </c>
    </row>
    <row r="297" spans="1:4">
      <c r="A297" s="3">
        <v>1</v>
      </c>
      <c r="B297" s="3">
        <v>0</v>
      </c>
      <c r="C297" s="3">
        <v>2</v>
      </c>
      <c r="D297" s="3">
        <v>1</v>
      </c>
    </row>
    <row r="298" spans="1:4">
      <c r="A298" s="3">
        <v>2</v>
      </c>
      <c r="B298" s="3">
        <v>1</v>
      </c>
      <c r="C298" s="3">
        <v>2</v>
      </c>
      <c r="D298" s="3">
        <v>0</v>
      </c>
    </row>
    <row r="299" spans="1:4">
      <c r="A299" s="3">
        <v>2</v>
      </c>
      <c r="B299" s="3">
        <v>1</v>
      </c>
      <c r="C299" s="3">
        <v>1</v>
      </c>
      <c r="D299" s="3">
        <v>1</v>
      </c>
    </row>
    <row r="300" spans="1:4">
      <c r="A300" s="3">
        <v>2</v>
      </c>
      <c r="B300" s="3">
        <v>1</v>
      </c>
      <c r="C300" s="3">
        <v>1</v>
      </c>
      <c r="D300" s="3">
        <v>1</v>
      </c>
    </row>
    <row r="301" spans="1:4">
      <c r="A301" s="3">
        <v>3</v>
      </c>
      <c r="B301" s="3">
        <v>1</v>
      </c>
      <c r="C301" s="3">
        <v>1</v>
      </c>
      <c r="D301" s="3">
        <v>1</v>
      </c>
    </row>
    <row r="302" spans="1:4">
      <c r="A302" s="3">
        <v>3</v>
      </c>
      <c r="B302" s="3">
        <v>1</v>
      </c>
      <c r="C302" s="3">
        <v>1</v>
      </c>
      <c r="D302" s="3">
        <v>1</v>
      </c>
    </row>
    <row r="303" spans="1:4">
      <c r="A303" s="3">
        <v>2</v>
      </c>
      <c r="B303" s="3">
        <v>0</v>
      </c>
      <c r="C303" s="3">
        <v>2</v>
      </c>
      <c r="D303" s="3">
        <v>1</v>
      </c>
    </row>
    <row r="304" spans="1:4">
      <c r="A304" s="3">
        <v>3</v>
      </c>
      <c r="B304" s="3">
        <v>1</v>
      </c>
      <c r="C304" s="3">
        <v>2</v>
      </c>
      <c r="D304" s="3">
        <v>1</v>
      </c>
    </row>
    <row r="305" spans="1:4">
      <c r="A305" s="3">
        <v>1</v>
      </c>
      <c r="B305" s="3">
        <v>1</v>
      </c>
      <c r="C305" s="3">
        <v>1</v>
      </c>
      <c r="D305" s="3">
        <v>0</v>
      </c>
    </row>
    <row r="306" spans="1:4">
      <c r="A306" s="3">
        <v>3</v>
      </c>
      <c r="B306" s="3">
        <v>1</v>
      </c>
      <c r="C306" s="3">
        <v>2</v>
      </c>
      <c r="D306" s="3">
        <v>1</v>
      </c>
    </row>
    <row r="307" spans="1:4">
      <c r="A307" s="3">
        <v>3</v>
      </c>
      <c r="B307" s="3">
        <v>0</v>
      </c>
      <c r="C307" s="3">
        <v>1</v>
      </c>
      <c r="D307" s="3">
        <v>1</v>
      </c>
    </row>
    <row r="308" spans="1:4">
      <c r="A308" s="3">
        <v>2</v>
      </c>
      <c r="B308" s="3">
        <v>1</v>
      </c>
      <c r="C308" s="3">
        <v>1</v>
      </c>
      <c r="D308" s="3">
        <v>1</v>
      </c>
    </row>
    <row r="309" spans="1:4">
      <c r="A309" s="3">
        <v>2</v>
      </c>
      <c r="B309" s="3">
        <v>1</v>
      </c>
      <c r="C309" s="3">
        <v>1</v>
      </c>
      <c r="D309" s="3">
        <v>1</v>
      </c>
    </row>
    <row r="310" spans="1:4">
      <c r="A310" s="3">
        <v>1</v>
      </c>
      <c r="B310" s="3">
        <v>1</v>
      </c>
      <c r="C310" s="3">
        <v>2</v>
      </c>
      <c r="D310" s="3">
        <v>1</v>
      </c>
    </row>
    <row r="311" spans="1:4">
      <c r="A311" s="3">
        <v>2</v>
      </c>
      <c r="B311" s="3">
        <v>1</v>
      </c>
      <c r="C311" s="3">
        <v>1</v>
      </c>
      <c r="D311" s="3">
        <v>1</v>
      </c>
    </row>
    <row r="312" spans="1:4">
      <c r="A312" s="3">
        <v>3</v>
      </c>
      <c r="B312" s="3">
        <v>1</v>
      </c>
      <c r="C312" s="3">
        <v>1</v>
      </c>
      <c r="D312" s="3">
        <v>1</v>
      </c>
    </row>
    <row r="313" spans="1:4">
      <c r="A313" s="3">
        <v>2</v>
      </c>
      <c r="B313" s="3">
        <v>1</v>
      </c>
      <c r="C313" s="3">
        <v>2</v>
      </c>
      <c r="D313" s="3">
        <v>1</v>
      </c>
    </row>
    <row r="314" spans="1:4">
      <c r="A314" s="3">
        <v>3</v>
      </c>
      <c r="B314" s="3">
        <v>1</v>
      </c>
      <c r="C314" s="3">
        <v>2</v>
      </c>
      <c r="D314" s="3">
        <v>1</v>
      </c>
    </row>
    <row r="315" spans="1:4">
      <c r="A315" s="3">
        <v>2</v>
      </c>
      <c r="B315" s="3">
        <v>1</v>
      </c>
      <c r="C315" s="3">
        <v>1</v>
      </c>
      <c r="D315" s="3">
        <v>1</v>
      </c>
    </row>
    <row r="316" spans="1:4">
      <c r="A316" s="3">
        <v>2</v>
      </c>
      <c r="B316" s="3">
        <v>1</v>
      </c>
      <c r="C316" s="3">
        <v>1</v>
      </c>
      <c r="D316" s="3">
        <v>1</v>
      </c>
    </row>
    <row r="317" spans="1:4">
      <c r="A317" s="3">
        <v>3</v>
      </c>
      <c r="B317" s="3">
        <v>1</v>
      </c>
      <c r="C317" s="3">
        <v>1</v>
      </c>
      <c r="D317" s="3">
        <v>1</v>
      </c>
    </row>
    <row r="318" spans="1:4">
      <c r="A318" s="3">
        <v>3</v>
      </c>
      <c r="B318" s="3">
        <v>1</v>
      </c>
      <c r="C318" s="3">
        <v>1</v>
      </c>
      <c r="D318" s="3">
        <v>1</v>
      </c>
    </row>
    <row r="319" spans="1:4">
      <c r="A319" s="3">
        <v>3</v>
      </c>
      <c r="B319" s="3">
        <v>1</v>
      </c>
      <c r="C319" s="3">
        <v>2</v>
      </c>
      <c r="D319" s="3">
        <v>1</v>
      </c>
    </row>
    <row r="320" spans="1:4">
      <c r="A320" s="3">
        <v>1</v>
      </c>
      <c r="B320" s="3">
        <v>1</v>
      </c>
      <c r="C320" s="3">
        <v>1</v>
      </c>
      <c r="D320" s="3">
        <v>1</v>
      </c>
    </row>
    <row r="321" spans="1:4">
      <c r="A321" s="3">
        <v>3</v>
      </c>
      <c r="B321" s="3">
        <v>1</v>
      </c>
      <c r="C321" s="3">
        <v>2</v>
      </c>
      <c r="D321" s="3">
        <v>1</v>
      </c>
    </row>
    <row r="322" spans="1:4">
      <c r="A322" s="3">
        <v>1</v>
      </c>
      <c r="B322" s="3">
        <v>1</v>
      </c>
      <c r="C322" s="3">
        <v>2</v>
      </c>
      <c r="D322" s="3">
        <v>1</v>
      </c>
    </row>
    <row r="323" spans="1:4">
      <c r="A323" s="3">
        <v>3</v>
      </c>
      <c r="B323" s="3">
        <v>1</v>
      </c>
      <c r="C323" s="3">
        <v>2</v>
      </c>
      <c r="D323" s="3">
        <v>1</v>
      </c>
    </row>
    <row r="324" spans="1:4">
      <c r="A324" s="3">
        <v>1</v>
      </c>
      <c r="B324" s="3">
        <v>1</v>
      </c>
      <c r="C324" s="3">
        <v>2</v>
      </c>
      <c r="D324" s="3">
        <v>0</v>
      </c>
    </row>
    <row r="325" spans="1:4">
      <c r="A325" s="3">
        <v>1</v>
      </c>
      <c r="B325" s="3">
        <v>1</v>
      </c>
      <c r="C325" s="3">
        <v>1</v>
      </c>
      <c r="D325" s="3">
        <v>1</v>
      </c>
    </row>
    <row r="326" spans="1:4">
      <c r="A326" s="3">
        <v>3</v>
      </c>
      <c r="B326" s="3">
        <v>1</v>
      </c>
      <c r="C326" s="3">
        <v>2</v>
      </c>
      <c r="D326" s="3">
        <v>1</v>
      </c>
    </row>
    <row r="327" spans="1:4">
      <c r="A327" s="3">
        <v>2</v>
      </c>
      <c r="B327" s="3">
        <v>0</v>
      </c>
      <c r="C327" s="3">
        <v>1</v>
      </c>
      <c r="D327" s="3">
        <v>1</v>
      </c>
    </row>
    <row r="328" spans="1:4">
      <c r="A328" s="3">
        <v>3</v>
      </c>
      <c r="B328" s="3">
        <v>1</v>
      </c>
      <c r="C328" s="3">
        <v>1</v>
      </c>
      <c r="D328" s="3">
        <v>1</v>
      </c>
    </row>
    <row r="329" spans="1:4">
      <c r="A329" s="3">
        <v>2</v>
      </c>
      <c r="B329" s="3">
        <v>1</v>
      </c>
      <c r="C329" s="3">
        <v>2</v>
      </c>
      <c r="D329" s="3">
        <v>0</v>
      </c>
    </row>
    <row r="330" spans="1:4">
      <c r="A330" s="3">
        <v>2</v>
      </c>
      <c r="B330" s="3">
        <v>1</v>
      </c>
      <c r="C330" s="3">
        <v>1</v>
      </c>
      <c r="D330" s="3">
        <v>0</v>
      </c>
    </row>
    <row r="331" spans="1:4">
      <c r="A331" s="3">
        <v>1</v>
      </c>
      <c r="B331" s="3">
        <v>0</v>
      </c>
      <c r="C331" s="3">
        <v>1</v>
      </c>
      <c r="D331" s="3">
        <v>1</v>
      </c>
    </row>
    <row r="332" spans="1:4">
      <c r="A332" s="3">
        <v>3</v>
      </c>
      <c r="B332" s="3">
        <v>1</v>
      </c>
      <c r="C332" s="3">
        <v>1</v>
      </c>
      <c r="D332" s="3">
        <v>1</v>
      </c>
    </row>
    <row r="333" spans="1:4">
      <c r="A333" s="3">
        <v>1</v>
      </c>
      <c r="B333" s="3">
        <v>1</v>
      </c>
      <c r="C333" s="3">
        <v>1</v>
      </c>
      <c r="D333" s="3">
        <v>0</v>
      </c>
    </row>
    <row r="334" spans="1:4">
      <c r="A334" s="3">
        <v>2</v>
      </c>
      <c r="B334" s="3">
        <v>0</v>
      </c>
      <c r="C334" s="3">
        <v>1</v>
      </c>
      <c r="D334" s="3">
        <v>1</v>
      </c>
    </row>
    <row r="335" spans="1:4">
      <c r="A335" s="3">
        <v>3</v>
      </c>
      <c r="B335" s="3">
        <v>1</v>
      </c>
      <c r="C335" s="3">
        <v>1</v>
      </c>
      <c r="D335" s="3">
        <v>1</v>
      </c>
    </row>
    <row r="336" spans="1:4">
      <c r="A336" s="3">
        <v>2</v>
      </c>
      <c r="B336" s="3">
        <v>1</v>
      </c>
      <c r="C336" s="3">
        <v>2</v>
      </c>
      <c r="D336" s="3">
        <v>1</v>
      </c>
    </row>
    <row r="337" spans="1:4">
      <c r="A337" s="3">
        <v>1</v>
      </c>
      <c r="B337" s="3">
        <v>1</v>
      </c>
      <c r="C337" s="3">
        <v>1</v>
      </c>
      <c r="D337" s="3">
        <v>0</v>
      </c>
    </row>
    <row r="338" spans="1:4">
      <c r="A338" s="3">
        <v>1</v>
      </c>
      <c r="B338" s="3">
        <v>0</v>
      </c>
      <c r="C338" s="3">
        <v>2</v>
      </c>
      <c r="D338" s="3">
        <v>1</v>
      </c>
    </row>
    <row r="339" spans="1:4">
      <c r="A339" s="3">
        <v>1</v>
      </c>
      <c r="B339" s="3">
        <v>1</v>
      </c>
      <c r="C339" s="3">
        <v>1</v>
      </c>
      <c r="D339" s="3">
        <v>1</v>
      </c>
    </row>
    <row r="340" spans="1:4">
      <c r="A340" s="3">
        <v>1</v>
      </c>
      <c r="B340" s="3">
        <v>1</v>
      </c>
      <c r="C340" s="3">
        <v>1</v>
      </c>
      <c r="D340" s="3">
        <v>1</v>
      </c>
    </row>
    <row r="341" spans="1:4">
      <c r="A341" s="3">
        <v>1</v>
      </c>
      <c r="B341" s="3">
        <v>0</v>
      </c>
      <c r="C341" s="3">
        <v>2</v>
      </c>
      <c r="D341" s="3">
        <v>0</v>
      </c>
    </row>
    <row r="342" spans="1:4">
      <c r="A342" s="3">
        <v>1</v>
      </c>
      <c r="B342" s="3">
        <v>0</v>
      </c>
      <c r="C342" s="3">
        <v>1</v>
      </c>
      <c r="D342" s="3">
        <v>0</v>
      </c>
    </row>
    <row r="343" spans="1:4">
      <c r="A343" s="3">
        <v>1</v>
      </c>
      <c r="B343" s="3">
        <v>1</v>
      </c>
      <c r="C343" s="3">
        <v>2</v>
      </c>
      <c r="D343" s="3">
        <v>0</v>
      </c>
    </row>
    <row r="344" spans="1:4">
      <c r="A344" s="3">
        <v>3</v>
      </c>
      <c r="B344" s="3">
        <v>1</v>
      </c>
      <c r="C344" s="3">
        <v>1</v>
      </c>
      <c r="D344" s="3">
        <v>1</v>
      </c>
    </row>
    <row r="345" spans="1:4">
      <c r="A345" s="3">
        <v>3</v>
      </c>
      <c r="B345" s="3">
        <v>1</v>
      </c>
      <c r="C345" s="3">
        <v>2</v>
      </c>
      <c r="D345" s="3">
        <v>1</v>
      </c>
    </row>
    <row r="346" spans="1:4">
      <c r="A346" s="3">
        <v>1</v>
      </c>
      <c r="B346" s="3">
        <v>0</v>
      </c>
      <c r="C346" s="3">
        <v>2</v>
      </c>
      <c r="D346" s="3">
        <v>1</v>
      </c>
    </row>
    <row r="347" spans="1:4">
      <c r="A347" s="3">
        <v>1</v>
      </c>
      <c r="B347" s="3">
        <v>1</v>
      </c>
      <c r="C347" s="3">
        <v>1</v>
      </c>
      <c r="D347" s="3">
        <v>1</v>
      </c>
    </row>
    <row r="348" spans="1:4">
      <c r="A348" s="3">
        <v>2</v>
      </c>
      <c r="B348" s="3">
        <v>1</v>
      </c>
      <c r="C348" s="3">
        <v>1</v>
      </c>
      <c r="D348" s="3">
        <v>1</v>
      </c>
    </row>
    <row r="349" spans="1:4">
      <c r="A349" s="3">
        <v>3</v>
      </c>
      <c r="B349" s="3">
        <v>0</v>
      </c>
      <c r="C349" s="3">
        <v>2</v>
      </c>
      <c r="D349" s="3">
        <v>1</v>
      </c>
    </row>
    <row r="350" spans="1:4">
      <c r="A350" s="3">
        <v>2</v>
      </c>
      <c r="B350" s="3">
        <v>1</v>
      </c>
      <c r="C350" s="3">
        <v>2</v>
      </c>
      <c r="D350" s="3">
        <v>1</v>
      </c>
    </row>
    <row r="351" spans="1:4">
      <c r="A351" s="3">
        <v>3</v>
      </c>
      <c r="B351" s="3">
        <v>1</v>
      </c>
      <c r="C351" s="3">
        <v>1</v>
      </c>
      <c r="D351" s="3">
        <v>1</v>
      </c>
    </row>
    <row r="352" spans="1:4">
      <c r="A352" s="3">
        <v>3</v>
      </c>
      <c r="B352" s="3">
        <v>1</v>
      </c>
      <c r="C352" s="3">
        <v>2</v>
      </c>
      <c r="D352" s="3">
        <v>1</v>
      </c>
    </row>
    <row r="353" spans="1:4">
      <c r="A353" s="3">
        <v>3</v>
      </c>
      <c r="B353" s="3">
        <v>1</v>
      </c>
      <c r="C353" s="3">
        <v>1</v>
      </c>
      <c r="D353" s="3">
        <v>1</v>
      </c>
    </row>
    <row r="354" spans="1:4">
      <c r="A354" s="3">
        <v>3</v>
      </c>
      <c r="B354" s="3">
        <v>1</v>
      </c>
      <c r="C354" s="3">
        <v>1</v>
      </c>
      <c r="D354" s="3">
        <v>0</v>
      </c>
    </row>
    <row r="355" spans="1:4">
      <c r="A355" s="3">
        <v>3</v>
      </c>
      <c r="B355" s="3">
        <v>0</v>
      </c>
      <c r="C355" s="3">
        <v>1</v>
      </c>
      <c r="D355" s="3">
        <v>1</v>
      </c>
    </row>
    <row r="356" spans="1:4">
      <c r="A356" s="3">
        <v>1</v>
      </c>
      <c r="B356" s="3">
        <v>1</v>
      </c>
      <c r="C356" s="3">
        <v>1</v>
      </c>
      <c r="D356" s="3">
        <v>0</v>
      </c>
    </row>
    <row r="357" spans="1:4">
      <c r="A357" s="3">
        <v>1</v>
      </c>
      <c r="B357" s="3">
        <v>0</v>
      </c>
      <c r="C357" s="3">
        <v>2</v>
      </c>
      <c r="D357" s="3">
        <v>1</v>
      </c>
    </row>
    <row r="358" spans="1:4">
      <c r="A358" s="3">
        <v>1</v>
      </c>
      <c r="B358" s="3">
        <v>0</v>
      </c>
      <c r="C358" s="3">
        <v>2</v>
      </c>
      <c r="D358" s="3">
        <v>0</v>
      </c>
    </row>
    <row r="359" spans="1:4">
      <c r="A359" s="3">
        <v>1</v>
      </c>
      <c r="B359" s="3">
        <v>1</v>
      </c>
      <c r="C359" s="3">
        <v>2</v>
      </c>
      <c r="D359" s="3">
        <v>0</v>
      </c>
    </row>
    <row r="360" spans="1:4">
      <c r="A360" s="3">
        <v>3</v>
      </c>
      <c r="B360" s="3">
        <v>1</v>
      </c>
      <c r="C360" s="3">
        <v>1</v>
      </c>
      <c r="D360" s="3">
        <v>1</v>
      </c>
    </row>
    <row r="361" spans="1:4">
      <c r="A361" s="3">
        <v>2</v>
      </c>
      <c r="B361" s="3">
        <v>1</v>
      </c>
      <c r="C361" s="3">
        <v>1</v>
      </c>
      <c r="D361" s="3">
        <v>1</v>
      </c>
    </row>
    <row r="362" spans="1:4">
      <c r="A362" s="3">
        <v>3</v>
      </c>
      <c r="B362" s="3">
        <v>1</v>
      </c>
      <c r="C362" s="3">
        <v>1</v>
      </c>
      <c r="D362" s="3">
        <v>1</v>
      </c>
    </row>
    <row r="363" spans="1:4">
      <c r="A363" s="3">
        <v>3</v>
      </c>
      <c r="B363" s="3">
        <v>1</v>
      </c>
      <c r="C363" s="3">
        <v>1</v>
      </c>
      <c r="D363" s="3">
        <v>1</v>
      </c>
    </row>
    <row r="364" spans="1:4">
      <c r="A364" s="3">
        <v>3</v>
      </c>
      <c r="B364" s="3">
        <v>1</v>
      </c>
      <c r="C364" s="3">
        <v>1</v>
      </c>
      <c r="D364" s="3">
        <v>1</v>
      </c>
    </row>
    <row r="365" spans="1:4">
      <c r="A365" s="3">
        <v>2</v>
      </c>
      <c r="B365" s="3">
        <v>1</v>
      </c>
      <c r="C365" s="3">
        <v>2</v>
      </c>
      <c r="D365" s="3">
        <v>0</v>
      </c>
    </row>
    <row r="366" spans="1:4">
      <c r="A366" s="3">
        <v>1</v>
      </c>
      <c r="B366" s="3">
        <v>0</v>
      </c>
      <c r="C366" s="3">
        <v>1</v>
      </c>
      <c r="D366" s="3">
        <v>1</v>
      </c>
    </row>
    <row r="367" spans="1:4">
      <c r="A367" s="3">
        <v>2</v>
      </c>
      <c r="B367" s="3">
        <v>1</v>
      </c>
      <c r="C367" s="3">
        <v>2</v>
      </c>
      <c r="D367" s="3">
        <v>1</v>
      </c>
    </row>
    <row r="368" spans="1:4">
      <c r="A368" s="3">
        <v>2</v>
      </c>
      <c r="B368" s="3">
        <v>1</v>
      </c>
      <c r="C368" s="3">
        <v>1</v>
      </c>
      <c r="D368" s="3">
        <v>1</v>
      </c>
    </row>
    <row r="369" spans="1:4">
      <c r="A369" s="3">
        <v>1</v>
      </c>
      <c r="B369" s="3">
        <v>0</v>
      </c>
      <c r="C369" s="3">
        <v>1</v>
      </c>
      <c r="D369" s="3">
        <v>0</v>
      </c>
    </row>
    <row r="370" spans="1:4">
      <c r="A370" s="3">
        <v>3</v>
      </c>
      <c r="B370" s="3">
        <v>1</v>
      </c>
      <c r="C370" s="3">
        <v>2</v>
      </c>
      <c r="D370" s="3">
        <v>0</v>
      </c>
    </row>
    <row r="371" spans="1:4">
      <c r="A371" s="3">
        <v>3</v>
      </c>
      <c r="B371" s="3">
        <v>1</v>
      </c>
      <c r="C371" s="3">
        <v>1</v>
      </c>
      <c r="D371" s="3">
        <v>1</v>
      </c>
    </row>
    <row r="372" spans="1:4">
      <c r="A372" s="3">
        <v>3</v>
      </c>
      <c r="B372" s="3">
        <v>1</v>
      </c>
      <c r="C372" s="3">
        <v>1</v>
      </c>
      <c r="D372" s="3">
        <v>1</v>
      </c>
    </row>
    <row r="373" spans="1:4">
      <c r="A373" s="3">
        <v>3</v>
      </c>
      <c r="B373" s="3">
        <v>1</v>
      </c>
      <c r="C373" s="3">
        <v>2</v>
      </c>
      <c r="D373" s="3">
        <v>1</v>
      </c>
    </row>
    <row r="374" spans="1:4">
      <c r="A374" s="3">
        <v>2</v>
      </c>
      <c r="B374" s="3">
        <v>0</v>
      </c>
      <c r="C374" s="3">
        <v>2</v>
      </c>
      <c r="D374" s="3">
        <v>0</v>
      </c>
    </row>
    <row r="375" spans="1:4">
      <c r="A375" s="3">
        <v>3</v>
      </c>
      <c r="B375" s="3">
        <v>1</v>
      </c>
      <c r="C375" s="3">
        <v>1</v>
      </c>
      <c r="D375" s="3">
        <v>1</v>
      </c>
    </row>
    <row r="376" spans="1:4">
      <c r="A376" s="3">
        <v>1</v>
      </c>
      <c r="B376" s="3">
        <v>1</v>
      </c>
      <c r="C376" s="3">
        <v>1</v>
      </c>
      <c r="D376" s="3">
        <v>0</v>
      </c>
    </row>
    <row r="377" spans="1:4">
      <c r="A377" s="3">
        <v>2</v>
      </c>
      <c r="B377" s="3">
        <v>1</v>
      </c>
      <c r="C377" s="3">
        <v>2</v>
      </c>
      <c r="D377" s="3">
        <v>1</v>
      </c>
    </row>
    <row r="378" spans="1:4">
      <c r="A378" s="3">
        <v>1</v>
      </c>
      <c r="B378" s="3">
        <v>0</v>
      </c>
      <c r="C378" s="3">
        <v>1</v>
      </c>
      <c r="D378" s="3">
        <v>0</v>
      </c>
    </row>
    <row r="379" spans="1:4">
      <c r="A379" s="3">
        <v>3</v>
      </c>
      <c r="B379" s="3">
        <v>1</v>
      </c>
      <c r="C379" s="3">
        <v>1</v>
      </c>
      <c r="D379" s="3">
        <v>1</v>
      </c>
    </row>
    <row r="380" spans="1:4">
      <c r="A380" s="3">
        <v>3</v>
      </c>
      <c r="B380" s="3">
        <v>0</v>
      </c>
      <c r="C380" s="3">
        <v>2</v>
      </c>
      <c r="D380" s="3">
        <v>0</v>
      </c>
    </row>
    <row r="381" spans="1:4">
      <c r="A381" s="3">
        <v>1</v>
      </c>
      <c r="B381" s="3">
        <v>0</v>
      </c>
      <c r="C381" s="3">
        <v>1</v>
      </c>
      <c r="D381" s="3">
        <v>1</v>
      </c>
    </row>
    <row r="382" spans="1:4">
      <c r="A382" s="3">
        <v>3</v>
      </c>
      <c r="B382" s="3">
        <v>1</v>
      </c>
      <c r="C382" s="3">
        <v>1</v>
      </c>
      <c r="D382" s="3">
        <v>0</v>
      </c>
    </row>
    <row r="383" spans="1:4">
      <c r="A383" s="3">
        <v>2</v>
      </c>
      <c r="B383" s="3">
        <v>1</v>
      </c>
      <c r="C383" s="3">
        <v>2</v>
      </c>
      <c r="D383" s="3">
        <v>1</v>
      </c>
    </row>
    <row r="384" spans="1:4">
      <c r="A384" s="3">
        <v>2</v>
      </c>
      <c r="B384" s="3">
        <v>1</v>
      </c>
      <c r="C384" s="3">
        <v>2</v>
      </c>
      <c r="D384" s="3">
        <v>1</v>
      </c>
    </row>
    <row r="385" spans="1:4">
      <c r="A385" s="3">
        <v>3</v>
      </c>
      <c r="B385" s="3">
        <v>1</v>
      </c>
      <c r="C385" s="3">
        <v>2</v>
      </c>
      <c r="D385" s="3">
        <v>1</v>
      </c>
    </row>
    <row r="386" spans="1:4">
      <c r="A386" s="3">
        <v>2</v>
      </c>
      <c r="B386" s="3">
        <v>0</v>
      </c>
      <c r="C386" s="3">
        <v>1</v>
      </c>
      <c r="D386" s="3">
        <v>1</v>
      </c>
    </row>
    <row r="387" spans="1:4">
      <c r="A387" s="3">
        <v>2</v>
      </c>
      <c r="B387" s="3">
        <v>0</v>
      </c>
      <c r="C387" s="3">
        <v>1</v>
      </c>
      <c r="D387" s="3">
        <v>1</v>
      </c>
    </row>
    <row r="388" spans="1:4">
      <c r="A388" s="3">
        <v>1</v>
      </c>
      <c r="B388" s="3">
        <v>1</v>
      </c>
      <c r="C388" s="3">
        <v>2</v>
      </c>
      <c r="D388" s="3">
        <v>1</v>
      </c>
    </row>
    <row r="389" spans="1:4">
      <c r="A389" s="3">
        <v>2</v>
      </c>
      <c r="B389" s="3">
        <v>1</v>
      </c>
      <c r="C389" s="3">
        <v>2</v>
      </c>
      <c r="D389" s="3">
        <v>1</v>
      </c>
    </row>
    <row r="390" spans="1:4">
      <c r="A390" s="3">
        <v>3</v>
      </c>
      <c r="B390" s="3">
        <v>1</v>
      </c>
      <c r="C390" s="3">
        <v>2</v>
      </c>
      <c r="D390" s="3">
        <v>1</v>
      </c>
    </row>
    <row r="391" spans="1:4">
      <c r="A391" s="3">
        <v>3</v>
      </c>
      <c r="B391" s="3">
        <v>1</v>
      </c>
      <c r="C391" s="3">
        <v>1</v>
      </c>
      <c r="D391" s="3">
        <v>1</v>
      </c>
    </row>
    <row r="392" spans="1:4">
      <c r="A392" s="3">
        <v>3</v>
      </c>
      <c r="B392" s="3">
        <v>1</v>
      </c>
      <c r="C392" s="3">
        <v>1</v>
      </c>
      <c r="D392" s="3">
        <v>1</v>
      </c>
    </row>
    <row r="393" spans="1:4">
      <c r="A393" s="3">
        <v>1</v>
      </c>
      <c r="B393" s="3">
        <v>0</v>
      </c>
      <c r="C393" s="3">
        <v>2</v>
      </c>
      <c r="D393" s="3">
        <v>1</v>
      </c>
    </row>
    <row r="394" spans="1:4">
      <c r="A394" s="3">
        <v>1</v>
      </c>
      <c r="B394" s="3">
        <v>0</v>
      </c>
      <c r="C394" s="3">
        <v>1</v>
      </c>
      <c r="D394" s="3">
        <v>0</v>
      </c>
    </row>
    <row r="395" spans="1:4">
      <c r="A395" s="3">
        <v>2</v>
      </c>
      <c r="B395" s="3">
        <v>0</v>
      </c>
      <c r="C395" s="3">
        <v>1</v>
      </c>
      <c r="D395" s="3">
        <v>1</v>
      </c>
    </row>
    <row r="396" spans="1:4">
      <c r="A396" s="3">
        <v>2</v>
      </c>
      <c r="B396" s="3">
        <v>1</v>
      </c>
      <c r="C396" s="3">
        <v>1</v>
      </c>
      <c r="D396" s="3">
        <v>1</v>
      </c>
    </row>
    <row r="397" spans="1:4">
      <c r="A397" s="3">
        <v>1</v>
      </c>
      <c r="B397" s="3">
        <v>0</v>
      </c>
      <c r="C397" s="3">
        <v>1</v>
      </c>
      <c r="D397" s="3">
        <v>0</v>
      </c>
    </row>
    <row r="398" spans="1:4">
      <c r="A398" s="3">
        <v>1</v>
      </c>
      <c r="B398" s="3">
        <v>0</v>
      </c>
      <c r="C398" s="3">
        <v>2</v>
      </c>
      <c r="D398" s="3">
        <v>0</v>
      </c>
    </row>
    <row r="399" spans="1:4">
      <c r="A399" s="3">
        <v>3</v>
      </c>
      <c r="B399" s="3">
        <v>1</v>
      </c>
      <c r="C399" s="3">
        <v>1</v>
      </c>
      <c r="D399" s="3">
        <v>0</v>
      </c>
    </row>
    <row r="400" spans="1:4">
      <c r="A400" s="3">
        <v>3</v>
      </c>
      <c r="B400" s="3">
        <v>0</v>
      </c>
      <c r="C400" s="3">
        <v>1</v>
      </c>
      <c r="D400" s="3">
        <v>1</v>
      </c>
    </row>
    <row r="401" spans="1:4">
      <c r="A401" s="3">
        <v>3</v>
      </c>
      <c r="B401" s="3">
        <v>1</v>
      </c>
      <c r="C401" s="3">
        <v>1</v>
      </c>
      <c r="D401" s="3">
        <v>1</v>
      </c>
    </row>
    <row r="402" spans="1:4">
      <c r="A402" s="3">
        <v>2</v>
      </c>
      <c r="B402" s="3">
        <v>1</v>
      </c>
      <c r="C402" s="3">
        <v>1</v>
      </c>
      <c r="D402" s="3">
        <v>1</v>
      </c>
    </row>
    <row r="403" spans="1:4">
      <c r="A403" s="3">
        <v>2</v>
      </c>
      <c r="B403" s="3">
        <v>0</v>
      </c>
      <c r="C403" s="3">
        <v>1</v>
      </c>
      <c r="D403" s="3">
        <v>1</v>
      </c>
    </row>
    <row r="404" spans="1:4">
      <c r="A404" s="3">
        <v>3</v>
      </c>
      <c r="B404" s="3">
        <v>0</v>
      </c>
      <c r="C404" s="3">
        <v>2</v>
      </c>
      <c r="D404" s="3">
        <v>1</v>
      </c>
    </row>
    <row r="405" spans="1:4">
      <c r="A405" s="3">
        <v>2</v>
      </c>
      <c r="B405" s="3">
        <v>0</v>
      </c>
      <c r="C405" s="3">
        <v>1</v>
      </c>
      <c r="D405" s="3">
        <v>1</v>
      </c>
    </row>
    <row r="406" spans="1:4">
      <c r="A406" s="3">
        <v>3</v>
      </c>
      <c r="B406" s="3">
        <v>0</v>
      </c>
      <c r="C406" s="3">
        <v>1</v>
      </c>
      <c r="D406" s="3">
        <v>1</v>
      </c>
    </row>
    <row r="407" spans="1:4">
      <c r="A407" s="3">
        <v>3</v>
      </c>
      <c r="B407" s="3">
        <v>1</v>
      </c>
      <c r="C407" s="3">
        <v>2</v>
      </c>
      <c r="D407" s="3">
        <v>1</v>
      </c>
    </row>
    <row r="408" spans="1:4">
      <c r="A408" s="3">
        <v>3</v>
      </c>
      <c r="B408" s="3">
        <v>0</v>
      </c>
      <c r="C408" s="3">
        <v>1</v>
      </c>
      <c r="D408" s="3">
        <v>1</v>
      </c>
    </row>
    <row r="409" spans="1:4">
      <c r="A409" s="3">
        <v>3</v>
      </c>
      <c r="B409" s="3">
        <v>1</v>
      </c>
      <c r="C409" s="3">
        <v>1</v>
      </c>
      <c r="D409" s="3">
        <v>1</v>
      </c>
    </row>
    <row r="410" spans="1:4">
      <c r="A410" s="3">
        <v>3</v>
      </c>
      <c r="B410" s="3">
        <v>1</v>
      </c>
      <c r="C410" s="3">
        <v>2</v>
      </c>
      <c r="D410" s="3">
        <v>1</v>
      </c>
    </row>
    <row r="411" spans="1:4">
      <c r="A411" s="3">
        <v>3</v>
      </c>
      <c r="B411" s="3">
        <v>1</v>
      </c>
      <c r="C411" s="3">
        <v>2</v>
      </c>
      <c r="D411" s="3">
        <v>1</v>
      </c>
    </row>
    <row r="412" spans="1:4">
      <c r="A412" s="3">
        <v>2</v>
      </c>
      <c r="B412" s="3">
        <v>0</v>
      </c>
      <c r="C412" s="3">
        <v>1</v>
      </c>
      <c r="D412" s="3">
        <v>1</v>
      </c>
    </row>
    <row r="413" spans="1:4">
      <c r="A413" s="3">
        <v>2</v>
      </c>
      <c r="B413" s="3">
        <v>0</v>
      </c>
      <c r="C413" s="3">
        <v>2</v>
      </c>
      <c r="D413" s="3">
        <v>1</v>
      </c>
    </row>
    <row r="414" spans="1:4">
      <c r="A414" s="3">
        <v>3</v>
      </c>
      <c r="B414" s="3">
        <v>1</v>
      </c>
      <c r="C414" s="3">
        <v>1</v>
      </c>
      <c r="D414" s="3">
        <v>1</v>
      </c>
    </row>
    <row r="415" spans="1:4">
      <c r="A415" s="3">
        <v>3</v>
      </c>
      <c r="B415" s="3">
        <v>1</v>
      </c>
      <c r="C415" s="3">
        <v>1</v>
      </c>
      <c r="D415" s="3">
        <v>1</v>
      </c>
    </row>
    <row r="416" spans="1:4">
      <c r="A416" s="3">
        <v>2</v>
      </c>
      <c r="B416" s="3">
        <v>0</v>
      </c>
      <c r="C416" s="3">
        <v>2</v>
      </c>
      <c r="D416" s="3">
        <v>0</v>
      </c>
    </row>
    <row r="417" spans="1:4">
      <c r="A417" s="3">
        <v>2</v>
      </c>
      <c r="B417" s="3">
        <v>1</v>
      </c>
      <c r="C417" s="3">
        <v>1</v>
      </c>
      <c r="D417" s="3">
        <v>1</v>
      </c>
    </row>
    <row r="418" spans="1:4">
      <c r="A418" s="3">
        <v>2</v>
      </c>
      <c r="B418" s="3">
        <v>0</v>
      </c>
      <c r="C418" s="3">
        <v>2</v>
      </c>
      <c r="D418" s="3">
        <v>1</v>
      </c>
    </row>
    <row r="419" spans="1:4">
      <c r="A419" s="3">
        <v>3</v>
      </c>
      <c r="B419" s="3">
        <v>0</v>
      </c>
      <c r="C419" s="3">
        <v>2</v>
      </c>
      <c r="D419" s="3">
        <v>1</v>
      </c>
    </row>
    <row r="420" spans="1:4">
      <c r="A420" s="3">
        <v>2</v>
      </c>
      <c r="B420" s="3">
        <v>1</v>
      </c>
      <c r="C420" s="3">
        <v>1</v>
      </c>
      <c r="D420" s="3">
        <v>1</v>
      </c>
    </row>
    <row r="421" spans="1:4">
      <c r="A421" s="3">
        <v>1</v>
      </c>
      <c r="B421" s="3">
        <v>0</v>
      </c>
      <c r="C421" s="3">
        <v>1</v>
      </c>
      <c r="D421" s="3">
        <v>1</v>
      </c>
    </row>
    <row r="422" spans="1:4">
      <c r="A422" s="3">
        <v>3</v>
      </c>
      <c r="B422" s="3">
        <v>0</v>
      </c>
      <c r="C422" s="3">
        <v>1</v>
      </c>
      <c r="D422" s="3">
        <v>1</v>
      </c>
    </row>
    <row r="423" spans="1:4">
      <c r="A423" s="3">
        <v>3</v>
      </c>
      <c r="B423" s="3">
        <v>0</v>
      </c>
      <c r="C423" s="3">
        <v>2</v>
      </c>
      <c r="D423" s="3">
        <v>1</v>
      </c>
    </row>
    <row r="424" spans="1:4">
      <c r="A424" s="3">
        <v>1</v>
      </c>
      <c r="B424" s="3">
        <v>1</v>
      </c>
      <c r="C424" s="3">
        <v>1</v>
      </c>
      <c r="D424" s="3">
        <v>1</v>
      </c>
    </row>
    <row r="425" spans="1:4">
      <c r="A425" s="3">
        <v>3</v>
      </c>
      <c r="B425" s="3">
        <v>1</v>
      </c>
      <c r="C425" s="3">
        <v>1</v>
      </c>
      <c r="D425" s="3">
        <v>1</v>
      </c>
    </row>
    <row r="426" spans="1:4">
      <c r="A426" s="3">
        <v>1</v>
      </c>
      <c r="B426" s="3">
        <v>0</v>
      </c>
      <c r="C426" s="3">
        <v>1</v>
      </c>
      <c r="D426" s="3">
        <v>1</v>
      </c>
    </row>
    <row r="427" spans="1:4">
      <c r="A427" s="3">
        <v>1</v>
      </c>
      <c r="B427" s="3">
        <v>0</v>
      </c>
      <c r="C427" s="3">
        <v>1</v>
      </c>
      <c r="D427" s="3">
        <v>0</v>
      </c>
    </row>
    <row r="428" spans="1:4">
      <c r="A428" s="3">
        <v>1</v>
      </c>
      <c r="B428" s="3">
        <v>0</v>
      </c>
      <c r="C428" s="3">
        <v>1</v>
      </c>
      <c r="D428" s="3">
        <v>1</v>
      </c>
    </row>
    <row r="429" spans="1:4">
      <c r="A429" s="3">
        <v>2</v>
      </c>
      <c r="B429" s="3">
        <v>1</v>
      </c>
      <c r="C429" s="3">
        <v>2</v>
      </c>
      <c r="D429" s="3">
        <v>1</v>
      </c>
    </row>
    <row r="430" spans="1:4">
      <c r="A430" s="3">
        <v>3</v>
      </c>
      <c r="B430" s="3">
        <v>1</v>
      </c>
      <c r="C430" s="3">
        <v>2</v>
      </c>
      <c r="D430" s="3">
        <v>1</v>
      </c>
    </row>
    <row r="431" spans="1:4">
      <c r="A431" s="3">
        <v>1</v>
      </c>
      <c r="B431" s="3">
        <v>1</v>
      </c>
      <c r="C431" s="3">
        <v>1</v>
      </c>
      <c r="D431" s="3">
        <v>0</v>
      </c>
    </row>
    <row r="432" spans="1:4">
      <c r="A432" s="3">
        <v>3</v>
      </c>
      <c r="B432" s="3">
        <v>1</v>
      </c>
      <c r="C432" s="3">
        <v>2</v>
      </c>
      <c r="D432" s="3">
        <v>0</v>
      </c>
    </row>
    <row r="433" spans="1:4">
      <c r="A433" s="3">
        <v>3</v>
      </c>
      <c r="B433" s="3">
        <v>1</v>
      </c>
      <c r="C433" s="3">
        <v>1</v>
      </c>
      <c r="D433" s="3">
        <v>1</v>
      </c>
    </row>
    <row r="434" spans="1:4">
      <c r="A434" s="3">
        <v>2</v>
      </c>
      <c r="B434" s="3">
        <v>0</v>
      </c>
      <c r="C434" s="3">
        <v>2</v>
      </c>
      <c r="D434" s="3">
        <v>1</v>
      </c>
    </row>
    <row r="435" spans="1:4">
      <c r="A435" s="3">
        <v>2</v>
      </c>
      <c r="B435" s="3">
        <v>1</v>
      </c>
      <c r="C435" s="3">
        <v>1</v>
      </c>
      <c r="D435" s="3">
        <v>1</v>
      </c>
    </row>
    <row r="436" spans="1:4">
      <c r="A436" s="3">
        <v>3</v>
      </c>
      <c r="B436" s="3">
        <v>1</v>
      </c>
      <c r="C436" s="3">
        <v>1</v>
      </c>
      <c r="D436" s="3">
        <v>1</v>
      </c>
    </row>
    <row r="437" spans="1:4">
      <c r="A437" s="3">
        <v>2</v>
      </c>
      <c r="B437" s="3">
        <v>1</v>
      </c>
      <c r="C437" s="3">
        <v>1</v>
      </c>
      <c r="D437" s="3">
        <v>1</v>
      </c>
    </row>
    <row r="438" spans="1:4">
      <c r="A438" s="3">
        <v>3</v>
      </c>
      <c r="B438" s="3">
        <v>1</v>
      </c>
      <c r="C438" s="3">
        <v>1</v>
      </c>
      <c r="D438" s="3">
        <v>1</v>
      </c>
    </row>
    <row r="439" spans="1:4">
      <c r="A439" s="3">
        <v>3</v>
      </c>
      <c r="B439" s="3">
        <v>1</v>
      </c>
      <c r="C439" s="3">
        <v>2</v>
      </c>
      <c r="D439" s="3">
        <v>1</v>
      </c>
    </row>
    <row r="440" spans="1:4">
      <c r="A440" s="3">
        <v>2</v>
      </c>
      <c r="B440" s="3">
        <v>1</v>
      </c>
      <c r="C440" s="3">
        <v>2</v>
      </c>
      <c r="D440" s="3">
        <v>0</v>
      </c>
    </row>
    <row r="441" spans="1:4">
      <c r="A441" s="3">
        <v>1</v>
      </c>
      <c r="B441" s="3">
        <v>1</v>
      </c>
      <c r="C441" s="3">
        <v>2</v>
      </c>
      <c r="D441" s="3">
        <v>1</v>
      </c>
    </row>
    <row r="442" spans="1:4">
      <c r="A442" s="3">
        <v>1</v>
      </c>
      <c r="B442" s="3">
        <v>1</v>
      </c>
      <c r="C442" s="3">
        <v>1</v>
      </c>
      <c r="D442" s="3">
        <v>1</v>
      </c>
    </row>
    <row r="443" spans="1:4">
      <c r="A443" s="3">
        <v>2</v>
      </c>
      <c r="B443" s="3">
        <v>1</v>
      </c>
      <c r="C443" s="3">
        <v>1</v>
      </c>
      <c r="D443" s="3">
        <v>1</v>
      </c>
    </row>
    <row r="444" spans="1:4">
      <c r="A444" s="3">
        <v>2</v>
      </c>
      <c r="B444" s="3">
        <v>0</v>
      </c>
      <c r="C444" s="3">
        <v>2</v>
      </c>
      <c r="D444" s="3">
        <v>1</v>
      </c>
    </row>
    <row r="445" spans="1:4">
      <c r="A445" s="3">
        <v>2</v>
      </c>
      <c r="B445" s="3">
        <v>1</v>
      </c>
      <c r="C445" s="3">
        <v>1</v>
      </c>
      <c r="D445" s="3">
        <v>1</v>
      </c>
    </row>
    <row r="446" spans="1:4">
      <c r="A446" s="3">
        <v>1</v>
      </c>
      <c r="B446" s="3">
        <v>0</v>
      </c>
      <c r="C446" s="3">
        <v>1</v>
      </c>
      <c r="D446" s="3">
        <v>0</v>
      </c>
    </row>
    <row r="447" spans="1:4">
      <c r="A447" s="3">
        <v>1</v>
      </c>
      <c r="B447" s="3">
        <v>1</v>
      </c>
      <c r="C447" s="3">
        <v>1</v>
      </c>
      <c r="D447" s="3">
        <v>0</v>
      </c>
    </row>
    <row r="448" spans="1:4">
      <c r="A448" s="3">
        <v>3</v>
      </c>
      <c r="B448" s="3">
        <v>1</v>
      </c>
      <c r="C448" s="3">
        <v>1</v>
      </c>
      <c r="D448" s="3">
        <v>1</v>
      </c>
    </row>
    <row r="449" spans="1:4">
      <c r="A449" s="3">
        <v>2</v>
      </c>
      <c r="B449" s="3">
        <v>0</v>
      </c>
      <c r="C449" s="3">
        <v>2</v>
      </c>
      <c r="D449" s="3">
        <v>1</v>
      </c>
    </row>
    <row r="450" spans="1:4">
      <c r="A450" s="3">
        <v>2</v>
      </c>
      <c r="B450" s="3">
        <v>1</v>
      </c>
      <c r="C450" s="3">
        <v>1</v>
      </c>
      <c r="D450" s="3">
        <v>0</v>
      </c>
    </row>
    <row r="451" spans="1:4">
      <c r="A451" s="3">
        <v>1</v>
      </c>
      <c r="B451" s="3">
        <v>0</v>
      </c>
      <c r="C451" s="3">
        <v>2</v>
      </c>
      <c r="D451" s="3">
        <v>1</v>
      </c>
    </row>
    <row r="452" spans="1:4">
      <c r="A452" s="3">
        <v>3</v>
      </c>
      <c r="B452" s="3">
        <v>0</v>
      </c>
      <c r="C452" s="3">
        <v>2</v>
      </c>
      <c r="D452" s="3">
        <v>0</v>
      </c>
    </row>
    <row r="453" spans="1:4">
      <c r="A453" s="3">
        <v>3</v>
      </c>
      <c r="B453" s="3">
        <v>1</v>
      </c>
      <c r="C453" s="3">
        <v>1</v>
      </c>
      <c r="D453" s="3">
        <v>0</v>
      </c>
    </row>
    <row r="454" spans="1:4">
      <c r="A454" s="3">
        <v>3</v>
      </c>
      <c r="B454" s="3">
        <v>0</v>
      </c>
      <c r="C454" s="3">
        <v>2</v>
      </c>
      <c r="D454" s="3">
        <v>1</v>
      </c>
    </row>
    <row r="455" spans="1:4">
      <c r="A455" s="3">
        <v>3</v>
      </c>
      <c r="B455" s="3">
        <v>1</v>
      </c>
      <c r="C455" s="3">
        <v>2</v>
      </c>
      <c r="D455" s="3">
        <v>1</v>
      </c>
    </row>
    <row r="456" spans="1:4">
      <c r="A456" s="3">
        <v>1</v>
      </c>
      <c r="B456" s="3">
        <v>0</v>
      </c>
      <c r="C456" s="3">
        <v>1</v>
      </c>
      <c r="D456" s="3">
        <v>0</v>
      </c>
    </row>
    <row r="457" spans="1:4">
      <c r="A457" s="3">
        <v>1</v>
      </c>
      <c r="B457" s="3">
        <v>0</v>
      </c>
      <c r="C457" s="3">
        <v>1</v>
      </c>
      <c r="D457" s="3">
        <v>0</v>
      </c>
    </row>
    <row r="458" spans="1:4">
      <c r="A458" s="3">
        <v>3</v>
      </c>
      <c r="B458" s="3">
        <v>0</v>
      </c>
      <c r="C458" s="3">
        <v>1</v>
      </c>
      <c r="D458" s="3">
        <v>1</v>
      </c>
    </row>
    <row r="459" spans="1:4">
      <c r="A459" s="3">
        <v>3</v>
      </c>
      <c r="B459" s="3">
        <v>0</v>
      </c>
      <c r="C459" s="3">
        <v>2</v>
      </c>
      <c r="D459" s="3">
        <v>1</v>
      </c>
    </row>
    <row r="460" spans="1:4">
      <c r="A460" s="3">
        <v>1</v>
      </c>
      <c r="B460" s="3">
        <v>0</v>
      </c>
      <c r="C460" s="3">
        <v>1</v>
      </c>
      <c r="D460" s="3">
        <v>1</v>
      </c>
    </row>
    <row r="461" spans="1:4">
      <c r="A461" s="3">
        <v>1</v>
      </c>
      <c r="B461" s="3">
        <v>1</v>
      </c>
      <c r="C461" s="3">
        <v>1</v>
      </c>
      <c r="D461" s="3">
        <v>1</v>
      </c>
    </row>
    <row r="462" spans="1:4">
      <c r="A462" s="3">
        <v>1</v>
      </c>
      <c r="B462" s="3">
        <v>0</v>
      </c>
      <c r="C462" s="3">
        <v>1</v>
      </c>
      <c r="D462" s="3">
        <v>0</v>
      </c>
    </row>
    <row r="463" spans="1:4">
      <c r="A463" s="3">
        <v>3</v>
      </c>
      <c r="B463" s="3">
        <v>0</v>
      </c>
      <c r="C463" s="3">
        <v>2</v>
      </c>
      <c r="D463" s="3">
        <v>0</v>
      </c>
    </row>
    <row r="464" spans="1:4">
      <c r="A464" s="3">
        <v>2</v>
      </c>
      <c r="B464" s="3">
        <v>0</v>
      </c>
      <c r="C464" s="3">
        <v>2</v>
      </c>
      <c r="D464" s="3">
        <v>1</v>
      </c>
    </row>
    <row r="465" spans="1:4">
      <c r="A465" s="3">
        <v>2</v>
      </c>
      <c r="B465" s="3">
        <v>0</v>
      </c>
      <c r="C465" s="3">
        <v>2</v>
      </c>
      <c r="D465" s="3">
        <v>1</v>
      </c>
    </row>
    <row r="466" spans="1:4">
      <c r="A466" s="3">
        <v>3</v>
      </c>
      <c r="B466" s="3">
        <v>1</v>
      </c>
      <c r="C466" s="3">
        <v>2</v>
      </c>
      <c r="D466" s="3">
        <v>1</v>
      </c>
    </row>
    <row r="467" spans="1:4">
      <c r="A467" s="3">
        <v>3</v>
      </c>
      <c r="B467" s="3">
        <v>1</v>
      </c>
      <c r="C467" s="3">
        <v>2</v>
      </c>
      <c r="D467" s="3">
        <v>1</v>
      </c>
    </row>
    <row r="468" spans="1:4">
      <c r="A468" s="3">
        <v>1</v>
      </c>
      <c r="B468" s="3">
        <v>0</v>
      </c>
      <c r="C468" s="3">
        <v>2</v>
      </c>
      <c r="D468" s="3">
        <v>1</v>
      </c>
    </row>
    <row r="469" spans="1:4">
      <c r="A469" s="3">
        <v>2</v>
      </c>
      <c r="B469" s="3">
        <v>1</v>
      </c>
      <c r="C469" s="3">
        <v>1</v>
      </c>
      <c r="D469" s="3">
        <v>1</v>
      </c>
    </row>
    <row r="470" spans="1:4">
      <c r="A470" s="3">
        <v>3</v>
      </c>
      <c r="B470" s="3">
        <v>0</v>
      </c>
      <c r="C470" s="3">
        <v>2</v>
      </c>
      <c r="D470" s="3">
        <v>0</v>
      </c>
    </row>
    <row r="471" spans="1:4">
      <c r="A471" s="3">
        <v>3</v>
      </c>
      <c r="B471" s="3">
        <v>0</v>
      </c>
      <c r="C471" s="3">
        <v>2</v>
      </c>
      <c r="D471" s="3">
        <v>1</v>
      </c>
    </row>
    <row r="472" spans="1:4">
      <c r="A472" s="3">
        <v>1</v>
      </c>
      <c r="B472" s="3">
        <v>0</v>
      </c>
      <c r="C472" s="3">
        <v>2</v>
      </c>
      <c r="D472" s="3">
        <v>0</v>
      </c>
    </row>
    <row r="473" spans="1:4">
      <c r="A473" s="3">
        <v>2</v>
      </c>
      <c r="B473" s="3">
        <v>0</v>
      </c>
      <c r="C473" s="3">
        <v>2</v>
      </c>
      <c r="D473" s="3">
        <v>0</v>
      </c>
    </row>
    <row r="474" spans="1:4">
      <c r="A474" s="3">
        <v>3</v>
      </c>
      <c r="B474" s="3">
        <v>0</v>
      </c>
      <c r="C474" s="3">
        <v>1</v>
      </c>
      <c r="D474" s="3">
        <v>1</v>
      </c>
    </row>
    <row r="475" spans="1:4">
      <c r="A475" s="3">
        <v>2</v>
      </c>
      <c r="B475" s="3">
        <v>1</v>
      </c>
      <c r="C475" s="3">
        <v>1</v>
      </c>
      <c r="D475" s="3">
        <v>1</v>
      </c>
    </row>
    <row r="476" spans="1:4">
      <c r="A476" s="3">
        <v>3</v>
      </c>
      <c r="B476" s="3">
        <v>0</v>
      </c>
      <c r="C476" s="3">
        <v>1</v>
      </c>
      <c r="D476" s="3">
        <v>1</v>
      </c>
    </row>
    <row r="477" spans="1:4">
      <c r="A477" s="3">
        <v>2</v>
      </c>
      <c r="B477" s="3">
        <v>0</v>
      </c>
      <c r="C477" s="3">
        <v>2</v>
      </c>
      <c r="D477" s="3">
        <v>1</v>
      </c>
    </row>
    <row r="478" spans="1:4">
      <c r="A478" s="3">
        <v>2</v>
      </c>
      <c r="B478" s="3">
        <v>0</v>
      </c>
      <c r="C478" s="3">
        <v>2</v>
      </c>
      <c r="D478" s="3">
        <v>1</v>
      </c>
    </row>
    <row r="479" spans="1:4">
      <c r="A479" s="3">
        <v>1</v>
      </c>
      <c r="B479" s="3">
        <v>1</v>
      </c>
      <c r="C479" s="3">
        <v>2</v>
      </c>
      <c r="D479" s="3">
        <v>0</v>
      </c>
    </row>
    <row r="480" spans="1:4">
      <c r="A480" s="3">
        <v>1</v>
      </c>
      <c r="B480" s="3">
        <v>0</v>
      </c>
      <c r="C480" s="3">
        <v>1</v>
      </c>
      <c r="D480" s="3">
        <v>1</v>
      </c>
    </row>
    <row r="481" spans="1:4">
      <c r="A481" s="3">
        <v>1</v>
      </c>
      <c r="B481" s="3">
        <v>0</v>
      </c>
      <c r="C481" s="3">
        <v>2</v>
      </c>
      <c r="D481" s="3">
        <v>1</v>
      </c>
    </row>
    <row r="482" spans="1:4">
      <c r="A482" s="3">
        <v>2</v>
      </c>
      <c r="B482" s="3">
        <v>0</v>
      </c>
      <c r="C482" s="3">
        <v>2</v>
      </c>
      <c r="D482" s="3">
        <v>1</v>
      </c>
    </row>
    <row r="483" spans="1:4">
      <c r="A483" s="3">
        <v>1</v>
      </c>
      <c r="B483" s="3">
        <v>1</v>
      </c>
      <c r="C483" s="3">
        <v>2</v>
      </c>
      <c r="D483" s="3">
        <v>1</v>
      </c>
    </row>
    <row r="484" spans="1:4">
      <c r="A484" s="3">
        <v>1</v>
      </c>
      <c r="B484" s="3">
        <v>1</v>
      </c>
      <c r="C484" s="3">
        <v>1</v>
      </c>
      <c r="D484" s="3">
        <v>0</v>
      </c>
    </row>
    <row r="485" spans="1:4">
      <c r="A485" s="3">
        <v>3</v>
      </c>
      <c r="B485" s="3">
        <v>0</v>
      </c>
      <c r="C485" s="3">
        <v>2</v>
      </c>
      <c r="D485" s="3">
        <v>1</v>
      </c>
    </row>
    <row r="486" spans="1:4">
      <c r="A486" s="3">
        <v>3</v>
      </c>
      <c r="B486" s="3">
        <v>0</v>
      </c>
      <c r="C486" s="3">
        <v>2</v>
      </c>
      <c r="D486" s="3">
        <v>1</v>
      </c>
    </row>
    <row r="487" spans="1:4">
      <c r="A487" s="3">
        <v>3</v>
      </c>
      <c r="B487" s="3">
        <v>1</v>
      </c>
      <c r="C487" s="3">
        <v>2</v>
      </c>
      <c r="D487" s="3">
        <v>1</v>
      </c>
    </row>
    <row r="488" spans="1:4">
      <c r="A488" s="3">
        <v>1</v>
      </c>
      <c r="B488" s="3">
        <v>0</v>
      </c>
      <c r="C488" s="3">
        <v>1</v>
      </c>
      <c r="D488" s="3">
        <v>0</v>
      </c>
    </row>
    <row r="489" spans="1:4">
      <c r="A489" s="3">
        <v>3</v>
      </c>
      <c r="B489" s="3">
        <v>0</v>
      </c>
      <c r="C489" s="3">
        <v>2</v>
      </c>
      <c r="D489" s="3">
        <v>1</v>
      </c>
    </row>
    <row r="490" spans="1:4">
      <c r="A490" s="3">
        <v>2</v>
      </c>
      <c r="B490" s="3">
        <v>0</v>
      </c>
      <c r="C490" s="3">
        <v>1</v>
      </c>
      <c r="D490" s="3">
        <v>0</v>
      </c>
    </row>
    <row r="491" spans="1:4">
      <c r="A491" s="3">
        <v>3</v>
      </c>
      <c r="B491" s="3">
        <v>1</v>
      </c>
      <c r="C491" s="3">
        <v>2</v>
      </c>
      <c r="D491" s="3">
        <v>1</v>
      </c>
    </row>
    <row r="492" spans="1:4">
      <c r="A492" s="3">
        <v>3</v>
      </c>
      <c r="B492" s="3">
        <v>1</v>
      </c>
      <c r="C492" s="3">
        <v>2</v>
      </c>
      <c r="D492" s="3">
        <v>1</v>
      </c>
    </row>
    <row r="493" spans="1:4">
      <c r="A493" s="3">
        <v>2</v>
      </c>
      <c r="B493" s="3">
        <v>0</v>
      </c>
      <c r="C493" s="3">
        <v>1</v>
      </c>
      <c r="D493" s="3">
        <v>1</v>
      </c>
    </row>
    <row r="494" spans="1:4">
      <c r="A494" s="3">
        <v>3</v>
      </c>
      <c r="B494" s="3">
        <v>0</v>
      </c>
      <c r="C494" s="3">
        <v>2</v>
      </c>
      <c r="D494" s="3">
        <v>1</v>
      </c>
    </row>
    <row r="495" spans="1:4">
      <c r="A495" s="3">
        <v>1</v>
      </c>
      <c r="B495" s="3">
        <v>0</v>
      </c>
      <c r="C495" s="3">
        <v>2</v>
      </c>
      <c r="D495" s="3">
        <v>1</v>
      </c>
    </row>
    <row r="496" spans="1:4">
      <c r="A496" s="3">
        <v>3</v>
      </c>
      <c r="B496" s="3">
        <v>0</v>
      </c>
      <c r="C496" s="3">
        <v>2</v>
      </c>
      <c r="D496" s="3">
        <v>1</v>
      </c>
    </row>
    <row r="497" spans="1:4">
      <c r="A497" s="3">
        <v>2</v>
      </c>
      <c r="B497" s="3">
        <v>0</v>
      </c>
      <c r="C497" s="3">
        <v>1</v>
      </c>
      <c r="D497" s="3">
        <v>1</v>
      </c>
    </row>
    <row r="498" spans="1:4">
      <c r="A498" s="3">
        <v>3</v>
      </c>
      <c r="B498" s="3">
        <v>0</v>
      </c>
      <c r="C498" s="3">
        <v>1</v>
      </c>
      <c r="D498" s="3">
        <v>1</v>
      </c>
    </row>
    <row r="499" spans="1:4">
      <c r="A499" s="3">
        <v>3</v>
      </c>
      <c r="B499" s="3">
        <v>0</v>
      </c>
      <c r="C499" s="3">
        <v>2</v>
      </c>
      <c r="D499" s="3">
        <v>1</v>
      </c>
    </row>
    <row r="500" spans="1:4">
      <c r="A500" s="3">
        <v>1</v>
      </c>
      <c r="B500" s="3">
        <v>0</v>
      </c>
      <c r="C500" s="3">
        <v>2</v>
      </c>
      <c r="D500" s="3">
        <v>0</v>
      </c>
    </row>
    <row r="501" spans="1:4">
      <c r="A501" s="3">
        <v>1</v>
      </c>
      <c r="B501" s="3">
        <v>0</v>
      </c>
      <c r="C501" s="3">
        <v>1</v>
      </c>
      <c r="D501" s="3">
        <v>0</v>
      </c>
    </row>
    <row r="502" spans="1:4">
      <c r="A502" s="3">
        <v>3</v>
      </c>
      <c r="B502" s="3">
        <v>0</v>
      </c>
      <c r="C502" s="3">
        <v>1</v>
      </c>
      <c r="D502" s="3">
        <v>1</v>
      </c>
    </row>
    <row r="503" spans="1:4">
      <c r="A503" s="3">
        <v>1</v>
      </c>
      <c r="B503" s="3">
        <v>0</v>
      </c>
      <c r="C503" s="3">
        <v>2</v>
      </c>
      <c r="D503" s="3">
        <v>1</v>
      </c>
    </row>
    <row r="504" spans="1:4">
      <c r="A504" s="3">
        <v>1</v>
      </c>
      <c r="B504" s="3">
        <v>0</v>
      </c>
      <c r="C504" s="3">
        <v>1</v>
      </c>
      <c r="D504" s="3">
        <v>1</v>
      </c>
    </row>
    <row r="505" spans="1:4">
      <c r="A505" s="3">
        <v>2</v>
      </c>
      <c r="B505" s="3">
        <v>1</v>
      </c>
      <c r="C505" s="3">
        <v>1</v>
      </c>
      <c r="D505" s="3">
        <v>0</v>
      </c>
    </row>
    <row r="506" spans="1:4">
      <c r="A506" s="3">
        <v>1</v>
      </c>
      <c r="B506" s="3">
        <v>1</v>
      </c>
      <c r="C506" s="3">
        <v>1</v>
      </c>
      <c r="D506" s="3">
        <v>0</v>
      </c>
    </row>
    <row r="507" spans="1:4">
      <c r="A507" s="3">
        <v>2</v>
      </c>
      <c r="B507" s="3">
        <v>1</v>
      </c>
      <c r="C507" s="3">
        <v>2</v>
      </c>
      <c r="D507" s="3">
        <v>1</v>
      </c>
    </row>
    <row r="508" spans="1:4">
      <c r="A508" s="3">
        <v>2</v>
      </c>
      <c r="B508" s="3">
        <v>1</v>
      </c>
      <c r="C508" s="3">
        <v>1</v>
      </c>
      <c r="D508" s="3">
        <v>0</v>
      </c>
    </row>
    <row r="509" spans="1:4">
      <c r="A509" s="3">
        <v>1</v>
      </c>
      <c r="B509" s="3">
        <v>0</v>
      </c>
      <c r="C509" s="3">
        <v>2</v>
      </c>
      <c r="D509" s="3">
        <v>1</v>
      </c>
    </row>
    <row r="510" spans="1:4">
      <c r="A510" s="3">
        <v>2</v>
      </c>
      <c r="B510" s="3">
        <v>0</v>
      </c>
      <c r="C510" s="3">
        <v>2</v>
      </c>
      <c r="D510" s="3">
        <v>1</v>
      </c>
    </row>
    <row r="511" spans="1:4">
      <c r="A511" s="3">
        <v>2</v>
      </c>
      <c r="B511" s="3">
        <v>0</v>
      </c>
      <c r="C511" s="3">
        <v>2</v>
      </c>
      <c r="D511" s="3">
        <v>1</v>
      </c>
    </row>
    <row r="512" spans="1:4">
      <c r="A512" s="3">
        <v>2</v>
      </c>
      <c r="B512" s="3">
        <v>1</v>
      </c>
      <c r="C512" s="3">
        <v>2</v>
      </c>
      <c r="D512" s="3">
        <v>1</v>
      </c>
    </row>
    <row r="513" spans="1:4">
      <c r="A513" s="3">
        <v>3</v>
      </c>
      <c r="B513" s="3">
        <v>0</v>
      </c>
      <c r="C513" s="3">
        <v>1</v>
      </c>
      <c r="D513" s="3">
        <v>1</v>
      </c>
    </row>
    <row r="514" spans="1:4">
      <c r="A514" s="3">
        <v>1</v>
      </c>
      <c r="B514" s="3">
        <v>0</v>
      </c>
      <c r="C514" s="3">
        <v>1</v>
      </c>
      <c r="D514" s="3">
        <v>0</v>
      </c>
    </row>
    <row r="515" spans="1:4">
      <c r="A515" s="3">
        <v>1</v>
      </c>
      <c r="B515" s="3">
        <v>0</v>
      </c>
      <c r="C515" s="3">
        <v>1</v>
      </c>
      <c r="D515" s="3">
        <v>1</v>
      </c>
    </row>
    <row r="516" spans="1:4">
      <c r="A516" s="3">
        <v>2</v>
      </c>
      <c r="B516" s="3">
        <v>0</v>
      </c>
      <c r="C516" s="3">
        <v>1</v>
      </c>
      <c r="D516" s="3">
        <v>1</v>
      </c>
    </row>
    <row r="517" spans="1:4">
      <c r="A517" s="3">
        <v>3</v>
      </c>
      <c r="B517" s="3">
        <v>1</v>
      </c>
      <c r="C517" s="3">
        <v>1</v>
      </c>
      <c r="D517" s="3">
        <v>0</v>
      </c>
    </row>
    <row r="518" spans="1:4">
      <c r="A518" s="3">
        <v>3</v>
      </c>
      <c r="B518" s="3">
        <v>0</v>
      </c>
      <c r="C518" s="3">
        <v>1</v>
      </c>
      <c r="D518" s="3">
        <v>1</v>
      </c>
    </row>
    <row r="519" spans="1:4">
      <c r="A519" s="3">
        <v>1</v>
      </c>
      <c r="B519" s="3">
        <v>1</v>
      </c>
      <c r="C519" s="3">
        <v>2</v>
      </c>
      <c r="D519" s="3">
        <v>0</v>
      </c>
    </row>
    <row r="520" spans="1:4">
      <c r="A520" s="3">
        <v>3</v>
      </c>
      <c r="B520" s="3">
        <v>1</v>
      </c>
      <c r="C520" s="3">
        <v>1</v>
      </c>
      <c r="D520" s="3">
        <v>1</v>
      </c>
    </row>
    <row r="521" spans="1:4">
      <c r="A521" s="3">
        <v>1</v>
      </c>
      <c r="B521" s="3">
        <v>0</v>
      </c>
      <c r="C521" s="3">
        <v>2</v>
      </c>
      <c r="D521" s="3">
        <v>1</v>
      </c>
    </row>
    <row r="522" spans="1:4">
      <c r="A522" s="3">
        <v>3</v>
      </c>
      <c r="B522" s="3">
        <v>1</v>
      </c>
      <c r="C522" s="3">
        <v>2</v>
      </c>
      <c r="D522" s="3">
        <v>1</v>
      </c>
    </row>
    <row r="523" spans="1:4">
      <c r="A523" s="3">
        <v>1</v>
      </c>
      <c r="B523" s="3">
        <v>0</v>
      </c>
      <c r="C523" s="3">
        <v>1</v>
      </c>
      <c r="D523" s="3">
        <v>0</v>
      </c>
    </row>
    <row r="524" spans="1:4">
      <c r="A524" s="3">
        <v>2</v>
      </c>
      <c r="B524" s="3">
        <v>0</v>
      </c>
      <c r="C524" s="3">
        <v>1</v>
      </c>
      <c r="D524" s="3">
        <v>1</v>
      </c>
    </row>
    <row r="525" spans="1:4">
      <c r="A525" s="3">
        <v>3</v>
      </c>
      <c r="B525" s="3">
        <v>0</v>
      </c>
      <c r="C525" s="3">
        <v>1</v>
      </c>
      <c r="D525" s="3">
        <v>0</v>
      </c>
    </row>
    <row r="526" spans="1:4">
      <c r="A526" s="3">
        <v>3</v>
      </c>
      <c r="B526" s="3">
        <v>1</v>
      </c>
      <c r="C526" s="3">
        <v>1</v>
      </c>
      <c r="D526" s="3">
        <v>0</v>
      </c>
    </row>
    <row r="527" spans="1:4">
      <c r="A527" s="3">
        <v>1</v>
      </c>
      <c r="B527" s="3">
        <v>0</v>
      </c>
      <c r="C527" s="3">
        <v>1</v>
      </c>
      <c r="D527" s="3">
        <v>1</v>
      </c>
    </row>
    <row r="528" spans="1:4">
      <c r="A528" s="3">
        <v>2</v>
      </c>
      <c r="B528" s="3">
        <v>0</v>
      </c>
      <c r="C528" s="3">
        <v>2</v>
      </c>
      <c r="D528" s="3">
        <v>1</v>
      </c>
    </row>
    <row r="529" spans="1:4">
      <c r="A529" s="3">
        <v>2</v>
      </c>
      <c r="B529" s="3">
        <v>1</v>
      </c>
      <c r="C529" s="3">
        <v>2</v>
      </c>
      <c r="D529" s="3">
        <v>1</v>
      </c>
    </row>
    <row r="530" spans="1:4">
      <c r="A530" s="3">
        <v>2</v>
      </c>
      <c r="B530" s="3">
        <v>1</v>
      </c>
      <c r="C530" s="3">
        <v>2</v>
      </c>
      <c r="D530" s="3">
        <v>1</v>
      </c>
    </row>
    <row r="531" spans="1:4">
      <c r="A531" s="3">
        <v>2</v>
      </c>
      <c r="B531" s="3">
        <v>0</v>
      </c>
      <c r="C531" s="3">
        <v>1</v>
      </c>
      <c r="D531" s="3">
        <v>0</v>
      </c>
    </row>
    <row r="532" spans="1:4">
      <c r="A532" s="3">
        <v>1</v>
      </c>
      <c r="B532" s="3">
        <v>1</v>
      </c>
      <c r="C532" s="3">
        <v>1</v>
      </c>
      <c r="D532" s="3">
        <v>0</v>
      </c>
    </row>
    <row r="533" spans="1:4">
      <c r="A533" s="3">
        <v>1</v>
      </c>
      <c r="B533" s="3">
        <v>0</v>
      </c>
      <c r="C533" s="3">
        <v>2</v>
      </c>
      <c r="D533" s="3">
        <v>0</v>
      </c>
    </row>
    <row r="534" spans="1:4">
      <c r="A534" s="3">
        <v>3</v>
      </c>
      <c r="B534" s="3">
        <v>1</v>
      </c>
      <c r="C534" s="3">
        <v>1</v>
      </c>
      <c r="D534" s="3">
        <v>1</v>
      </c>
    </row>
    <row r="535" spans="1:4">
      <c r="A535" s="3">
        <v>3</v>
      </c>
      <c r="B535" s="3">
        <v>0</v>
      </c>
      <c r="C535" s="3">
        <v>1</v>
      </c>
      <c r="D535" s="3">
        <v>0</v>
      </c>
    </row>
    <row r="536" spans="1:4">
      <c r="A536" s="3">
        <v>3</v>
      </c>
      <c r="B536" s="3">
        <v>1</v>
      </c>
      <c r="C536" s="3">
        <v>1</v>
      </c>
      <c r="D536" s="3">
        <v>1</v>
      </c>
    </row>
    <row r="537" spans="1:4">
      <c r="A537" s="3">
        <v>3</v>
      </c>
      <c r="B537" s="3">
        <v>1</v>
      </c>
      <c r="C537" s="3">
        <v>1</v>
      </c>
      <c r="D537" s="3">
        <v>1</v>
      </c>
    </row>
    <row r="538" spans="1:4">
      <c r="A538" s="3">
        <v>1</v>
      </c>
      <c r="B538" s="3">
        <v>0</v>
      </c>
      <c r="C538" s="3">
        <v>1</v>
      </c>
      <c r="D538" s="3">
        <v>0</v>
      </c>
    </row>
    <row r="539" spans="1:4">
      <c r="A539" s="3">
        <v>1</v>
      </c>
      <c r="B539" s="3">
        <v>0</v>
      </c>
      <c r="C539" s="3">
        <v>2</v>
      </c>
      <c r="D539" s="3">
        <v>1</v>
      </c>
    </row>
    <row r="540" spans="1:4">
      <c r="A540" s="3">
        <v>2</v>
      </c>
      <c r="B540" s="3">
        <v>1</v>
      </c>
      <c r="C540" s="3">
        <v>2</v>
      </c>
      <c r="D540" s="3">
        <v>1</v>
      </c>
    </row>
    <row r="541" spans="1:4">
      <c r="A541" s="3">
        <v>1</v>
      </c>
      <c r="B541" s="3">
        <v>1</v>
      </c>
      <c r="C541" s="3">
        <v>2</v>
      </c>
      <c r="D541" s="3">
        <v>0</v>
      </c>
    </row>
    <row r="542" spans="1:4">
      <c r="A542" s="3">
        <v>3</v>
      </c>
      <c r="B542" s="3">
        <v>0</v>
      </c>
      <c r="C542" s="3">
        <v>2</v>
      </c>
      <c r="D542" s="3">
        <v>0</v>
      </c>
    </row>
    <row r="543" spans="1:4">
      <c r="A543" s="3">
        <v>3</v>
      </c>
      <c r="B543" s="3">
        <v>1</v>
      </c>
      <c r="C543" s="3">
        <v>1</v>
      </c>
      <c r="D543" s="3">
        <v>1</v>
      </c>
    </row>
    <row r="544" spans="1:4">
      <c r="A544" s="3">
        <v>2</v>
      </c>
      <c r="B544" s="3">
        <v>0</v>
      </c>
      <c r="C544" s="3">
        <v>1</v>
      </c>
      <c r="D544" s="3">
        <v>1</v>
      </c>
    </row>
    <row r="545" spans="1:4">
      <c r="A545" s="3">
        <v>2</v>
      </c>
      <c r="B545" s="3">
        <v>0</v>
      </c>
      <c r="C545" s="3">
        <v>1</v>
      </c>
      <c r="D545" s="3">
        <v>1</v>
      </c>
    </row>
    <row r="546" spans="1:4">
      <c r="A546" s="3">
        <v>2</v>
      </c>
      <c r="B546" s="3">
        <v>0</v>
      </c>
      <c r="C546" s="3">
        <v>2</v>
      </c>
      <c r="D546" s="3">
        <v>1</v>
      </c>
    </row>
    <row r="547" spans="1:4">
      <c r="A547" s="3">
        <v>2</v>
      </c>
      <c r="B547" s="3">
        <v>1</v>
      </c>
      <c r="C547" s="3">
        <v>1</v>
      </c>
      <c r="D547" s="3">
        <v>1</v>
      </c>
    </row>
    <row r="548" spans="1:4">
      <c r="A548" s="3">
        <v>3</v>
      </c>
      <c r="B548" s="3">
        <v>1</v>
      </c>
      <c r="C548" s="3">
        <v>1</v>
      </c>
      <c r="D548" s="3">
        <v>1</v>
      </c>
    </row>
    <row r="549" spans="1:4">
      <c r="A549" s="3">
        <v>3</v>
      </c>
      <c r="B549" s="3">
        <v>1</v>
      </c>
      <c r="C549" s="3">
        <v>1</v>
      </c>
      <c r="D549" s="3">
        <v>1</v>
      </c>
    </row>
    <row r="550" spans="1:4">
      <c r="A550" s="3">
        <v>3</v>
      </c>
      <c r="B550" s="3">
        <v>0</v>
      </c>
      <c r="C550" s="3">
        <v>2</v>
      </c>
      <c r="D550" s="3">
        <v>1</v>
      </c>
    </row>
    <row r="551" spans="1:4">
      <c r="A551" s="3">
        <v>3</v>
      </c>
      <c r="B551" s="3">
        <v>0</v>
      </c>
      <c r="C551" s="3">
        <v>2</v>
      </c>
      <c r="D551" s="3">
        <v>1</v>
      </c>
    </row>
    <row r="552" spans="1:4">
      <c r="A552" s="3">
        <v>2</v>
      </c>
      <c r="B552" s="3">
        <v>0</v>
      </c>
      <c r="C552" s="3">
        <v>1</v>
      </c>
      <c r="D552" s="3">
        <v>1</v>
      </c>
    </row>
    <row r="553" spans="1:4">
      <c r="A553" s="3">
        <v>2</v>
      </c>
      <c r="B553" s="3">
        <v>0</v>
      </c>
      <c r="C553" s="3">
        <v>1</v>
      </c>
      <c r="D553" s="3">
        <v>1</v>
      </c>
    </row>
    <row r="554" spans="1:4">
      <c r="A554" s="3">
        <v>3</v>
      </c>
      <c r="B554" s="3">
        <v>1</v>
      </c>
      <c r="C554" s="3">
        <v>1</v>
      </c>
      <c r="D554" s="3">
        <v>1</v>
      </c>
    </row>
    <row r="555" spans="1:4">
      <c r="A555" s="3">
        <v>3</v>
      </c>
      <c r="B555" s="3">
        <v>1</v>
      </c>
      <c r="C555" s="3">
        <v>2</v>
      </c>
      <c r="D555" s="3">
        <v>1</v>
      </c>
    </row>
    <row r="556" spans="1:4">
      <c r="A556" s="3">
        <v>3</v>
      </c>
      <c r="B556" s="3">
        <v>0</v>
      </c>
      <c r="C556" s="3">
        <v>1</v>
      </c>
      <c r="D556" s="3">
        <v>1</v>
      </c>
    </row>
    <row r="557" spans="1:4">
      <c r="A557" s="3">
        <v>1</v>
      </c>
      <c r="B557" s="3">
        <v>0</v>
      </c>
      <c r="C557" s="3">
        <v>2</v>
      </c>
      <c r="D557" s="3">
        <v>0</v>
      </c>
    </row>
    <row r="558" spans="1:4">
      <c r="A558" s="3">
        <v>3</v>
      </c>
      <c r="B558" s="3">
        <v>0</v>
      </c>
      <c r="C558" s="3">
        <v>1</v>
      </c>
      <c r="D558" s="3">
        <v>1</v>
      </c>
    </row>
    <row r="559" spans="1:4">
      <c r="A559" s="3">
        <v>1</v>
      </c>
      <c r="B559" s="3">
        <v>0</v>
      </c>
      <c r="C559" s="3">
        <v>1</v>
      </c>
      <c r="D559" s="3">
        <v>1</v>
      </c>
    </row>
    <row r="560" spans="1:4">
      <c r="A560" s="3">
        <v>3</v>
      </c>
      <c r="B560" s="3">
        <v>0</v>
      </c>
      <c r="C560" s="3">
        <v>2</v>
      </c>
      <c r="D560" s="3">
        <v>1</v>
      </c>
    </row>
    <row r="561" spans="1:4">
      <c r="A561" s="3">
        <v>2</v>
      </c>
      <c r="B561" s="3">
        <v>0</v>
      </c>
      <c r="C561" s="3">
        <v>2</v>
      </c>
      <c r="D561" s="3">
        <v>1</v>
      </c>
    </row>
    <row r="562" spans="1:4">
      <c r="A562" s="3">
        <v>3</v>
      </c>
      <c r="B562" s="3">
        <v>0</v>
      </c>
      <c r="C562" s="3">
        <v>1</v>
      </c>
      <c r="D562" s="3">
        <v>1</v>
      </c>
    </row>
    <row r="563" spans="1:4">
      <c r="A563" s="3">
        <v>2</v>
      </c>
      <c r="B563" s="3">
        <v>1</v>
      </c>
      <c r="C563" s="3">
        <v>2</v>
      </c>
      <c r="D563" s="3">
        <v>0</v>
      </c>
    </row>
    <row r="564" spans="1:4">
      <c r="A564" s="3">
        <v>1</v>
      </c>
      <c r="B564" s="3">
        <v>1</v>
      </c>
      <c r="C564" s="3">
        <v>1</v>
      </c>
      <c r="D564" s="3">
        <v>1</v>
      </c>
    </row>
    <row r="565" spans="1:4">
      <c r="A565" s="3">
        <v>1</v>
      </c>
      <c r="B565" s="3">
        <v>0</v>
      </c>
      <c r="C565" s="3">
        <v>1</v>
      </c>
      <c r="D565" s="3">
        <v>1</v>
      </c>
    </row>
    <row r="566" spans="1:4">
      <c r="A566" s="3">
        <v>1</v>
      </c>
      <c r="B566" s="3">
        <v>0</v>
      </c>
      <c r="C566" s="3">
        <v>2</v>
      </c>
      <c r="D566" s="3">
        <v>0</v>
      </c>
    </row>
    <row r="567" spans="1:4">
      <c r="A567" s="3">
        <v>2</v>
      </c>
      <c r="B567" s="3">
        <v>1</v>
      </c>
      <c r="C567" s="3">
        <v>1</v>
      </c>
      <c r="D567" s="3">
        <v>1</v>
      </c>
    </row>
    <row r="568" spans="1:4">
      <c r="A568" s="3">
        <v>3</v>
      </c>
      <c r="B568" s="3">
        <v>1</v>
      </c>
      <c r="C568" s="3">
        <v>1</v>
      </c>
      <c r="D568" s="3">
        <v>1</v>
      </c>
    </row>
    <row r="569" spans="1:4">
      <c r="A569" s="3">
        <v>1</v>
      </c>
      <c r="B569" s="3">
        <v>0</v>
      </c>
      <c r="C569" s="3">
        <v>2</v>
      </c>
      <c r="D569" s="3">
        <v>0</v>
      </c>
    </row>
    <row r="570" spans="1:4">
      <c r="A570" s="3">
        <v>3</v>
      </c>
      <c r="B570" s="3">
        <v>0</v>
      </c>
      <c r="C570" s="3">
        <v>1</v>
      </c>
      <c r="D570" s="3">
        <v>1</v>
      </c>
    </row>
    <row r="571" spans="1:4">
      <c r="A571" s="3">
        <v>3</v>
      </c>
      <c r="B571" s="3">
        <v>0</v>
      </c>
      <c r="C571" s="3">
        <v>2</v>
      </c>
      <c r="D571" s="3">
        <v>1</v>
      </c>
    </row>
    <row r="572" spans="1:4">
      <c r="A572" s="3">
        <v>1</v>
      </c>
      <c r="B572" s="3">
        <v>0</v>
      </c>
      <c r="C572" s="3">
        <v>2</v>
      </c>
      <c r="D572" s="3">
        <v>0</v>
      </c>
    </row>
    <row r="573" spans="1:4">
      <c r="A573" s="3">
        <v>1</v>
      </c>
      <c r="B573" s="3">
        <v>0</v>
      </c>
      <c r="C573" s="3">
        <v>1</v>
      </c>
      <c r="D573" s="3">
        <v>0</v>
      </c>
    </row>
    <row r="574" spans="1:4">
      <c r="A574" s="3">
        <v>1</v>
      </c>
      <c r="B574" s="3">
        <v>1</v>
      </c>
      <c r="C574" s="3">
        <v>2</v>
      </c>
      <c r="D574" s="3">
        <v>1</v>
      </c>
    </row>
    <row r="575" spans="1:4">
      <c r="A575" s="3">
        <v>3</v>
      </c>
      <c r="B575" s="3">
        <v>0</v>
      </c>
      <c r="C575" s="3">
        <v>1</v>
      </c>
      <c r="D575" s="3">
        <v>1</v>
      </c>
    </row>
    <row r="576" spans="1:4">
      <c r="A576" s="3">
        <v>2</v>
      </c>
      <c r="B576" s="3">
        <v>0</v>
      </c>
      <c r="C576" s="3">
        <v>2</v>
      </c>
      <c r="D576" s="3">
        <v>1</v>
      </c>
    </row>
    <row r="577" spans="1:4">
      <c r="A577" s="3">
        <v>2</v>
      </c>
      <c r="B577" s="3">
        <v>1</v>
      </c>
      <c r="C577" s="3">
        <v>1</v>
      </c>
      <c r="D577" s="3">
        <v>1</v>
      </c>
    </row>
    <row r="578" spans="1:4">
      <c r="A578" s="3">
        <v>2</v>
      </c>
      <c r="B578" s="3">
        <v>0</v>
      </c>
      <c r="C578" s="3">
        <v>1</v>
      </c>
      <c r="D578" s="3">
        <v>0</v>
      </c>
    </row>
    <row r="579" spans="1:4">
      <c r="A579" s="3">
        <v>1</v>
      </c>
      <c r="B579" s="3">
        <v>0</v>
      </c>
      <c r="C579" s="3">
        <v>1</v>
      </c>
      <c r="D579" s="3">
        <v>1</v>
      </c>
    </row>
    <row r="580" spans="1:4">
      <c r="A580" s="3">
        <v>1</v>
      </c>
      <c r="B580" s="3">
        <v>0</v>
      </c>
      <c r="C580" s="3">
        <v>2</v>
      </c>
      <c r="D580" s="3">
        <v>1</v>
      </c>
    </row>
    <row r="581" spans="1:4">
      <c r="A581" s="3">
        <v>3</v>
      </c>
      <c r="B581" s="3">
        <v>0</v>
      </c>
      <c r="C581" s="3">
        <v>2</v>
      </c>
      <c r="D581" s="3">
        <v>1</v>
      </c>
    </row>
    <row r="582" spans="1:4">
      <c r="A582" s="3">
        <v>2</v>
      </c>
      <c r="B582" s="3">
        <v>1</v>
      </c>
      <c r="C582" s="3">
        <v>1</v>
      </c>
      <c r="D582" s="3">
        <v>1</v>
      </c>
    </row>
    <row r="583" spans="1:4">
      <c r="A583" s="3">
        <v>3</v>
      </c>
      <c r="B583" s="3">
        <v>0</v>
      </c>
      <c r="C583" s="3">
        <v>2</v>
      </c>
      <c r="D583" s="3">
        <v>1</v>
      </c>
    </row>
    <row r="584" spans="1:4">
      <c r="A584" s="3">
        <v>3</v>
      </c>
      <c r="B584" s="3">
        <v>0</v>
      </c>
      <c r="C584" s="3">
        <v>2</v>
      </c>
      <c r="D584" s="3">
        <v>0</v>
      </c>
    </row>
    <row r="585" spans="1:4">
      <c r="A585" s="3">
        <v>2</v>
      </c>
      <c r="B585" s="3">
        <v>0</v>
      </c>
      <c r="C585" s="3">
        <v>1</v>
      </c>
      <c r="D585" s="3">
        <v>1</v>
      </c>
    </row>
    <row r="586" spans="1:4">
      <c r="A586" s="3">
        <v>2</v>
      </c>
      <c r="B586" s="3">
        <v>0</v>
      </c>
      <c r="C586" s="3">
        <v>1</v>
      </c>
      <c r="D586" s="3">
        <v>1</v>
      </c>
    </row>
    <row r="587" spans="1:4">
      <c r="A587" s="3">
        <v>3</v>
      </c>
      <c r="B587" s="3">
        <v>1</v>
      </c>
      <c r="C587" s="3">
        <v>1</v>
      </c>
      <c r="D587" s="3">
        <v>1</v>
      </c>
    </row>
    <row r="588" spans="1:4">
      <c r="A588" s="3">
        <v>3</v>
      </c>
      <c r="B588" s="3">
        <v>0</v>
      </c>
      <c r="C588" s="3">
        <v>2</v>
      </c>
      <c r="D588" s="3">
        <v>1</v>
      </c>
    </row>
    <row r="589" spans="1:4">
      <c r="A589" s="3">
        <v>3</v>
      </c>
      <c r="B589" s="3">
        <v>0</v>
      </c>
      <c r="C589" s="3">
        <v>2</v>
      </c>
      <c r="D589" s="3">
        <v>1</v>
      </c>
    </row>
    <row r="590" spans="1:4">
      <c r="A590" s="3">
        <v>3</v>
      </c>
      <c r="B590" s="3">
        <v>0</v>
      </c>
      <c r="C590" s="3">
        <v>2</v>
      </c>
      <c r="D590" s="3">
        <v>1</v>
      </c>
    </row>
    <row r="591" spans="1:4">
      <c r="A591" s="3">
        <v>1</v>
      </c>
      <c r="B591" s="3">
        <v>0</v>
      </c>
      <c r="C591" s="3">
        <v>2</v>
      </c>
      <c r="D591" s="3">
        <v>1</v>
      </c>
    </row>
    <row r="592" spans="1:4">
      <c r="A592" s="3">
        <v>1</v>
      </c>
      <c r="B592" s="3">
        <v>0</v>
      </c>
      <c r="C592" s="3">
        <v>1</v>
      </c>
      <c r="D592" s="3">
        <v>1</v>
      </c>
    </row>
    <row r="593" spans="1:4">
      <c r="A593" s="3">
        <v>3</v>
      </c>
      <c r="B593" s="3">
        <v>0</v>
      </c>
      <c r="C593" s="3">
        <v>2</v>
      </c>
      <c r="D593" s="3">
        <v>1</v>
      </c>
    </row>
    <row r="594" spans="1:4">
      <c r="A594" s="3">
        <v>3</v>
      </c>
      <c r="B594" s="3">
        <v>1</v>
      </c>
      <c r="C594" s="3">
        <v>1</v>
      </c>
      <c r="D594" s="3">
        <v>1</v>
      </c>
    </row>
    <row r="595" spans="1:4">
      <c r="A595" s="3">
        <v>2</v>
      </c>
      <c r="B595" s="3">
        <v>0</v>
      </c>
      <c r="C595" s="3">
        <v>2</v>
      </c>
      <c r="D595" s="3">
        <v>1</v>
      </c>
    </row>
    <row r="596" spans="1:4">
      <c r="A596" s="3">
        <v>1</v>
      </c>
      <c r="B596" s="3">
        <v>1</v>
      </c>
      <c r="C596" s="3">
        <v>1</v>
      </c>
      <c r="D596" s="3">
        <v>0</v>
      </c>
    </row>
    <row r="597" spans="1:4">
      <c r="A597" s="3">
        <v>3</v>
      </c>
      <c r="B597" s="3">
        <v>0</v>
      </c>
      <c r="C597" s="3">
        <v>2</v>
      </c>
      <c r="D597" s="3">
        <v>0</v>
      </c>
    </row>
    <row r="598" spans="1:4">
      <c r="A598" s="3">
        <v>3</v>
      </c>
      <c r="B598" s="3">
        <v>1</v>
      </c>
      <c r="C598" s="3">
        <v>2</v>
      </c>
      <c r="D598" s="3">
        <v>1</v>
      </c>
    </row>
    <row r="599" spans="1:4">
      <c r="A599" s="3">
        <v>3</v>
      </c>
      <c r="B599" s="3">
        <v>1</v>
      </c>
      <c r="C599" s="3">
        <v>2</v>
      </c>
      <c r="D599" s="3">
        <v>1</v>
      </c>
    </row>
    <row r="600" spans="1:4">
      <c r="A600" s="3">
        <v>3</v>
      </c>
      <c r="B600" s="3">
        <v>0</v>
      </c>
      <c r="C600" s="3">
        <v>1</v>
      </c>
      <c r="D600" s="3">
        <v>1</v>
      </c>
    </row>
    <row r="601" spans="1:4">
      <c r="A601" s="3">
        <v>1</v>
      </c>
      <c r="B601" s="3">
        <v>0</v>
      </c>
      <c r="C601" s="3">
        <v>1</v>
      </c>
      <c r="D601" s="3">
        <v>1</v>
      </c>
    </row>
    <row r="602" spans="1:4">
      <c r="A602" s="3">
        <v>1</v>
      </c>
      <c r="B602" s="3">
        <v>0</v>
      </c>
      <c r="C602" s="3">
        <v>2</v>
      </c>
      <c r="D602" s="3">
        <v>0</v>
      </c>
    </row>
    <row r="603" spans="1:4">
      <c r="A603" s="3">
        <v>2</v>
      </c>
      <c r="B603" s="3">
        <v>1</v>
      </c>
      <c r="C603" s="3">
        <v>1</v>
      </c>
      <c r="D603" s="3">
        <v>1</v>
      </c>
    </row>
    <row r="604" spans="1:4">
      <c r="A604" s="3">
        <v>2</v>
      </c>
      <c r="B604" s="3">
        <v>1</v>
      </c>
      <c r="C604" s="3">
        <v>2</v>
      </c>
      <c r="D604" s="3">
        <v>1</v>
      </c>
    </row>
    <row r="605" spans="1:4">
      <c r="A605" s="3">
        <v>2</v>
      </c>
      <c r="B605" s="3">
        <v>0</v>
      </c>
      <c r="C605" s="3">
        <v>1</v>
      </c>
      <c r="D605" s="3">
        <v>1</v>
      </c>
    </row>
    <row r="606" spans="1:4">
      <c r="A606" s="3">
        <v>1</v>
      </c>
      <c r="B606" s="3">
        <v>0</v>
      </c>
      <c r="C606" s="3">
        <v>1</v>
      </c>
      <c r="D606" s="3">
        <v>0</v>
      </c>
    </row>
    <row r="607" spans="1:4">
      <c r="A607" s="3">
        <v>2</v>
      </c>
      <c r="B607" s="3">
        <v>0</v>
      </c>
      <c r="C607" s="3">
        <v>1</v>
      </c>
      <c r="D607" s="3">
        <v>1</v>
      </c>
    </row>
    <row r="608" spans="1:4">
      <c r="A608" s="3">
        <v>3</v>
      </c>
      <c r="B608" s="3">
        <v>0</v>
      </c>
      <c r="C608" s="3">
        <v>1</v>
      </c>
      <c r="D608" s="3">
        <v>1</v>
      </c>
    </row>
    <row r="609" spans="1:4">
      <c r="A609" s="3">
        <v>3</v>
      </c>
      <c r="B609" s="3">
        <v>0</v>
      </c>
      <c r="C609" s="3">
        <v>2</v>
      </c>
      <c r="D609" s="3">
        <v>1</v>
      </c>
    </row>
    <row r="610" spans="1:4">
      <c r="A610" s="3">
        <v>1</v>
      </c>
      <c r="B610" s="3">
        <v>0</v>
      </c>
      <c r="C610" s="3">
        <v>2</v>
      </c>
      <c r="D610" s="3">
        <v>1</v>
      </c>
    </row>
    <row r="611" spans="1:4">
      <c r="A611" s="3">
        <v>2</v>
      </c>
      <c r="B611" s="3">
        <v>0</v>
      </c>
      <c r="C611" s="3">
        <v>2</v>
      </c>
      <c r="D611" s="3">
        <v>1</v>
      </c>
    </row>
    <row r="612" spans="1:4">
      <c r="A612" s="3">
        <v>2</v>
      </c>
      <c r="B612" s="3">
        <v>0</v>
      </c>
      <c r="C612" s="3">
        <v>2</v>
      </c>
      <c r="D612" s="3">
        <v>1</v>
      </c>
    </row>
    <row r="613" spans="1:4">
      <c r="A613" s="3">
        <v>3</v>
      </c>
      <c r="B613" s="3">
        <v>1</v>
      </c>
      <c r="C613" s="3">
        <v>2</v>
      </c>
      <c r="D613" s="3">
        <v>1</v>
      </c>
    </row>
    <row r="614" spans="1:4">
      <c r="A614" s="3">
        <v>3</v>
      </c>
      <c r="B614" s="3">
        <v>0</v>
      </c>
      <c r="C614" s="3">
        <v>2</v>
      </c>
      <c r="D614" s="3">
        <v>1</v>
      </c>
    </row>
    <row r="615" spans="1:4">
      <c r="A615" s="3">
        <v>3</v>
      </c>
      <c r="B615" s="3">
        <v>0</v>
      </c>
      <c r="C615" s="3">
        <v>1</v>
      </c>
      <c r="D615" s="3">
        <v>0</v>
      </c>
    </row>
    <row r="616" spans="1:4">
      <c r="A616" s="3">
        <v>2</v>
      </c>
      <c r="B616" s="3">
        <v>0</v>
      </c>
      <c r="C616" s="3">
        <v>1</v>
      </c>
      <c r="D616" s="3">
        <v>0</v>
      </c>
    </row>
    <row r="617" spans="1:4">
      <c r="A617" s="3">
        <v>1</v>
      </c>
      <c r="B617" s="3">
        <v>0</v>
      </c>
      <c r="C617" s="3">
        <v>1</v>
      </c>
      <c r="D617" s="3">
        <v>1</v>
      </c>
    </row>
    <row r="618" spans="1:4">
      <c r="A618" s="3">
        <v>2</v>
      </c>
      <c r="B618" s="3">
        <v>0</v>
      </c>
      <c r="C618" s="3">
        <v>2</v>
      </c>
      <c r="D618" s="3">
        <v>1</v>
      </c>
    </row>
    <row r="619" spans="1:4">
      <c r="A619" s="3">
        <v>1</v>
      </c>
      <c r="B619" s="3">
        <v>0</v>
      </c>
      <c r="C619" s="3">
        <v>2</v>
      </c>
      <c r="D619" s="3">
        <v>1</v>
      </c>
    </row>
    <row r="620" spans="1:4">
      <c r="A620" s="3">
        <v>1</v>
      </c>
      <c r="B620" s="3">
        <v>0</v>
      </c>
      <c r="C620" s="3">
        <v>1</v>
      </c>
      <c r="D620" s="3">
        <v>0</v>
      </c>
    </row>
    <row r="621" spans="1:4">
      <c r="A621" s="3">
        <v>1</v>
      </c>
      <c r="B621" s="3">
        <v>0</v>
      </c>
      <c r="C621" s="3">
        <v>1</v>
      </c>
      <c r="D621" s="3">
        <v>1</v>
      </c>
    </row>
    <row r="622" spans="1:4">
      <c r="A622" s="3">
        <v>3</v>
      </c>
      <c r="B622" s="3">
        <v>1</v>
      </c>
      <c r="C622" s="3">
        <v>1</v>
      </c>
      <c r="D622" s="3">
        <v>1</v>
      </c>
    </row>
    <row r="623" spans="1:4">
      <c r="A623" s="3">
        <v>1</v>
      </c>
      <c r="B623" s="3">
        <v>0</v>
      </c>
      <c r="C623" s="3">
        <v>2</v>
      </c>
      <c r="D623" s="3">
        <v>0</v>
      </c>
    </row>
    <row r="624" spans="1:4">
      <c r="A624" s="3">
        <v>3</v>
      </c>
      <c r="B624" s="3">
        <v>0</v>
      </c>
      <c r="C624" s="3">
        <v>2</v>
      </c>
      <c r="D624" s="3">
        <v>1</v>
      </c>
    </row>
    <row r="625" spans="1:4">
      <c r="A625" s="3">
        <v>1</v>
      </c>
      <c r="B625" s="3">
        <v>0</v>
      </c>
      <c r="C625" s="3">
        <v>2</v>
      </c>
      <c r="D625" s="3">
        <v>1</v>
      </c>
    </row>
    <row r="626" spans="1:4">
      <c r="A626" s="3">
        <v>2</v>
      </c>
      <c r="B626" s="3">
        <v>1</v>
      </c>
      <c r="C626" s="3">
        <v>1</v>
      </c>
      <c r="D626" s="3">
        <v>1</v>
      </c>
    </row>
    <row r="627" spans="1:4">
      <c r="A627" s="3">
        <v>3</v>
      </c>
      <c r="B627" s="3">
        <v>0</v>
      </c>
      <c r="C627" s="3">
        <v>1</v>
      </c>
      <c r="D627" s="3">
        <v>1</v>
      </c>
    </row>
    <row r="628" spans="1:4">
      <c r="A628" s="3">
        <v>1</v>
      </c>
      <c r="B628" s="3">
        <v>0</v>
      </c>
      <c r="C628" s="3">
        <v>1</v>
      </c>
      <c r="D628" s="3">
        <v>0</v>
      </c>
    </row>
    <row r="629" spans="1:4">
      <c r="A629" s="3">
        <v>2</v>
      </c>
      <c r="B629" s="3">
        <v>0</v>
      </c>
      <c r="C629" s="3">
        <v>2</v>
      </c>
      <c r="D629" s="3">
        <v>0</v>
      </c>
    </row>
    <row r="630" spans="1:4">
      <c r="A630" s="3">
        <v>3</v>
      </c>
      <c r="B630" s="3">
        <v>0</v>
      </c>
      <c r="C630" s="3">
        <v>1</v>
      </c>
      <c r="D630" s="3">
        <v>1</v>
      </c>
    </row>
    <row r="631" spans="1:4">
      <c r="A631" s="3">
        <v>3</v>
      </c>
      <c r="B631" s="3">
        <v>1</v>
      </c>
      <c r="C631" s="3">
        <v>2</v>
      </c>
      <c r="D631" s="3">
        <v>1</v>
      </c>
    </row>
    <row r="632" spans="1:4">
      <c r="A632" s="3">
        <v>2</v>
      </c>
      <c r="B632" s="3">
        <v>1</v>
      </c>
      <c r="C632" s="3">
        <v>2</v>
      </c>
      <c r="D632" s="3">
        <v>1</v>
      </c>
    </row>
    <row r="633" spans="1:4">
      <c r="A633" s="3">
        <v>2</v>
      </c>
      <c r="B633" s="3">
        <v>1</v>
      </c>
      <c r="C633" s="3">
        <v>2</v>
      </c>
      <c r="D633" s="3">
        <v>0</v>
      </c>
    </row>
    <row r="634" spans="1:4">
      <c r="A634" s="3">
        <v>3</v>
      </c>
      <c r="B634" s="3">
        <v>1</v>
      </c>
      <c r="C634" s="3">
        <v>1</v>
      </c>
      <c r="D634" s="3">
        <v>1</v>
      </c>
    </row>
    <row r="635" spans="1:4">
      <c r="A635" s="3">
        <v>1</v>
      </c>
      <c r="B635" s="3">
        <v>0</v>
      </c>
      <c r="C635" s="3">
        <v>1</v>
      </c>
      <c r="D635" s="3">
        <v>0</v>
      </c>
    </row>
    <row r="636" spans="1:4">
      <c r="A636" s="3">
        <v>3</v>
      </c>
      <c r="B636" s="3">
        <v>1</v>
      </c>
      <c r="C636" s="3">
        <v>1</v>
      </c>
      <c r="D636" s="3">
        <v>1</v>
      </c>
    </row>
    <row r="637" spans="1:4">
      <c r="A637" s="3">
        <v>3</v>
      </c>
      <c r="B637" s="3">
        <v>0</v>
      </c>
      <c r="C637" s="3">
        <v>2</v>
      </c>
      <c r="D637" s="3">
        <v>1</v>
      </c>
    </row>
    <row r="638" spans="1:4">
      <c r="A638" s="3">
        <v>3</v>
      </c>
      <c r="B638" s="3">
        <v>0</v>
      </c>
      <c r="C638" s="3">
        <v>2</v>
      </c>
      <c r="D638" s="3">
        <v>1</v>
      </c>
    </row>
    <row r="639" spans="1:4">
      <c r="A639" s="3">
        <v>3</v>
      </c>
      <c r="B639" s="3">
        <v>0</v>
      </c>
      <c r="C639" s="3">
        <v>2</v>
      </c>
      <c r="D639" s="3">
        <v>1</v>
      </c>
    </row>
    <row r="640" spans="1:4">
      <c r="A640" s="3">
        <v>1</v>
      </c>
      <c r="B640" s="3">
        <v>1</v>
      </c>
      <c r="C640" s="3">
        <v>2</v>
      </c>
      <c r="D640" s="3">
        <v>0</v>
      </c>
    </row>
    <row r="641" spans="1:4">
      <c r="A641" s="3">
        <v>3</v>
      </c>
      <c r="B641" s="3">
        <v>0</v>
      </c>
      <c r="C641" s="3">
        <v>2</v>
      </c>
      <c r="D641" s="3">
        <v>0</v>
      </c>
    </row>
    <row r="642" spans="1:4">
      <c r="A642" s="3">
        <v>2</v>
      </c>
      <c r="B642" s="3">
        <v>0</v>
      </c>
      <c r="C642" s="3">
        <v>1</v>
      </c>
      <c r="D642" s="3">
        <v>1</v>
      </c>
    </row>
    <row r="643" spans="1:4">
      <c r="A643" s="3">
        <v>3</v>
      </c>
      <c r="B643" s="3">
        <v>0</v>
      </c>
      <c r="C643" s="3">
        <v>2</v>
      </c>
      <c r="D643" s="3">
        <v>1</v>
      </c>
    </row>
    <row r="644" spans="1:4">
      <c r="A644" s="3">
        <v>3</v>
      </c>
      <c r="B644" s="3">
        <v>0</v>
      </c>
      <c r="C644" s="3">
        <v>1</v>
      </c>
      <c r="D644" s="3">
        <v>1</v>
      </c>
    </row>
    <row r="645" spans="1:4">
      <c r="A645" s="3">
        <v>3</v>
      </c>
      <c r="B645" s="3">
        <v>1</v>
      </c>
      <c r="C645" s="3">
        <v>1</v>
      </c>
      <c r="D645" s="3">
        <v>1</v>
      </c>
    </row>
    <row r="646" spans="1:4">
      <c r="A646" s="3">
        <v>1</v>
      </c>
      <c r="B646" s="3">
        <v>1</v>
      </c>
      <c r="C646" s="3">
        <v>2</v>
      </c>
      <c r="D646" s="3">
        <v>1</v>
      </c>
    </row>
    <row r="647" spans="1:4">
      <c r="A647" s="3">
        <v>1</v>
      </c>
      <c r="B647" s="3">
        <v>0</v>
      </c>
      <c r="C647" s="3">
        <v>2</v>
      </c>
      <c r="D647" s="3">
        <v>1</v>
      </c>
    </row>
    <row r="648" spans="1:4">
      <c r="A648" s="3">
        <v>2</v>
      </c>
      <c r="B648" s="3">
        <v>0</v>
      </c>
      <c r="C648" s="3">
        <v>1</v>
      </c>
      <c r="D648" s="3">
        <v>1</v>
      </c>
    </row>
    <row r="649" spans="1:4">
      <c r="A649" s="3">
        <v>3</v>
      </c>
      <c r="B649" s="3">
        <v>0</v>
      </c>
      <c r="C649" s="3">
        <v>2</v>
      </c>
      <c r="D649" s="3">
        <v>1</v>
      </c>
    </row>
    <row r="650" spans="1:4">
      <c r="A650" s="3">
        <v>2</v>
      </c>
      <c r="B650" s="3">
        <v>0</v>
      </c>
      <c r="C650" s="3">
        <v>2</v>
      </c>
      <c r="D650" s="3">
        <v>0</v>
      </c>
    </row>
    <row r="651" spans="1:4">
      <c r="A651" s="3">
        <v>2</v>
      </c>
      <c r="B651" s="3">
        <v>0</v>
      </c>
      <c r="C651" s="3">
        <v>1</v>
      </c>
      <c r="D651" s="3">
        <v>0</v>
      </c>
    </row>
    <row r="652" spans="1:4">
      <c r="A652" s="3">
        <v>3</v>
      </c>
      <c r="B652" s="3">
        <v>0</v>
      </c>
      <c r="C652" s="3">
        <v>1</v>
      </c>
      <c r="D652" s="3">
        <v>1</v>
      </c>
    </row>
    <row r="653" spans="1:4">
      <c r="A653" s="3">
        <v>2</v>
      </c>
      <c r="B653" s="3">
        <v>0</v>
      </c>
      <c r="C653" s="3">
        <v>1</v>
      </c>
      <c r="D653" s="3">
        <v>1</v>
      </c>
    </row>
    <row r="654" spans="1:4">
      <c r="A654" s="3">
        <v>1</v>
      </c>
      <c r="B654" s="3">
        <v>0</v>
      </c>
      <c r="C654" s="3">
        <v>2</v>
      </c>
      <c r="D654" s="3">
        <v>0</v>
      </c>
    </row>
    <row r="655" spans="1:4">
      <c r="A655" s="3">
        <v>3</v>
      </c>
      <c r="B655" s="3">
        <v>1</v>
      </c>
      <c r="C655" s="3">
        <v>2</v>
      </c>
      <c r="D655" s="3">
        <v>1</v>
      </c>
    </row>
    <row r="656" spans="1:4">
      <c r="A656" s="3">
        <v>1</v>
      </c>
      <c r="B656" s="3">
        <v>0</v>
      </c>
      <c r="C656" s="3">
        <v>1</v>
      </c>
      <c r="D656" s="3">
        <v>0</v>
      </c>
    </row>
    <row r="657" spans="1:4">
      <c r="A657" s="3">
        <v>3</v>
      </c>
      <c r="B657" s="3">
        <v>0</v>
      </c>
      <c r="C657" s="3">
        <v>2</v>
      </c>
      <c r="D657" s="3">
        <v>0</v>
      </c>
    </row>
    <row r="658" spans="1:4">
      <c r="A658" s="3">
        <v>1</v>
      </c>
      <c r="B658" s="3">
        <v>0</v>
      </c>
      <c r="C658" s="3">
        <v>1</v>
      </c>
      <c r="D658" s="3">
        <v>0</v>
      </c>
    </row>
    <row r="659" spans="1:4">
      <c r="A659" s="3">
        <v>1</v>
      </c>
      <c r="B659" s="3">
        <v>0</v>
      </c>
      <c r="C659" s="3">
        <v>1</v>
      </c>
      <c r="D659" s="3">
        <v>1</v>
      </c>
    </row>
    <row r="660" spans="1:4">
      <c r="A660" s="3">
        <v>3</v>
      </c>
      <c r="B660" s="3">
        <v>0</v>
      </c>
      <c r="C660" s="3">
        <v>2</v>
      </c>
      <c r="D660" s="3">
        <v>1</v>
      </c>
    </row>
    <row r="661" spans="1:4">
      <c r="A661" s="3">
        <v>1</v>
      </c>
      <c r="B661" s="3">
        <v>0</v>
      </c>
      <c r="C661" s="3">
        <v>1</v>
      </c>
      <c r="D661" s="3">
        <v>0</v>
      </c>
    </row>
    <row r="662" spans="1:4">
      <c r="A662" s="3">
        <v>2</v>
      </c>
      <c r="B662" s="3">
        <v>0</v>
      </c>
      <c r="C662" s="3">
        <v>2</v>
      </c>
      <c r="D662" s="3">
        <v>1</v>
      </c>
    </row>
    <row r="663" spans="1:4">
      <c r="A663" s="3">
        <v>3</v>
      </c>
      <c r="B663" s="3">
        <v>0</v>
      </c>
      <c r="C663" s="3">
        <v>2</v>
      </c>
      <c r="D663" s="3">
        <v>1</v>
      </c>
    </row>
    <row r="664" spans="1:4">
      <c r="A664" s="3">
        <v>1</v>
      </c>
      <c r="B664" s="3">
        <v>0</v>
      </c>
      <c r="C664" s="3">
        <v>2</v>
      </c>
      <c r="D664" s="3">
        <v>0</v>
      </c>
    </row>
    <row r="665" spans="1:4">
      <c r="A665" s="3">
        <v>2</v>
      </c>
      <c r="B665" s="3">
        <v>0</v>
      </c>
      <c r="C665" s="3">
        <v>1</v>
      </c>
      <c r="D665" s="3">
        <v>1</v>
      </c>
    </row>
    <row r="666" spans="1:4">
      <c r="A666" s="3">
        <v>2</v>
      </c>
      <c r="B666" s="3">
        <v>0</v>
      </c>
      <c r="C666" s="3">
        <v>1</v>
      </c>
      <c r="D666" s="3">
        <v>1</v>
      </c>
    </row>
    <row r="667" spans="1:4">
      <c r="A667" s="3">
        <v>3</v>
      </c>
      <c r="B667" s="3">
        <v>1</v>
      </c>
      <c r="C667" s="3">
        <v>1</v>
      </c>
      <c r="D667" s="3">
        <v>1</v>
      </c>
    </row>
    <row r="668" spans="1:4">
      <c r="A668" s="3">
        <v>1</v>
      </c>
      <c r="B668" s="3">
        <v>0</v>
      </c>
      <c r="C668" s="3">
        <v>1</v>
      </c>
      <c r="D668" s="3">
        <v>1</v>
      </c>
    </row>
    <row r="669" spans="1:4">
      <c r="A669" s="3">
        <v>2</v>
      </c>
      <c r="B669" s="3">
        <v>1</v>
      </c>
      <c r="C669" s="3">
        <v>1</v>
      </c>
      <c r="D669" s="3">
        <v>1</v>
      </c>
    </row>
    <row r="670" spans="1:4">
      <c r="A670" s="3">
        <v>1</v>
      </c>
      <c r="B670" s="3">
        <v>0</v>
      </c>
      <c r="C670" s="3">
        <v>2</v>
      </c>
      <c r="D670" s="3">
        <v>1</v>
      </c>
    </row>
    <row r="671" spans="1:4">
      <c r="A671" s="3">
        <v>2</v>
      </c>
      <c r="B671" s="3">
        <v>0</v>
      </c>
      <c r="C671" s="3">
        <v>1</v>
      </c>
      <c r="D671" s="3">
        <v>0</v>
      </c>
    </row>
    <row r="672" spans="1:4">
      <c r="A672" s="3">
        <v>3</v>
      </c>
      <c r="B672" s="3">
        <v>0</v>
      </c>
      <c r="C672" s="3">
        <v>1</v>
      </c>
      <c r="D672" s="3">
        <v>0</v>
      </c>
    </row>
    <row r="673" spans="1:4">
      <c r="A673" s="3">
        <v>2</v>
      </c>
      <c r="B673" s="3">
        <v>0</v>
      </c>
      <c r="C673" s="3">
        <v>1</v>
      </c>
      <c r="D673" s="3">
        <v>1</v>
      </c>
    </row>
    <row r="674" spans="1:4">
      <c r="A674" s="3">
        <v>2</v>
      </c>
      <c r="B674" s="3">
        <v>0</v>
      </c>
      <c r="C674" s="3">
        <v>2</v>
      </c>
      <c r="D674" s="3">
        <v>1</v>
      </c>
    </row>
    <row r="675" spans="1:4">
      <c r="A675" s="3">
        <v>1</v>
      </c>
      <c r="B675" s="3">
        <v>0</v>
      </c>
      <c r="C675" s="3">
        <v>2</v>
      </c>
      <c r="D675" s="3">
        <v>1</v>
      </c>
    </row>
    <row r="676" spans="1:4">
      <c r="A676" s="3">
        <v>2</v>
      </c>
      <c r="B676" s="3">
        <v>0</v>
      </c>
      <c r="C676" s="3">
        <v>1</v>
      </c>
      <c r="D676" s="3">
        <v>1</v>
      </c>
    </row>
    <row r="677" spans="1:4">
      <c r="A677" s="3">
        <v>3</v>
      </c>
      <c r="B677" s="3">
        <v>0</v>
      </c>
      <c r="C677" s="3">
        <v>1</v>
      </c>
      <c r="D677" s="3">
        <v>1</v>
      </c>
    </row>
    <row r="678" spans="1:4">
      <c r="A678" s="3">
        <v>1</v>
      </c>
      <c r="B678" s="3">
        <v>0</v>
      </c>
      <c r="C678" s="3">
        <v>2</v>
      </c>
      <c r="D678" s="3">
        <v>0</v>
      </c>
    </row>
    <row r="679" spans="1:4">
      <c r="A679" s="3">
        <v>1</v>
      </c>
      <c r="B679" s="3">
        <v>0</v>
      </c>
      <c r="C679" s="3">
        <v>2</v>
      </c>
      <c r="D679" s="3">
        <v>0</v>
      </c>
    </row>
    <row r="680" spans="1:4">
      <c r="A680" s="3">
        <v>2</v>
      </c>
      <c r="B680" s="3">
        <v>0</v>
      </c>
      <c r="C680" s="3">
        <v>1</v>
      </c>
      <c r="D680" s="3">
        <v>0</v>
      </c>
    </row>
    <row r="681" spans="1:4">
      <c r="A681" s="3">
        <v>1</v>
      </c>
      <c r="B681" s="3">
        <v>0</v>
      </c>
      <c r="C681" s="3">
        <v>2</v>
      </c>
      <c r="D681" s="3">
        <v>0</v>
      </c>
    </row>
    <row r="682" spans="1:4">
      <c r="A682" s="3">
        <v>2</v>
      </c>
      <c r="B682" s="3">
        <v>1</v>
      </c>
      <c r="C682" s="3">
        <v>1</v>
      </c>
      <c r="D682" s="3">
        <v>1</v>
      </c>
    </row>
    <row r="683" spans="1:4">
      <c r="A683" s="3">
        <v>3</v>
      </c>
      <c r="B683" s="3">
        <v>0</v>
      </c>
      <c r="C683" s="3">
        <v>1</v>
      </c>
      <c r="D683" s="3">
        <v>1</v>
      </c>
    </row>
    <row r="684" spans="1:4">
      <c r="A684" s="3">
        <v>1</v>
      </c>
      <c r="B684" s="3">
        <v>0</v>
      </c>
      <c r="C684" s="3">
        <v>2</v>
      </c>
      <c r="D684" s="3">
        <v>1</v>
      </c>
    </row>
    <row r="685" spans="1:4">
      <c r="A685" s="3">
        <v>1</v>
      </c>
      <c r="B685" s="3">
        <v>0</v>
      </c>
      <c r="C685" s="3">
        <v>1</v>
      </c>
      <c r="D685" s="3">
        <v>0</v>
      </c>
    </row>
    <row r="686" spans="1:4">
      <c r="A686" s="3">
        <v>1</v>
      </c>
      <c r="B686" s="3">
        <v>0</v>
      </c>
      <c r="C686" s="3">
        <v>1</v>
      </c>
      <c r="D686" s="3">
        <v>1</v>
      </c>
    </row>
    <row r="687" spans="1:4">
      <c r="A687" s="3">
        <v>2</v>
      </c>
      <c r="B687" s="3">
        <v>1</v>
      </c>
      <c r="C687" s="3">
        <v>1</v>
      </c>
      <c r="D687" s="3">
        <v>1</v>
      </c>
    </row>
    <row r="688" spans="1:4">
      <c r="A688" s="3">
        <v>1</v>
      </c>
      <c r="B688" s="3">
        <v>0</v>
      </c>
      <c r="C688" s="3">
        <v>1</v>
      </c>
      <c r="D688" s="3">
        <v>0</v>
      </c>
    </row>
    <row r="689" spans="1:4">
      <c r="A689" s="3">
        <v>3</v>
      </c>
      <c r="B689" s="3">
        <v>0</v>
      </c>
      <c r="C689" s="3">
        <v>1</v>
      </c>
      <c r="D689" s="3">
        <v>0</v>
      </c>
    </row>
    <row r="690" spans="1:4">
      <c r="A690" s="3">
        <v>2</v>
      </c>
      <c r="B690" s="3">
        <v>0</v>
      </c>
      <c r="C690" s="3">
        <v>1</v>
      </c>
      <c r="D690" s="3">
        <v>0</v>
      </c>
    </row>
    <row r="691" spans="1:4">
      <c r="A691" s="3">
        <v>3</v>
      </c>
      <c r="B691" s="3">
        <v>0</v>
      </c>
      <c r="C691" s="3">
        <v>2</v>
      </c>
      <c r="D691" s="3">
        <v>1</v>
      </c>
    </row>
    <row r="692" spans="1:4">
      <c r="A692" s="3">
        <v>1</v>
      </c>
      <c r="B692" s="3">
        <v>0</v>
      </c>
      <c r="C692" s="3">
        <v>1</v>
      </c>
      <c r="D692" s="3">
        <v>0</v>
      </c>
    </row>
    <row r="693" spans="1:4">
      <c r="A693" s="3">
        <v>1</v>
      </c>
      <c r="B693" s="3">
        <v>0</v>
      </c>
      <c r="C693" s="3">
        <v>1</v>
      </c>
      <c r="D693" s="3">
        <v>1</v>
      </c>
    </row>
    <row r="694" spans="1:4">
      <c r="A694" s="3">
        <v>2</v>
      </c>
      <c r="B694" s="3">
        <v>1</v>
      </c>
      <c r="C694" s="3">
        <v>2</v>
      </c>
      <c r="D694" s="3">
        <v>1</v>
      </c>
    </row>
    <row r="695" spans="1:4">
      <c r="A695" s="3">
        <v>1</v>
      </c>
      <c r="B695" s="3">
        <v>0</v>
      </c>
      <c r="C695" s="3">
        <v>2</v>
      </c>
      <c r="D695" s="3">
        <v>0</v>
      </c>
    </row>
    <row r="696" spans="1:4">
      <c r="A696" s="3">
        <v>1</v>
      </c>
      <c r="B696" s="3">
        <v>0</v>
      </c>
      <c r="C696" s="3">
        <v>1</v>
      </c>
      <c r="D696" s="3">
        <v>1</v>
      </c>
    </row>
    <row r="697" spans="1:4">
      <c r="A697" s="3">
        <v>3</v>
      </c>
      <c r="B697" s="3">
        <v>0</v>
      </c>
      <c r="C697" s="3">
        <v>2</v>
      </c>
      <c r="D697" s="3">
        <v>1</v>
      </c>
    </row>
    <row r="698" spans="1:4">
      <c r="A698" s="3">
        <v>3</v>
      </c>
      <c r="B698" s="3">
        <v>1</v>
      </c>
      <c r="C698" s="3">
        <v>2</v>
      </c>
      <c r="D698" s="3">
        <v>1</v>
      </c>
    </row>
    <row r="699" spans="1:4">
      <c r="A699" s="3">
        <v>3</v>
      </c>
      <c r="B699" s="3">
        <v>0</v>
      </c>
      <c r="C699" s="3">
        <v>1</v>
      </c>
      <c r="D699" s="3">
        <v>1</v>
      </c>
    </row>
    <row r="700" spans="1:4">
      <c r="A700" s="3">
        <v>2</v>
      </c>
      <c r="B700" s="3">
        <v>1</v>
      </c>
      <c r="C700" s="3">
        <v>2</v>
      </c>
      <c r="D700" s="3">
        <v>0</v>
      </c>
    </row>
    <row r="701" spans="1:4">
      <c r="A701" s="3">
        <v>2</v>
      </c>
      <c r="B701" s="3">
        <v>1</v>
      </c>
      <c r="C701" s="3">
        <v>2</v>
      </c>
      <c r="D701" s="3">
        <v>1</v>
      </c>
    </row>
    <row r="702" spans="1:4">
      <c r="A702" s="3">
        <v>3</v>
      </c>
      <c r="B702" s="3">
        <v>1</v>
      </c>
      <c r="C702" s="3">
        <v>2</v>
      </c>
      <c r="D702" s="3">
        <v>1</v>
      </c>
    </row>
    <row r="703" spans="1:4">
      <c r="A703" s="3">
        <v>1</v>
      </c>
      <c r="B703" s="3">
        <v>0</v>
      </c>
      <c r="C703" s="3">
        <v>2</v>
      </c>
      <c r="D703" s="3">
        <v>1</v>
      </c>
    </row>
    <row r="704" spans="1:4">
      <c r="A704" s="3">
        <v>2</v>
      </c>
      <c r="B704" s="3">
        <v>0</v>
      </c>
      <c r="C704" s="3">
        <v>1</v>
      </c>
      <c r="D704" s="3">
        <v>1</v>
      </c>
    </row>
    <row r="705" spans="1:4">
      <c r="A705" s="3">
        <v>2</v>
      </c>
      <c r="B705" s="3">
        <v>0</v>
      </c>
      <c r="C705" s="3">
        <v>1</v>
      </c>
      <c r="D705" s="3">
        <v>1</v>
      </c>
    </row>
    <row r="706" spans="1:4">
      <c r="A706" s="3">
        <v>2</v>
      </c>
      <c r="B706" s="3">
        <v>0</v>
      </c>
      <c r="C706" s="3">
        <v>2</v>
      </c>
      <c r="D706" s="3">
        <v>1</v>
      </c>
    </row>
    <row r="707" spans="1:4">
      <c r="A707" s="3">
        <v>1</v>
      </c>
      <c r="B707" s="3">
        <v>0</v>
      </c>
      <c r="C707" s="3">
        <v>1</v>
      </c>
      <c r="D707" s="3">
        <v>0</v>
      </c>
    </row>
    <row r="708" spans="1:4">
      <c r="A708" s="3">
        <v>1</v>
      </c>
      <c r="B708" s="3">
        <v>0</v>
      </c>
      <c r="C708" s="3">
        <v>1</v>
      </c>
      <c r="D708" s="3">
        <v>0</v>
      </c>
    </row>
    <row r="709" spans="1:4">
      <c r="A709" s="3">
        <v>2</v>
      </c>
      <c r="B709" s="3">
        <v>1</v>
      </c>
      <c r="C709" s="3">
        <v>1</v>
      </c>
      <c r="D709" s="3">
        <v>0</v>
      </c>
    </row>
    <row r="710" spans="1:4">
      <c r="A710" s="3">
        <v>3</v>
      </c>
      <c r="B710" s="3">
        <v>0</v>
      </c>
      <c r="C710" s="3">
        <v>2</v>
      </c>
      <c r="D710" s="3">
        <v>1</v>
      </c>
    </row>
    <row r="711" spans="1:4">
      <c r="A711" s="3">
        <v>1</v>
      </c>
      <c r="B711" s="3">
        <v>1</v>
      </c>
      <c r="C711" s="3">
        <v>2</v>
      </c>
      <c r="D711" s="3">
        <v>1</v>
      </c>
    </row>
    <row r="712" spans="1:4">
      <c r="A712" s="3">
        <v>2</v>
      </c>
      <c r="B712" s="3">
        <v>1</v>
      </c>
      <c r="C712" s="3">
        <v>2</v>
      </c>
      <c r="D712" s="3">
        <v>1</v>
      </c>
    </row>
    <row r="713" spans="1:4">
      <c r="A713" s="3">
        <v>1</v>
      </c>
      <c r="B713" s="3">
        <v>0</v>
      </c>
      <c r="C713" s="3">
        <v>2</v>
      </c>
      <c r="D713" s="3">
        <v>1</v>
      </c>
    </row>
    <row r="714" spans="1:4">
      <c r="A714" s="3">
        <v>3</v>
      </c>
      <c r="B714" s="3">
        <v>0</v>
      </c>
      <c r="C714" s="3">
        <v>2</v>
      </c>
      <c r="D714" s="3">
        <v>0</v>
      </c>
    </row>
    <row r="715" spans="1:4">
      <c r="A715" s="3">
        <v>3</v>
      </c>
      <c r="B715" s="3">
        <v>0</v>
      </c>
      <c r="C715" s="3">
        <v>2</v>
      </c>
      <c r="D715" s="3">
        <v>1</v>
      </c>
    </row>
    <row r="716" spans="1:4">
      <c r="A716" s="3">
        <v>2</v>
      </c>
      <c r="B716" s="3">
        <v>0</v>
      </c>
      <c r="C716" s="3">
        <v>2</v>
      </c>
      <c r="D716" s="3">
        <v>0</v>
      </c>
    </row>
    <row r="717" spans="1:4">
      <c r="A717" s="3">
        <v>2</v>
      </c>
      <c r="B717" s="3">
        <v>0</v>
      </c>
      <c r="C717" s="3">
        <v>1</v>
      </c>
      <c r="D717" s="3">
        <v>1</v>
      </c>
    </row>
    <row r="718" spans="1:4">
      <c r="A718" s="3">
        <v>2</v>
      </c>
      <c r="B718" s="3">
        <v>0</v>
      </c>
      <c r="C718" s="3">
        <v>1</v>
      </c>
      <c r="D718" s="3">
        <v>1</v>
      </c>
    </row>
    <row r="719" spans="1:4">
      <c r="A719" s="3">
        <v>2</v>
      </c>
      <c r="B719" s="3">
        <v>0</v>
      </c>
      <c r="C719" s="3">
        <v>2</v>
      </c>
      <c r="D719" s="3">
        <v>0</v>
      </c>
    </row>
    <row r="720" spans="1:4">
      <c r="A720" s="3">
        <v>2</v>
      </c>
      <c r="B720" s="3">
        <v>0</v>
      </c>
      <c r="C720" s="3">
        <v>2</v>
      </c>
      <c r="D720" s="3">
        <v>0</v>
      </c>
    </row>
    <row r="721" spans="1:4">
      <c r="A721" s="3">
        <v>3</v>
      </c>
      <c r="B721" s="3">
        <v>0</v>
      </c>
      <c r="C721" s="3">
        <v>1</v>
      </c>
      <c r="D721" s="3">
        <v>1</v>
      </c>
    </row>
    <row r="722" spans="1:4">
      <c r="A722" s="3">
        <v>2</v>
      </c>
      <c r="B722" s="3">
        <v>0</v>
      </c>
      <c r="C722" s="3">
        <v>2</v>
      </c>
      <c r="D722" s="3">
        <v>1</v>
      </c>
    </row>
    <row r="723" spans="1:4">
      <c r="A723" s="3">
        <v>1</v>
      </c>
      <c r="B723" s="3">
        <v>0</v>
      </c>
      <c r="C723" s="3">
        <v>2</v>
      </c>
      <c r="D723" s="3">
        <v>0</v>
      </c>
    </row>
    <row r="724" spans="1:4">
      <c r="A724" s="3">
        <v>1</v>
      </c>
      <c r="B724" s="3">
        <v>0</v>
      </c>
      <c r="C724" s="3">
        <v>2</v>
      </c>
      <c r="D724" s="3">
        <v>0</v>
      </c>
    </row>
    <row r="725" spans="1:4">
      <c r="A725" s="3">
        <v>1</v>
      </c>
      <c r="B725" s="3">
        <v>0</v>
      </c>
      <c r="C725" s="3">
        <v>1</v>
      </c>
      <c r="D725" s="3">
        <v>1</v>
      </c>
    </row>
    <row r="726" spans="1:4">
      <c r="A726" s="3">
        <v>3</v>
      </c>
      <c r="B726" s="3">
        <v>0</v>
      </c>
      <c r="C726" s="3">
        <v>2</v>
      </c>
      <c r="D726" s="3">
        <v>1</v>
      </c>
    </row>
    <row r="727" spans="1:4">
      <c r="A727" s="3">
        <v>1</v>
      </c>
      <c r="B727" s="3">
        <v>0</v>
      </c>
      <c r="C727" s="3">
        <v>1</v>
      </c>
      <c r="D727" s="3">
        <v>0</v>
      </c>
    </row>
    <row r="728" spans="1:4">
      <c r="A728" s="3">
        <v>2</v>
      </c>
      <c r="B728" s="3">
        <v>0</v>
      </c>
      <c r="C728" s="3">
        <v>1</v>
      </c>
      <c r="D728" s="3">
        <v>1</v>
      </c>
    </row>
    <row r="729" spans="1:4">
      <c r="A729" s="3">
        <v>2</v>
      </c>
      <c r="B729" s="3">
        <v>0</v>
      </c>
      <c r="C729" s="3">
        <v>1</v>
      </c>
      <c r="D729" s="3">
        <v>1</v>
      </c>
    </row>
    <row r="730" spans="1:4">
      <c r="A730" s="3">
        <v>3</v>
      </c>
      <c r="B730" s="3">
        <v>0</v>
      </c>
      <c r="C730" s="3">
        <v>2</v>
      </c>
      <c r="D730" s="3">
        <v>1</v>
      </c>
    </row>
    <row r="731" spans="1:4">
      <c r="A731" s="3">
        <v>3</v>
      </c>
      <c r="B731" s="3">
        <v>0</v>
      </c>
      <c r="C731" s="3">
        <v>2</v>
      </c>
      <c r="D731" s="3">
        <v>1</v>
      </c>
    </row>
    <row r="732" spans="1:4">
      <c r="A732" s="3">
        <v>3</v>
      </c>
      <c r="B732" s="3">
        <v>1</v>
      </c>
      <c r="C732" s="3">
        <v>1</v>
      </c>
      <c r="D732" s="3">
        <v>1</v>
      </c>
    </row>
    <row r="733" spans="1:4">
      <c r="A733" s="3">
        <v>3</v>
      </c>
      <c r="B733" s="3">
        <v>1</v>
      </c>
      <c r="C733" s="3">
        <v>1</v>
      </c>
      <c r="D733" s="3">
        <v>1</v>
      </c>
    </row>
    <row r="734" spans="1:4">
      <c r="A734" s="3">
        <v>3</v>
      </c>
      <c r="B734" s="3">
        <v>0</v>
      </c>
      <c r="C734" s="3">
        <v>2</v>
      </c>
      <c r="D734" s="3">
        <v>1</v>
      </c>
    </row>
    <row r="735" spans="1:4">
      <c r="A735" s="3">
        <v>1</v>
      </c>
      <c r="B735" s="3">
        <v>0</v>
      </c>
      <c r="C735" s="3">
        <v>1</v>
      </c>
      <c r="D735" s="3">
        <v>0</v>
      </c>
    </row>
    <row r="736" spans="1:4">
      <c r="A736" s="3">
        <v>2</v>
      </c>
      <c r="B736" s="3">
        <v>0</v>
      </c>
      <c r="C736" s="3">
        <v>1</v>
      </c>
      <c r="D736" s="3">
        <v>1</v>
      </c>
    </row>
    <row r="737" spans="1:4">
      <c r="A737" s="3">
        <v>3</v>
      </c>
      <c r="B737" s="3">
        <v>0</v>
      </c>
      <c r="C737" s="3">
        <v>1</v>
      </c>
      <c r="D737" s="3">
        <v>1</v>
      </c>
    </row>
    <row r="738" spans="1:4">
      <c r="A738" s="3">
        <v>2</v>
      </c>
      <c r="B738" s="3">
        <v>0</v>
      </c>
      <c r="C738" s="3">
        <v>2</v>
      </c>
      <c r="D738" s="3">
        <v>1</v>
      </c>
    </row>
    <row r="739" spans="1:4">
      <c r="A739" s="3">
        <v>1</v>
      </c>
      <c r="B739" s="3">
        <v>0</v>
      </c>
      <c r="C739" s="3">
        <v>1</v>
      </c>
      <c r="D739" s="3">
        <v>0</v>
      </c>
    </row>
    <row r="740" spans="1:4">
      <c r="A740" s="3">
        <v>2</v>
      </c>
      <c r="B740" s="3">
        <v>0</v>
      </c>
      <c r="C740" s="3">
        <v>2</v>
      </c>
      <c r="D740" s="3">
        <v>1</v>
      </c>
    </row>
    <row r="741" spans="1:4">
      <c r="A741" s="3">
        <v>3</v>
      </c>
      <c r="B741" s="3">
        <v>0</v>
      </c>
      <c r="C741" s="3">
        <v>2</v>
      </c>
      <c r="D741" s="3">
        <v>0</v>
      </c>
    </row>
    <row r="742" spans="1:4">
      <c r="A742" s="3">
        <v>3</v>
      </c>
      <c r="B742" s="3">
        <v>0</v>
      </c>
      <c r="C742" s="3">
        <v>2</v>
      </c>
      <c r="D742" s="3">
        <v>1</v>
      </c>
    </row>
    <row r="743" spans="1:4">
      <c r="A743" s="3">
        <v>3</v>
      </c>
      <c r="B743" s="3">
        <v>1</v>
      </c>
      <c r="C743" s="3">
        <v>1</v>
      </c>
      <c r="D743" s="3">
        <v>1</v>
      </c>
    </row>
    <row r="744" spans="1:4">
      <c r="A744" s="3">
        <v>2</v>
      </c>
      <c r="B744" s="3">
        <v>0</v>
      </c>
      <c r="C744" s="3">
        <v>2</v>
      </c>
      <c r="D744" s="3">
        <v>0</v>
      </c>
    </row>
    <row r="745" spans="1:4">
      <c r="A745" s="3">
        <v>2</v>
      </c>
      <c r="B745" s="3">
        <v>0</v>
      </c>
      <c r="C745" s="3">
        <v>1</v>
      </c>
      <c r="D745" s="3">
        <v>1</v>
      </c>
    </row>
    <row r="746" spans="1:4">
      <c r="A746" s="3">
        <v>2</v>
      </c>
      <c r="B746" s="3">
        <v>0</v>
      </c>
      <c r="C746" s="3">
        <v>1</v>
      </c>
      <c r="D746" s="3">
        <v>1</v>
      </c>
    </row>
    <row r="747" spans="1:4">
      <c r="A747" s="3">
        <v>1</v>
      </c>
      <c r="B747" s="3">
        <v>0</v>
      </c>
      <c r="C747" s="3">
        <v>2</v>
      </c>
      <c r="D747" s="3">
        <v>0</v>
      </c>
    </row>
    <row r="748" spans="1:4">
      <c r="A748" s="3">
        <v>1</v>
      </c>
      <c r="B748" s="3">
        <v>0</v>
      </c>
      <c r="C748" s="3">
        <v>1</v>
      </c>
      <c r="D748" s="3">
        <v>1</v>
      </c>
    </row>
    <row r="749" spans="1:4">
      <c r="A749" s="3">
        <v>2</v>
      </c>
      <c r="B749" s="3">
        <v>0</v>
      </c>
      <c r="C749" s="3">
        <v>1</v>
      </c>
      <c r="D749" s="3">
        <v>0</v>
      </c>
    </row>
    <row r="750" spans="1:4">
      <c r="A750" s="3">
        <v>2</v>
      </c>
      <c r="B750" s="3">
        <v>0</v>
      </c>
      <c r="C750" s="3">
        <v>2</v>
      </c>
      <c r="D750" s="3">
        <v>1</v>
      </c>
    </row>
    <row r="751" spans="1:4">
      <c r="A751" s="3">
        <v>3</v>
      </c>
      <c r="B751" s="3">
        <v>0</v>
      </c>
      <c r="C751" s="3">
        <v>2</v>
      </c>
      <c r="D751" s="3">
        <v>1</v>
      </c>
    </row>
    <row r="752" spans="1:4">
      <c r="A752" s="3">
        <v>3</v>
      </c>
      <c r="B752" s="3">
        <v>0</v>
      </c>
      <c r="C752" s="3">
        <v>2</v>
      </c>
      <c r="D752" s="3">
        <v>0</v>
      </c>
    </row>
    <row r="753" spans="1:4">
      <c r="A753" s="3">
        <v>2</v>
      </c>
      <c r="B753" s="3">
        <v>0</v>
      </c>
      <c r="C753" s="3">
        <v>2</v>
      </c>
      <c r="D753" s="3">
        <v>1</v>
      </c>
    </row>
    <row r="754" spans="1:4">
      <c r="A754" s="3">
        <v>3</v>
      </c>
      <c r="B754" s="3">
        <v>1</v>
      </c>
      <c r="C754" s="3">
        <v>1</v>
      </c>
      <c r="D754" s="3">
        <v>1</v>
      </c>
    </row>
    <row r="755" spans="1:4">
      <c r="A755" s="3">
        <v>3</v>
      </c>
      <c r="B755" s="3">
        <v>0</v>
      </c>
      <c r="C755" s="3">
        <v>2</v>
      </c>
      <c r="D755" s="3">
        <v>1</v>
      </c>
    </row>
    <row r="756" spans="1:4">
      <c r="A756" s="3">
        <v>2</v>
      </c>
      <c r="B756" s="3">
        <v>0</v>
      </c>
      <c r="C756" s="3">
        <v>2</v>
      </c>
      <c r="D756" s="3">
        <v>0</v>
      </c>
    </row>
    <row r="757" spans="1:4">
      <c r="A757" s="3">
        <v>3</v>
      </c>
      <c r="B757" s="3">
        <v>0</v>
      </c>
      <c r="C757" s="3">
        <v>2</v>
      </c>
      <c r="D757" s="3">
        <v>0</v>
      </c>
    </row>
    <row r="758" spans="1:4">
      <c r="A758" s="3">
        <v>3</v>
      </c>
      <c r="B758" s="3">
        <v>0</v>
      </c>
      <c r="C758" s="3">
        <v>1</v>
      </c>
      <c r="D758" s="3">
        <v>1</v>
      </c>
    </row>
    <row r="759" spans="1:4">
      <c r="A759" s="3">
        <v>3</v>
      </c>
      <c r="B759" s="3">
        <v>0</v>
      </c>
      <c r="C759" s="3">
        <v>1</v>
      </c>
      <c r="D759" s="3">
        <v>0</v>
      </c>
    </row>
    <row r="760" spans="1:4">
      <c r="A760" s="3">
        <v>2</v>
      </c>
      <c r="B760" s="3">
        <v>0</v>
      </c>
      <c r="C760" s="3">
        <v>1</v>
      </c>
      <c r="D760" s="3">
        <v>1</v>
      </c>
    </row>
    <row r="761" spans="1:4">
      <c r="A761" s="3">
        <v>3</v>
      </c>
      <c r="B761" s="3">
        <v>0</v>
      </c>
      <c r="C761" s="3">
        <v>1</v>
      </c>
      <c r="D761" s="3">
        <v>1</v>
      </c>
    </row>
    <row r="762" spans="1:4">
      <c r="A762" s="3">
        <v>3</v>
      </c>
      <c r="B762" s="3">
        <v>1</v>
      </c>
      <c r="C762" s="3">
        <v>1</v>
      </c>
      <c r="D762" s="3">
        <v>1</v>
      </c>
    </row>
    <row r="763" spans="1:4">
      <c r="A763" s="3">
        <v>3</v>
      </c>
      <c r="B763" s="3">
        <v>0</v>
      </c>
      <c r="C763" s="3">
        <v>1</v>
      </c>
      <c r="D763" s="3">
        <v>0</v>
      </c>
    </row>
    <row r="764" spans="1:4">
      <c r="A764" s="3">
        <v>1</v>
      </c>
      <c r="B764" s="3">
        <v>0</v>
      </c>
      <c r="C764" s="3">
        <v>2</v>
      </c>
      <c r="D764" s="3">
        <v>1</v>
      </c>
    </row>
    <row r="765" spans="1:4">
      <c r="A765" s="3">
        <v>1</v>
      </c>
      <c r="B765" s="3">
        <v>0</v>
      </c>
      <c r="C765" s="3">
        <v>2</v>
      </c>
      <c r="D765" s="3">
        <v>0</v>
      </c>
    </row>
    <row r="766" spans="1:4">
      <c r="A766" s="3">
        <v>2</v>
      </c>
      <c r="B766" s="3">
        <v>0</v>
      </c>
      <c r="C766" s="3">
        <v>1</v>
      </c>
      <c r="D766" s="3">
        <v>0</v>
      </c>
    </row>
    <row r="767" spans="1:4">
      <c r="A767" s="3">
        <v>1</v>
      </c>
      <c r="B767" s="3">
        <v>0</v>
      </c>
      <c r="C767" s="3">
        <v>2</v>
      </c>
      <c r="D767" s="3">
        <v>1</v>
      </c>
    </row>
    <row r="768" spans="1:4">
      <c r="A768" s="3">
        <v>1</v>
      </c>
      <c r="B768" s="3">
        <v>0</v>
      </c>
      <c r="C768" s="3">
        <v>2</v>
      </c>
      <c r="D768" s="3">
        <v>1</v>
      </c>
    </row>
    <row r="769" spans="1:4">
      <c r="A769" s="3">
        <v>3</v>
      </c>
      <c r="B769" s="3">
        <v>0</v>
      </c>
      <c r="C769" s="3">
        <v>1</v>
      </c>
      <c r="D769" s="3">
        <v>0</v>
      </c>
    </row>
    <row r="770" spans="1:4">
      <c r="A770" s="3">
        <v>1</v>
      </c>
      <c r="B770" s="3">
        <v>0</v>
      </c>
      <c r="C770" s="3">
        <v>1</v>
      </c>
      <c r="D770" s="3">
        <v>0</v>
      </c>
    </row>
    <row r="771" spans="1:4">
      <c r="A771" s="3">
        <v>2</v>
      </c>
      <c r="B771" s="3">
        <v>0</v>
      </c>
      <c r="C771" s="3">
        <v>2</v>
      </c>
      <c r="D771" s="3">
        <v>1</v>
      </c>
    </row>
    <row r="772" spans="1:4">
      <c r="A772" s="3">
        <v>3</v>
      </c>
      <c r="B772" s="3">
        <v>0</v>
      </c>
      <c r="C772" s="3">
        <v>2</v>
      </c>
      <c r="D772" s="3">
        <v>1</v>
      </c>
    </row>
    <row r="773" spans="1:4">
      <c r="A773" s="3">
        <v>1</v>
      </c>
      <c r="B773" s="3">
        <v>0</v>
      </c>
      <c r="C773" s="3">
        <v>2</v>
      </c>
      <c r="D773" s="3">
        <v>0</v>
      </c>
    </row>
    <row r="774" spans="1:4">
      <c r="A774" s="3">
        <v>2</v>
      </c>
      <c r="B774" s="3">
        <v>1</v>
      </c>
      <c r="C774" s="3">
        <v>2</v>
      </c>
      <c r="D774" s="3">
        <v>1</v>
      </c>
    </row>
    <row r="775" spans="1:4">
      <c r="A775" s="3">
        <v>3</v>
      </c>
      <c r="B775" s="3">
        <v>1</v>
      </c>
      <c r="C775" s="3">
        <v>1</v>
      </c>
      <c r="D775" s="3">
        <v>1</v>
      </c>
    </row>
    <row r="776" spans="1:4">
      <c r="A776" s="3">
        <v>2</v>
      </c>
      <c r="B776" s="3">
        <v>0</v>
      </c>
      <c r="C776" s="3">
        <v>2</v>
      </c>
      <c r="D776" s="3">
        <v>0</v>
      </c>
    </row>
    <row r="777" spans="1:4">
      <c r="A777" s="3">
        <v>3</v>
      </c>
      <c r="B777" s="3">
        <v>0</v>
      </c>
      <c r="C777" s="3">
        <v>1</v>
      </c>
      <c r="D777" s="3">
        <v>1</v>
      </c>
    </row>
    <row r="778" spans="1:4">
      <c r="A778" s="3">
        <v>1</v>
      </c>
      <c r="B778" s="3">
        <v>0</v>
      </c>
      <c r="C778" s="3">
        <v>1</v>
      </c>
      <c r="D778" s="3">
        <v>0</v>
      </c>
    </row>
    <row r="779" spans="1:4">
      <c r="A779" s="3">
        <v>1</v>
      </c>
      <c r="B779" s="3">
        <v>0</v>
      </c>
      <c r="C779" s="3">
        <v>2</v>
      </c>
      <c r="D779" s="3">
        <v>0</v>
      </c>
    </row>
    <row r="780" spans="1:4">
      <c r="A780" s="3">
        <v>2</v>
      </c>
      <c r="B780" s="3">
        <v>0</v>
      </c>
      <c r="C780" s="3">
        <v>2</v>
      </c>
      <c r="D780" s="3">
        <v>0</v>
      </c>
    </row>
    <row r="781" spans="1:4">
      <c r="A781" s="3">
        <v>3</v>
      </c>
      <c r="B781" s="3">
        <v>0</v>
      </c>
      <c r="C781" s="3">
        <v>2</v>
      </c>
      <c r="D781" s="3">
        <v>1</v>
      </c>
    </row>
    <row r="782" spans="1:4">
      <c r="A782" s="3">
        <v>3</v>
      </c>
      <c r="B782" s="3">
        <v>0</v>
      </c>
      <c r="C782" s="3">
        <v>2</v>
      </c>
      <c r="D782" s="3">
        <v>1</v>
      </c>
    </row>
    <row r="783" spans="1:4">
      <c r="A783" s="3">
        <v>2</v>
      </c>
      <c r="B783" s="3">
        <v>0</v>
      </c>
      <c r="C783" s="3">
        <v>2</v>
      </c>
      <c r="D783" s="3">
        <v>1</v>
      </c>
    </row>
    <row r="784" spans="1:4">
      <c r="A784" s="3">
        <v>2</v>
      </c>
      <c r="B784" s="3">
        <v>0</v>
      </c>
      <c r="C784" s="3">
        <v>1</v>
      </c>
      <c r="D784" s="3">
        <v>1</v>
      </c>
    </row>
    <row r="785" spans="1:4">
      <c r="A785" s="3">
        <v>3</v>
      </c>
      <c r="B785" s="3">
        <v>0</v>
      </c>
      <c r="C785" s="3">
        <v>1</v>
      </c>
      <c r="D785" s="3">
        <v>1</v>
      </c>
    </row>
    <row r="786" spans="1:4">
      <c r="A786" s="3">
        <v>2</v>
      </c>
      <c r="B786" s="3">
        <v>0</v>
      </c>
      <c r="C786" s="3">
        <v>2</v>
      </c>
      <c r="D786" s="3">
        <v>1</v>
      </c>
    </row>
    <row r="787" spans="1:4">
      <c r="A787" s="3">
        <v>2</v>
      </c>
      <c r="B787" s="3">
        <v>0</v>
      </c>
      <c r="C787" s="3">
        <v>2</v>
      </c>
      <c r="D787" s="3">
        <v>1</v>
      </c>
    </row>
    <row r="788" spans="1:4">
      <c r="A788" s="3">
        <v>3</v>
      </c>
      <c r="B788" s="3">
        <v>0</v>
      </c>
      <c r="C788" s="3">
        <v>2</v>
      </c>
      <c r="D788" s="3">
        <v>1</v>
      </c>
    </row>
    <row r="789" spans="1:4">
      <c r="A789" s="3">
        <v>2</v>
      </c>
      <c r="B789" s="3">
        <v>0</v>
      </c>
      <c r="C789" s="3">
        <v>1</v>
      </c>
      <c r="D789" s="3">
        <v>0</v>
      </c>
    </row>
    <row r="790" spans="1:4">
      <c r="A790" s="3">
        <v>1</v>
      </c>
      <c r="B790" s="3">
        <v>0</v>
      </c>
      <c r="C790" s="3">
        <v>2</v>
      </c>
      <c r="D790" s="3">
        <v>0</v>
      </c>
    </row>
    <row r="791" spans="1:4">
      <c r="A791" s="3">
        <v>2</v>
      </c>
      <c r="B791" s="3">
        <v>1</v>
      </c>
      <c r="C791" s="3">
        <v>1</v>
      </c>
      <c r="D791" s="3">
        <v>1</v>
      </c>
    </row>
    <row r="792" spans="1:4">
      <c r="A792" s="3">
        <v>2</v>
      </c>
      <c r="B792" s="3">
        <v>0</v>
      </c>
      <c r="C792" s="3">
        <v>1</v>
      </c>
      <c r="D792" s="3">
        <v>1</v>
      </c>
    </row>
    <row r="793" spans="1:4">
      <c r="A793" s="3">
        <v>2</v>
      </c>
      <c r="B793" s="3">
        <v>0</v>
      </c>
      <c r="C793" s="3">
        <v>1</v>
      </c>
      <c r="D793" s="3">
        <v>1</v>
      </c>
    </row>
    <row r="794" spans="1:4">
      <c r="A794" s="3">
        <v>3</v>
      </c>
      <c r="B794" s="3">
        <v>0</v>
      </c>
      <c r="C794" s="3">
        <v>1</v>
      </c>
      <c r="D794" s="3">
        <v>1</v>
      </c>
    </row>
    <row r="795" spans="1:4">
      <c r="A795" s="3">
        <v>2</v>
      </c>
      <c r="B795" s="3">
        <v>1</v>
      </c>
      <c r="C795" s="3">
        <v>1</v>
      </c>
      <c r="D795" s="3">
        <v>1</v>
      </c>
    </row>
    <row r="796" spans="1:4">
      <c r="A796" s="3">
        <v>1</v>
      </c>
      <c r="B796" s="3">
        <v>0</v>
      </c>
      <c r="C796" s="3">
        <v>2</v>
      </c>
      <c r="D796" s="3">
        <v>1</v>
      </c>
    </row>
    <row r="797" spans="1:4">
      <c r="A797" s="3">
        <v>3</v>
      </c>
      <c r="B797" s="3">
        <v>0</v>
      </c>
      <c r="C797" s="3">
        <v>2</v>
      </c>
      <c r="D797" s="3">
        <v>1</v>
      </c>
    </row>
    <row r="798" spans="1:4">
      <c r="A798" s="3">
        <v>2</v>
      </c>
      <c r="B798" s="3">
        <v>0</v>
      </c>
      <c r="C798" s="3">
        <v>1</v>
      </c>
      <c r="D798" s="3">
        <v>1</v>
      </c>
    </row>
    <row r="799" spans="1:4">
      <c r="A799" s="3">
        <v>3</v>
      </c>
      <c r="B799" s="3">
        <v>0</v>
      </c>
      <c r="C799" s="3">
        <v>1</v>
      </c>
      <c r="D799" s="3">
        <v>1</v>
      </c>
    </row>
    <row r="800" spans="1:4">
      <c r="A800" s="3">
        <v>1</v>
      </c>
      <c r="B800" s="3">
        <v>0</v>
      </c>
      <c r="C800" s="3">
        <v>1</v>
      </c>
      <c r="D800" s="3">
        <v>1</v>
      </c>
    </row>
    <row r="801" spans="1:4">
      <c r="A801" s="3">
        <v>1</v>
      </c>
      <c r="B801" s="3">
        <v>0</v>
      </c>
      <c r="C801" s="3">
        <v>1</v>
      </c>
      <c r="D801" s="3">
        <v>1</v>
      </c>
    </row>
    <row r="802" spans="1:4">
      <c r="A802" s="3">
        <v>2</v>
      </c>
      <c r="B802" s="3">
        <v>0</v>
      </c>
      <c r="C802" s="3">
        <v>1</v>
      </c>
      <c r="D802" s="3">
        <v>1</v>
      </c>
    </row>
    <row r="803" spans="1:4">
      <c r="A803" s="3">
        <v>2</v>
      </c>
      <c r="B803" s="3">
        <v>0</v>
      </c>
      <c r="C803" s="3">
        <v>2</v>
      </c>
      <c r="D803" s="3">
        <v>1</v>
      </c>
    </row>
    <row r="804" spans="1:4">
      <c r="A804" s="3">
        <v>2</v>
      </c>
      <c r="B804" s="3">
        <v>0</v>
      </c>
      <c r="C804" s="3">
        <v>2</v>
      </c>
      <c r="D804" s="3">
        <v>1</v>
      </c>
    </row>
    <row r="805" spans="1:4">
      <c r="A805" s="3">
        <v>2</v>
      </c>
      <c r="B805" s="3">
        <v>0</v>
      </c>
      <c r="C805" s="3">
        <v>2</v>
      </c>
      <c r="D805" s="3">
        <v>1</v>
      </c>
    </row>
    <row r="806" spans="1:4">
      <c r="A806" s="3">
        <v>1</v>
      </c>
      <c r="B806" s="3">
        <v>0</v>
      </c>
      <c r="C806" s="3">
        <v>1</v>
      </c>
      <c r="D806" s="3">
        <v>0</v>
      </c>
    </row>
    <row r="807" spans="1:4">
      <c r="A807" s="3">
        <v>3</v>
      </c>
      <c r="B807" s="3">
        <v>0</v>
      </c>
      <c r="C807" s="3">
        <v>1</v>
      </c>
      <c r="D807" s="3">
        <v>1</v>
      </c>
    </row>
    <row r="808" spans="1:4">
      <c r="A808" s="3">
        <v>1</v>
      </c>
      <c r="B808" s="3">
        <v>0</v>
      </c>
      <c r="C808" s="3">
        <v>1</v>
      </c>
      <c r="D808" s="3">
        <v>0</v>
      </c>
    </row>
    <row r="809" spans="1:4">
      <c r="A809" s="3">
        <v>2</v>
      </c>
      <c r="B809" s="3">
        <v>0</v>
      </c>
      <c r="C809" s="3">
        <v>2</v>
      </c>
      <c r="D809" s="3">
        <v>0</v>
      </c>
    </row>
    <row r="810" spans="1:4">
      <c r="A810" s="3">
        <v>3</v>
      </c>
      <c r="B810" s="3">
        <v>0</v>
      </c>
      <c r="C810" s="3">
        <v>1</v>
      </c>
      <c r="D810" s="3">
        <v>1</v>
      </c>
    </row>
    <row r="811" spans="1:4">
      <c r="A811" s="3">
        <v>1</v>
      </c>
      <c r="B811" s="3">
        <v>0</v>
      </c>
      <c r="C811" s="3">
        <v>1</v>
      </c>
      <c r="D811" s="3">
        <v>0</v>
      </c>
    </row>
    <row r="812" spans="1:4">
      <c r="A812" s="3">
        <v>3</v>
      </c>
      <c r="B812" s="3">
        <v>0</v>
      </c>
      <c r="C812" s="3">
        <v>1</v>
      </c>
      <c r="D812" s="3">
        <v>0</v>
      </c>
    </row>
    <row r="813" spans="1:4">
      <c r="A813" s="3">
        <v>2</v>
      </c>
      <c r="B813" s="3">
        <v>0</v>
      </c>
      <c r="C813" s="3">
        <v>2</v>
      </c>
      <c r="D813" s="3">
        <v>1</v>
      </c>
    </row>
    <row r="814" spans="1:4">
      <c r="A814" s="3">
        <v>2</v>
      </c>
      <c r="B814" s="3">
        <v>0</v>
      </c>
      <c r="C814" s="3">
        <v>1</v>
      </c>
      <c r="D814" s="3">
        <v>1</v>
      </c>
    </row>
    <row r="815" spans="1:4">
      <c r="A815" s="3">
        <v>3</v>
      </c>
      <c r="B815" s="3">
        <v>0</v>
      </c>
      <c r="C815" s="3">
        <v>2</v>
      </c>
      <c r="D815" s="3">
        <v>0</v>
      </c>
    </row>
    <row r="816" spans="1:4">
      <c r="A816" s="3">
        <v>2</v>
      </c>
      <c r="B816" s="3">
        <v>0</v>
      </c>
      <c r="C816" s="3">
        <v>2</v>
      </c>
      <c r="D816" s="3">
        <v>1</v>
      </c>
    </row>
    <row r="817" spans="1:4">
      <c r="A817" s="3">
        <v>1</v>
      </c>
      <c r="B817" s="3">
        <v>0</v>
      </c>
      <c r="C817" s="3">
        <v>2</v>
      </c>
      <c r="D817" s="3">
        <v>0</v>
      </c>
    </row>
    <row r="818" spans="1:4">
      <c r="A818" s="3">
        <v>2</v>
      </c>
      <c r="B818" s="3">
        <v>0</v>
      </c>
      <c r="C818" s="3">
        <v>1</v>
      </c>
      <c r="D818" s="3">
        <v>1</v>
      </c>
    </row>
    <row r="819" spans="1:4">
      <c r="A819" s="3">
        <v>2</v>
      </c>
      <c r="B819" s="3">
        <v>0</v>
      </c>
      <c r="C819" s="3">
        <v>2</v>
      </c>
      <c r="D819" s="3">
        <v>0</v>
      </c>
    </row>
    <row r="820" spans="1:4">
      <c r="A820" s="3">
        <v>1</v>
      </c>
      <c r="B820" s="3">
        <v>0</v>
      </c>
      <c r="C820" s="3">
        <v>1</v>
      </c>
      <c r="D820" s="3">
        <v>1</v>
      </c>
    </row>
    <row r="821" spans="1:4">
      <c r="A821" s="3">
        <v>1</v>
      </c>
      <c r="B821" s="3">
        <v>0</v>
      </c>
      <c r="C821" s="3">
        <v>2</v>
      </c>
      <c r="D821" s="3">
        <v>0</v>
      </c>
    </row>
    <row r="822" spans="1:4">
      <c r="A822" s="3">
        <v>1</v>
      </c>
      <c r="B822" s="3">
        <v>0</v>
      </c>
      <c r="C822" s="3">
        <v>1</v>
      </c>
      <c r="D822" s="3">
        <v>1</v>
      </c>
    </row>
    <row r="823" spans="1:4">
      <c r="A823" s="3">
        <v>1</v>
      </c>
      <c r="B823" s="3">
        <v>0</v>
      </c>
      <c r="C823" s="3">
        <v>2</v>
      </c>
      <c r="D823" s="3">
        <v>1</v>
      </c>
    </row>
    <row r="824" spans="1:4">
      <c r="A824" s="3">
        <v>3</v>
      </c>
      <c r="B824" s="3">
        <v>0</v>
      </c>
      <c r="C824" s="3">
        <v>2</v>
      </c>
      <c r="D824" s="3">
        <v>1</v>
      </c>
    </row>
    <row r="825" spans="1:4">
      <c r="A825" s="3">
        <v>1</v>
      </c>
      <c r="B825" s="3">
        <v>0</v>
      </c>
      <c r="C825" s="3">
        <v>2</v>
      </c>
      <c r="D825" s="3">
        <v>0</v>
      </c>
    </row>
    <row r="826" spans="1:4">
      <c r="A826" s="3">
        <v>2</v>
      </c>
      <c r="B826" s="3">
        <v>0</v>
      </c>
      <c r="C826" s="3">
        <v>2</v>
      </c>
      <c r="D826" s="3">
        <v>1</v>
      </c>
    </row>
    <row r="827" spans="1:4">
      <c r="A827" s="3">
        <v>3</v>
      </c>
      <c r="B827" s="3">
        <v>1</v>
      </c>
      <c r="C827" s="3">
        <v>2</v>
      </c>
      <c r="D827" s="3">
        <v>1</v>
      </c>
    </row>
    <row r="828" spans="1:4">
      <c r="A828" s="3">
        <v>1</v>
      </c>
      <c r="B828" s="3">
        <v>0</v>
      </c>
      <c r="C828" s="3">
        <v>1</v>
      </c>
      <c r="D828" s="3">
        <v>0</v>
      </c>
    </row>
    <row r="829" spans="1:4">
      <c r="A829" s="3">
        <v>3</v>
      </c>
      <c r="B829" s="3">
        <v>0</v>
      </c>
      <c r="C829" s="3">
        <v>1</v>
      </c>
      <c r="D829" s="3">
        <v>1</v>
      </c>
    </row>
    <row r="830" spans="1:4">
      <c r="A830" s="3">
        <v>1</v>
      </c>
      <c r="B830" s="3">
        <v>0</v>
      </c>
      <c r="C830" s="3">
        <v>1</v>
      </c>
      <c r="D830" s="3">
        <v>1</v>
      </c>
    </row>
    <row r="831" spans="1:4">
      <c r="A831" s="3">
        <v>3</v>
      </c>
      <c r="B831" s="3">
        <v>0</v>
      </c>
      <c r="C831" s="3">
        <v>1</v>
      </c>
      <c r="D831" s="3">
        <v>1</v>
      </c>
    </row>
    <row r="832" spans="1:4">
      <c r="A832" s="3">
        <v>3</v>
      </c>
      <c r="B832" s="3">
        <v>0</v>
      </c>
      <c r="C832" s="3">
        <v>2</v>
      </c>
      <c r="D832" s="3">
        <v>1</v>
      </c>
    </row>
    <row r="833" spans="1:4">
      <c r="A833" s="3">
        <v>1</v>
      </c>
      <c r="B833" s="3">
        <v>0</v>
      </c>
      <c r="C833" s="3">
        <v>1</v>
      </c>
      <c r="D833" s="3">
        <v>0</v>
      </c>
    </row>
    <row r="834" spans="1:4">
      <c r="A834" s="3">
        <v>3</v>
      </c>
      <c r="B834" s="3">
        <v>0</v>
      </c>
      <c r="C834" s="3">
        <v>1</v>
      </c>
      <c r="D834" s="3">
        <v>1</v>
      </c>
    </row>
    <row r="835" spans="1:4">
      <c r="A835" s="3">
        <v>1</v>
      </c>
      <c r="B835" s="3">
        <v>0</v>
      </c>
      <c r="C835" s="3">
        <v>1</v>
      </c>
      <c r="D835" s="3">
        <v>0</v>
      </c>
    </row>
    <row r="836" spans="1:4">
      <c r="A836" s="3">
        <v>2</v>
      </c>
      <c r="B836" s="3">
        <v>0</v>
      </c>
      <c r="C836" s="3">
        <v>2</v>
      </c>
      <c r="D836" s="3">
        <v>1</v>
      </c>
    </row>
    <row r="837" spans="1:4">
      <c r="A837" s="3">
        <v>1</v>
      </c>
      <c r="B837" s="3">
        <v>0</v>
      </c>
      <c r="C837" s="3">
        <v>1</v>
      </c>
      <c r="D837" s="3">
        <v>0</v>
      </c>
    </row>
    <row r="838" spans="1:4">
      <c r="A838" s="3">
        <v>2</v>
      </c>
      <c r="B838" s="3">
        <v>0</v>
      </c>
      <c r="C838" s="3">
        <v>2</v>
      </c>
      <c r="D838" s="3">
        <v>0</v>
      </c>
    </row>
    <row r="839" spans="1:4">
      <c r="A839" s="3">
        <v>3</v>
      </c>
      <c r="B839" s="3">
        <v>0</v>
      </c>
      <c r="C839" s="3">
        <v>1</v>
      </c>
      <c r="D839" s="3">
        <v>1</v>
      </c>
    </row>
    <row r="840" spans="1:4">
      <c r="A840" s="3">
        <v>3</v>
      </c>
      <c r="B840" s="3">
        <v>0</v>
      </c>
      <c r="C840" s="3">
        <v>1</v>
      </c>
      <c r="D840" s="3">
        <v>1</v>
      </c>
    </row>
    <row r="841" spans="1:4">
      <c r="A841" s="3">
        <v>2</v>
      </c>
      <c r="B841" s="3">
        <v>0</v>
      </c>
      <c r="C841" s="3">
        <v>2</v>
      </c>
      <c r="D841" s="3">
        <v>1</v>
      </c>
    </row>
    <row r="842" spans="1:4">
      <c r="A842" s="3">
        <v>3</v>
      </c>
      <c r="B842" s="3">
        <v>0</v>
      </c>
      <c r="C842" s="3">
        <v>1</v>
      </c>
      <c r="D842" s="3">
        <v>0</v>
      </c>
    </row>
    <row r="843" spans="1:4">
      <c r="A843" s="3">
        <v>1</v>
      </c>
      <c r="B843" s="3">
        <v>0</v>
      </c>
      <c r="C843" s="3">
        <v>2</v>
      </c>
      <c r="D843" s="3">
        <v>1</v>
      </c>
    </row>
    <row r="844" spans="1:4">
      <c r="A844" s="3">
        <v>1</v>
      </c>
      <c r="B844" s="3">
        <v>0</v>
      </c>
      <c r="C844" s="3">
        <v>1</v>
      </c>
      <c r="D844" s="3">
        <v>0</v>
      </c>
    </row>
    <row r="845" spans="1:4">
      <c r="A845" s="3">
        <v>2</v>
      </c>
      <c r="B845" s="3">
        <v>0</v>
      </c>
      <c r="C845" s="3">
        <v>1</v>
      </c>
      <c r="D845" s="3">
        <v>1</v>
      </c>
    </row>
    <row r="846" spans="1:4">
      <c r="A846" s="3">
        <v>1</v>
      </c>
      <c r="B846" s="3">
        <v>0</v>
      </c>
      <c r="C846" s="3">
        <v>2</v>
      </c>
      <c r="D846" s="3">
        <v>0</v>
      </c>
    </row>
    <row r="847" spans="1:4">
      <c r="A847" s="3">
        <v>2</v>
      </c>
      <c r="B847" s="3">
        <v>0</v>
      </c>
      <c r="C847" s="3">
        <v>1</v>
      </c>
      <c r="D847" s="3">
        <v>1</v>
      </c>
    </row>
    <row r="848" spans="1:4">
      <c r="A848" s="3">
        <v>2</v>
      </c>
      <c r="B848" s="3">
        <v>0</v>
      </c>
      <c r="C848" s="3">
        <v>2</v>
      </c>
      <c r="D848" s="3">
        <v>1</v>
      </c>
    </row>
    <row r="849" spans="1:4">
      <c r="A849" s="3">
        <v>3</v>
      </c>
      <c r="B849" s="3">
        <v>0</v>
      </c>
      <c r="C849" s="3">
        <v>1</v>
      </c>
      <c r="D849" s="3">
        <v>1</v>
      </c>
    </row>
    <row r="850" spans="1:4">
      <c r="A850" s="3">
        <v>3</v>
      </c>
      <c r="B850" s="3">
        <v>0</v>
      </c>
      <c r="C850" s="3">
        <v>2</v>
      </c>
      <c r="D850" s="3">
        <v>1</v>
      </c>
    </row>
    <row r="851" spans="1:4">
      <c r="A851" s="3">
        <v>1</v>
      </c>
      <c r="B851" s="3">
        <v>0</v>
      </c>
      <c r="C851" s="3">
        <v>2</v>
      </c>
      <c r="D851" s="3">
        <v>0</v>
      </c>
    </row>
    <row r="852" spans="1:4">
      <c r="A852" s="3">
        <v>3</v>
      </c>
      <c r="B852" s="3">
        <v>0</v>
      </c>
      <c r="C852" s="3">
        <v>1</v>
      </c>
      <c r="D852" s="3">
        <v>1</v>
      </c>
    </row>
    <row r="853" spans="1:4">
      <c r="A853" s="3">
        <v>3</v>
      </c>
      <c r="B853" s="3">
        <v>0</v>
      </c>
      <c r="C853" s="3">
        <v>1</v>
      </c>
      <c r="D853" s="3">
        <v>1</v>
      </c>
    </row>
    <row r="854" spans="1:4">
      <c r="A854" s="3">
        <v>3</v>
      </c>
      <c r="B854" s="3">
        <v>0</v>
      </c>
      <c r="C854" s="3">
        <v>2</v>
      </c>
      <c r="D854" s="3">
        <v>1</v>
      </c>
    </row>
    <row r="855" spans="1:4">
      <c r="A855" s="3">
        <v>3</v>
      </c>
      <c r="B855" s="3">
        <v>0</v>
      </c>
      <c r="C855" s="3">
        <v>2</v>
      </c>
      <c r="D855" s="3">
        <v>0</v>
      </c>
    </row>
    <row r="856" spans="1:4">
      <c r="A856" s="3">
        <v>2</v>
      </c>
      <c r="B856" s="3">
        <v>0</v>
      </c>
      <c r="C856" s="3">
        <v>1</v>
      </c>
      <c r="D856" s="3">
        <v>0</v>
      </c>
    </row>
    <row r="857" spans="1:4">
      <c r="A857" s="3">
        <v>3</v>
      </c>
      <c r="B857" s="3">
        <v>0</v>
      </c>
      <c r="C857" s="3">
        <v>1</v>
      </c>
      <c r="D857" s="3">
        <v>1</v>
      </c>
    </row>
    <row r="858" spans="1:4">
      <c r="A858" s="3">
        <v>2</v>
      </c>
      <c r="B858" s="3">
        <v>0</v>
      </c>
      <c r="C858" s="3">
        <v>2</v>
      </c>
      <c r="D858" s="3">
        <v>1</v>
      </c>
    </row>
    <row r="859" spans="1:4">
      <c r="A859" s="3">
        <v>3</v>
      </c>
      <c r="B859" s="3">
        <v>0</v>
      </c>
      <c r="C859" s="3">
        <v>1</v>
      </c>
      <c r="D859" s="3">
        <v>1</v>
      </c>
    </row>
    <row r="860" spans="1:4">
      <c r="A860" s="3">
        <v>2</v>
      </c>
      <c r="B860" s="3">
        <v>0</v>
      </c>
      <c r="C860" s="3">
        <v>2</v>
      </c>
      <c r="D860" s="3">
        <v>1</v>
      </c>
    </row>
    <row r="861" spans="1:4">
      <c r="A861" s="3">
        <v>1</v>
      </c>
      <c r="B861" s="3">
        <v>0</v>
      </c>
      <c r="C861" s="3">
        <v>2</v>
      </c>
      <c r="D861" s="3">
        <v>1</v>
      </c>
    </row>
    <row r="862" spans="1:4">
      <c r="A862" s="3">
        <v>2</v>
      </c>
      <c r="B862" s="3">
        <v>0</v>
      </c>
      <c r="C862" s="3">
        <v>2</v>
      </c>
      <c r="D862" s="3">
        <v>1</v>
      </c>
    </row>
    <row r="863" spans="1:4">
      <c r="A863" s="3">
        <v>2</v>
      </c>
      <c r="B863" s="3">
        <v>1</v>
      </c>
      <c r="C863" s="3">
        <v>2</v>
      </c>
      <c r="D863" s="3">
        <v>0</v>
      </c>
    </row>
    <row r="864" spans="1:4">
      <c r="A864" s="3">
        <v>2</v>
      </c>
      <c r="B864" s="3">
        <v>0</v>
      </c>
      <c r="C864" s="3">
        <v>1</v>
      </c>
      <c r="D864" s="3">
        <v>1</v>
      </c>
    </row>
    <row r="865" spans="1:4">
      <c r="A865" s="3">
        <v>1</v>
      </c>
      <c r="B865" s="3">
        <v>0</v>
      </c>
      <c r="C865" s="3">
        <v>2</v>
      </c>
      <c r="D865" s="3">
        <v>1</v>
      </c>
    </row>
    <row r="866" spans="1:4">
      <c r="A866" s="3">
        <v>3</v>
      </c>
      <c r="B866" s="3">
        <v>0</v>
      </c>
      <c r="C866" s="3">
        <v>2</v>
      </c>
      <c r="D866" s="3">
        <v>1</v>
      </c>
    </row>
    <row r="867" spans="1:4">
      <c r="A867" s="3">
        <v>2</v>
      </c>
      <c r="B867" s="3">
        <v>0</v>
      </c>
      <c r="C867" s="3">
        <v>1</v>
      </c>
      <c r="D867" s="3">
        <v>1</v>
      </c>
    </row>
    <row r="868" spans="1:4">
      <c r="A868" s="3">
        <v>3</v>
      </c>
      <c r="B868" s="3">
        <v>0</v>
      </c>
      <c r="C868" s="3">
        <v>2</v>
      </c>
      <c r="D868" s="3">
        <v>1</v>
      </c>
    </row>
    <row r="869" spans="1:4">
      <c r="A869" s="3">
        <v>3</v>
      </c>
      <c r="B869" s="3">
        <v>0</v>
      </c>
      <c r="C869" s="3">
        <v>1</v>
      </c>
      <c r="D869" s="3">
        <v>1</v>
      </c>
    </row>
    <row r="870" spans="1:4">
      <c r="A870" s="3">
        <v>2</v>
      </c>
      <c r="B870" s="3">
        <v>0</v>
      </c>
      <c r="C870" s="3">
        <v>2</v>
      </c>
      <c r="D870" s="3">
        <v>1</v>
      </c>
    </row>
    <row r="871" spans="1:4">
      <c r="A871" s="3">
        <v>3</v>
      </c>
      <c r="B871" s="3">
        <v>0</v>
      </c>
      <c r="C871" s="3">
        <v>2</v>
      </c>
      <c r="D871" s="3">
        <v>1</v>
      </c>
    </row>
    <row r="872" spans="1:4">
      <c r="A872" s="3">
        <v>1</v>
      </c>
      <c r="B872" s="3">
        <v>0</v>
      </c>
      <c r="C872" s="3">
        <v>2</v>
      </c>
      <c r="D872" s="3">
        <v>1</v>
      </c>
    </row>
    <row r="873" spans="1:4">
      <c r="A873" s="3">
        <v>3</v>
      </c>
      <c r="B873" s="3">
        <v>0</v>
      </c>
      <c r="C873" s="3">
        <v>1</v>
      </c>
      <c r="D873" s="3">
        <v>1</v>
      </c>
    </row>
    <row r="874" spans="1:4">
      <c r="A874" s="3">
        <v>3</v>
      </c>
      <c r="B874" s="3">
        <v>0</v>
      </c>
      <c r="C874" s="3">
        <v>1</v>
      </c>
      <c r="D874" s="3">
        <v>1</v>
      </c>
    </row>
    <row r="875" spans="1:4">
      <c r="A875" s="3">
        <v>3</v>
      </c>
      <c r="B875" s="3">
        <v>0</v>
      </c>
      <c r="C875" s="3">
        <v>1</v>
      </c>
      <c r="D875" s="3">
        <v>1</v>
      </c>
    </row>
    <row r="876" spans="1:4">
      <c r="A876" s="3">
        <v>1</v>
      </c>
      <c r="B876" s="3">
        <v>0</v>
      </c>
      <c r="C876" s="3">
        <v>1</v>
      </c>
      <c r="D876" s="3">
        <v>0</v>
      </c>
    </row>
    <row r="877" spans="1:4">
      <c r="A877" s="3">
        <v>1</v>
      </c>
      <c r="B877" s="3">
        <v>0</v>
      </c>
      <c r="C877" s="3">
        <v>1</v>
      </c>
      <c r="D877" s="3">
        <v>1</v>
      </c>
    </row>
    <row r="878" spans="1:4">
      <c r="A878" s="3">
        <v>2</v>
      </c>
      <c r="B878" s="3">
        <v>1</v>
      </c>
      <c r="C878" s="3">
        <v>1</v>
      </c>
      <c r="D878" s="3">
        <v>1</v>
      </c>
    </row>
    <row r="879" spans="1:4">
      <c r="A879" s="3">
        <v>3</v>
      </c>
      <c r="B879" s="3">
        <v>0</v>
      </c>
      <c r="C879" s="3">
        <v>2</v>
      </c>
      <c r="D879" s="3">
        <v>1</v>
      </c>
    </row>
    <row r="880" spans="1:4">
      <c r="A880" s="3">
        <v>2</v>
      </c>
      <c r="B880" s="3">
        <v>0</v>
      </c>
      <c r="C880" s="3">
        <v>1</v>
      </c>
      <c r="D880" s="3">
        <v>0</v>
      </c>
    </row>
    <row r="881" spans="1:4">
      <c r="A881" s="3">
        <v>1</v>
      </c>
      <c r="B881" s="3">
        <v>0</v>
      </c>
      <c r="C881" s="3">
        <v>1</v>
      </c>
      <c r="D881" s="3">
        <v>0</v>
      </c>
    </row>
    <row r="882" spans="1:4">
      <c r="A882" s="3">
        <v>3</v>
      </c>
      <c r="B882" s="3">
        <v>0</v>
      </c>
      <c r="C882" s="3">
        <v>1</v>
      </c>
      <c r="D882" s="3">
        <v>1</v>
      </c>
    </row>
    <row r="883" spans="1:4">
      <c r="A883" s="3">
        <v>2</v>
      </c>
      <c r="B883" s="3">
        <v>0</v>
      </c>
      <c r="C883" s="3">
        <v>2</v>
      </c>
      <c r="D883" s="3">
        <v>1</v>
      </c>
    </row>
    <row r="884" spans="1:4">
      <c r="A884" s="3">
        <v>3</v>
      </c>
      <c r="B884" s="3">
        <v>0</v>
      </c>
      <c r="C884" s="3">
        <v>2</v>
      </c>
      <c r="D884" s="3">
        <v>1</v>
      </c>
    </row>
    <row r="885" spans="1:4">
      <c r="A885" s="3">
        <v>3</v>
      </c>
      <c r="B885" s="3">
        <v>0</v>
      </c>
      <c r="C885" s="3">
        <v>1</v>
      </c>
      <c r="D885" s="3">
        <v>1</v>
      </c>
    </row>
    <row r="886" spans="1:4">
      <c r="A886" s="3">
        <v>1</v>
      </c>
      <c r="B886" s="3">
        <v>0</v>
      </c>
      <c r="C886" s="3">
        <v>1</v>
      </c>
      <c r="D886" s="3">
        <v>1</v>
      </c>
    </row>
    <row r="887" spans="1:4">
      <c r="A887" s="3">
        <v>1</v>
      </c>
      <c r="B887" s="3">
        <v>0</v>
      </c>
      <c r="C887" s="3">
        <v>1</v>
      </c>
      <c r="D887" s="3">
        <v>0</v>
      </c>
    </row>
    <row r="888" spans="1:4">
      <c r="A888" s="3">
        <v>2</v>
      </c>
      <c r="B888" s="3">
        <v>1</v>
      </c>
      <c r="C888" s="3">
        <v>2</v>
      </c>
      <c r="D888" s="3">
        <v>1</v>
      </c>
    </row>
    <row r="889" spans="1:4">
      <c r="A889" s="3">
        <v>3</v>
      </c>
      <c r="B889" s="3">
        <v>0</v>
      </c>
      <c r="C889" s="3">
        <v>2</v>
      </c>
      <c r="D889" s="3">
        <v>1</v>
      </c>
    </row>
    <row r="890" spans="1:4">
      <c r="A890" s="3">
        <v>1</v>
      </c>
      <c r="B890" s="3">
        <v>0</v>
      </c>
      <c r="C890" s="3">
        <v>1</v>
      </c>
      <c r="D890" s="3">
        <v>1</v>
      </c>
    </row>
    <row r="891" spans="1:4">
      <c r="A891" s="3">
        <v>2</v>
      </c>
      <c r="B891" s="3">
        <v>0</v>
      </c>
      <c r="C891" s="3">
        <v>1</v>
      </c>
      <c r="D891" s="3">
        <v>1</v>
      </c>
    </row>
    <row r="892" spans="1:4">
      <c r="A892" s="3">
        <v>2</v>
      </c>
      <c r="B892" s="3">
        <v>0</v>
      </c>
      <c r="C892" s="3">
        <v>1</v>
      </c>
      <c r="D892" s="3">
        <v>0</v>
      </c>
    </row>
    <row r="893" spans="1:4">
      <c r="A893" s="3">
        <v>1</v>
      </c>
      <c r="B893" s="3">
        <v>0</v>
      </c>
      <c r="C893" s="3">
        <v>2</v>
      </c>
      <c r="D893" s="3">
        <v>0</v>
      </c>
    </row>
    <row r="894" spans="1:4">
      <c r="A894" s="3">
        <v>3</v>
      </c>
      <c r="B894" s="3">
        <v>0</v>
      </c>
      <c r="C894" s="3">
        <v>2</v>
      </c>
      <c r="D894" s="3">
        <v>1</v>
      </c>
    </row>
    <row r="895" spans="1:4">
      <c r="A895" s="3">
        <v>1</v>
      </c>
      <c r="B895" s="3">
        <v>0</v>
      </c>
      <c r="C895" s="3">
        <v>1</v>
      </c>
      <c r="D895" s="3">
        <v>0</v>
      </c>
    </row>
    <row r="896" spans="1:4">
      <c r="A896" s="3">
        <v>1</v>
      </c>
      <c r="B896" s="3">
        <v>0</v>
      </c>
      <c r="C896" s="3">
        <v>2</v>
      </c>
      <c r="D896" s="3">
        <v>1</v>
      </c>
    </row>
    <row r="897" spans="1:4">
      <c r="A897" s="3">
        <v>3</v>
      </c>
      <c r="B897" s="3">
        <v>0</v>
      </c>
      <c r="C897" s="3">
        <v>2</v>
      </c>
      <c r="D897" s="3">
        <v>1</v>
      </c>
    </row>
    <row r="898" spans="1:4">
      <c r="A898" s="3">
        <v>1</v>
      </c>
      <c r="B898" s="3">
        <v>0</v>
      </c>
      <c r="C898" s="3">
        <v>2</v>
      </c>
      <c r="D898" s="3">
        <v>1</v>
      </c>
    </row>
    <row r="899" spans="1:4">
      <c r="A899" s="3">
        <v>1</v>
      </c>
      <c r="B899" s="3">
        <v>0</v>
      </c>
      <c r="C899" s="3">
        <v>1</v>
      </c>
      <c r="D899" s="3">
        <v>0</v>
      </c>
    </row>
    <row r="900" spans="1:4">
      <c r="A900" s="3">
        <v>1</v>
      </c>
      <c r="B900" s="3">
        <v>0</v>
      </c>
      <c r="C900" s="3">
        <v>2</v>
      </c>
      <c r="D900" s="3">
        <v>1</v>
      </c>
    </row>
    <row r="901" spans="1:4">
      <c r="A901" s="3">
        <v>3</v>
      </c>
      <c r="B901" s="3">
        <v>0</v>
      </c>
      <c r="C901" s="3">
        <v>1</v>
      </c>
      <c r="D901" s="3">
        <v>1</v>
      </c>
    </row>
    <row r="902" spans="1:4">
      <c r="A902" s="3">
        <v>3</v>
      </c>
      <c r="B902" s="3">
        <v>0</v>
      </c>
      <c r="C902" s="3">
        <v>2</v>
      </c>
      <c r="D902" s="3">
        <v>1</v>
      </c>
    </row>
    <row r="903" spans="1:4">
      <c r="A903" s="3">
        <v>3</v>
      </c>
      <c r="B903" s="3">
        <v>0</v>
      </c>
      <c r="C903" s="3">
        <v>2</v>
      </c>
      <c r="D903" s="3">
        <v>1</v>
      </c>
    </row>
    <row r="904" spans="1:4">
      <c r="A904" s="3">
        <v>2</v>
      </c>
      <c r="B904" s="3">
        <v>0</v>
      </c>
      <c r="C904" s="3">
        <v>1</v>
      </c>
      <c r="D904" s="3">
        <v>0</v>
      </c>
    </row>
    <row r="905" spans="1:4">
      <c r="A905" s="3">
        <v>1</v>
      </c>
      <c r="B905" s="3">
        <v>0</v>
      </c>
      <c r="C905" s="3">
        <v>2</v>
      </c>
      <c r="D905" s="3">
        <v>1</v>
      </c>
    </row>
    <row r="906" spans="1:4">
      <c r="A906" s="3">
        <v>3</v>
      </c>
      <c r="B906" s="3">
        <v>0</v>
      </c>
      <c r="C906" s="3">
        <v>2</v>
      </c>
      <c r="D906" s="3">
        <v>1</v>
      </c>
    </row>
    <row r="907" spans="1:4">
      <c r="A907" s="3">
        <v>3</v>
      </c>
      <c r="B907" s="3">
        <v>0</v>
      </c>
      <c r="C907" s="3">
        <v>2</v>
      </c>
      <c r="D907" s="3">
        <v>1</v>
      </c>
    </row>
    <row r="908" spans="1:4">
      <c r="A908" s="3">
        <v>1</v>
      </c>
      <c r="B908" s="3">
        <v>0</v>
      </c>
      <c r="C908" s="3">
        <v>1</v>
      </c>
      <c r="D908" s="3">
        <v>1</v>
      </c>
    </row>
    <row r="909" spans="1:4">
      <c r="A909" s="3">
        <v>2</v>
      </c>
      <c r="B909" s="3">
        <v>0</v>
      </c>
      <c r="C909" s="3">
        <v>1</v>
      </c>
      <c r="D909" s="3">
        <v>1</v>
      </c>
    </row>
    <row r="910" spans="1:4">
      <c r="A910" s="3">
        <v>1</v>
      </c>
      <c r="B910" s="3">
        <v>0</v>
      </c>
      <c r="C910" s="3">
        <v>1</v>
      </c>
      <c r="D910" s="3">
        <v>1</v>
      </c>
    </row>
    <row r="911" spans="1:4">
      <c r="A911" s="3">
        <v>3</v>
      </c>
      <c r="B911" s="3">
        <v>0</v>
      </c>
      <c r="C911" s="3">
        <v>1</v>
      </c>
      <c r="D911" s="3">
        <v>1</v>
      </c>
    </row>
    <row r="912" spans="1:4">
      <c r="A912" s="3">
        <v>2</v>
      </c>
      <c r="B912" s="3">
        <v>1</v>
      </c>
      <c r="C912" s="3">
        <v>1</v>
      </c>
      <c r="D912" s="3">
        <v>1</v>
      </c>
    </row>
    <row r="913" spans="1:4">
      <c r="A913" s="3">
        <v>3</v>
      </c>
      <c r="B913" s="3">
        <v>0</v>
      </c>
      <c r="C913" s="3">
        <v>2</v>
      </c>
      <c r="D913" s="3">
        <v>1</v>
      </c>
    </row>
    <row r="914" spans="1:4">
      <c r="A914" s="3">
        <v>2</v>
      </c>
      <c r="B914" s="3">
        <v>0</v>
      </c>
      <c r="C914" s="3">
        <v>2</v>
      </c>
      <c r="D914" s="3">
        <v>1</v>
      </c>
    </row>
    <row r="915" spans="1:4">
      <c r="A915" s="3">
        <v>3</v>
      </c>
      <c r="B915" s="3">
        <v>0</v>
      </c>
      <c r="C915" s="3">
        <v>1</v>
      </c>
      <c r="D915" s="3">
        <v>1</v>
      </c>
    </row>
    <row r="916" spans="1:4">
      <c r="A916" s="3">
        <v>1</v>
      </c>
      <c r="B916" s="3">
        <v>0</v>
      </c>
      <c r="C916" s="3">
        <v>1</v>
      </c>
      <c r="D916" s="3">
        <v>0</v>
      </c>
    </row>
    <row r="917" spans="1:4">
      <c r="A917" s="3">
        <v>1</v>
      </c>
      <c r="B917" s="3">
        <v>0</v>
      </c>
      <c r="C917" s="3">
        <v>2</v>
      </c>
      <c r="D917" s="3">
        <v>0</v>
      </c>
    </row>
    <row r="918" spans="1:4">
      <c r="A918" s="3">
        <v>1</v>
      </c>
      <c r="B918" s="3">
        <v>0</v>
      </c>
      <c r="C918" s="3">
        <v>1</v>
      </c>
      <c r="D918" s="3">
        <v>1</v>
      </c>
    </row>
    <row r="919" spans="1:4">
      <c r="A919" s="3">
        <v>3</v>
      </c>
      <c r="B919" s="3">
        <v>0</v>
      </c>
      <c r="C919" s="3">
        <v>1</v>
      </c>
      <c r="D919" s="3">
        <v>1</v>
      </c>
    </row>
    <row r="920" spans="1:4">
      <c r="A920" s="3">
        <v>3</v>
      </c>
      <c r="B920" s="3">
        <v>0</v>
      </c>
      <c r="C920" s="3">
        <v>2</v>
      </c>
      <c r="D920" s="3">
        <v>1</v>
      </c>
    </row>
    <row r="921" spans="1:4">
      <c r="A921" s="3">
        <v>3</v>
      </c>
      <c r="B921" s="3">
        <v>0</v>
      </c>
      <c r="C921" s="3">
        <v>1</v>
      </c>
      <c r="D921" s="3">
        <v>0</v>
      </c>
    </row>
    <row r="922" spans="1:4">
      <c r="A922" s="3">
        <v>1</v>
      </c>
      <c r="B922" s="3">
        <v>1</v>
      </c>
      <c r="C922" s="3">
        <v>1</v>
      </c>
      <c r="D922" s="3">
        <v>0</v>
      </c>
    </row>
    <row r="923" spans="1:4">
      <c r="A923" s="3">
        <v>2</v>
      </c>
      <c r="B923" s="3">
        <v>0</v>
      </c>
      <c r="C923" s="3">
        <v>1</v>
      </c>
      <c r="D923" s="3">
        <v>1</v>
      </c>
    </row>
    <row r="924" spans="1:4">
      <c r="A924" s="3">
        <v>3</v>
      </c>
      <c r="B924" s="3">
        <v>0</v>
      </c>
      <c r="C924" s="3">
        <v>2</v>
      </c>
      <c r="D924" s="3">
        <v>0</v>
      </c>
    </row>
    <row r="925" spans="1:4">
      <c r="A925" s="3">
        <v>1</v>
      </c>
      <c r="B925" s="3">
        <v>0</v>
      </c>
      <c r="C925" s="3">
        <v>1</v>
      </c>
      <c r="D925" s="3">
        <v>1</v>
      </c>
    </row>
    <row r="926" spans="1:4">
      <c r="A926" s="3">
        <v>1</v>
      </c>
      <c r="B926" s="3">
        <v>0</v>
      </c>
      <c r="C926" s="3">
        <v>2</v>
      </c>
      <c r="D926" s="3">
        <v>1</v>
      </c>
    </row>
    <row r="927" spans="1:4">
      <c r="A927" s="3">
        <v>2</v>
      </c>
      <c r="B927" s="3">
        <v>0</v>
      </c>
      <c r="C927" s="3">
        <v>1</v>
      </c>
      <c r="D927" s="3">
        <v>1</v>
      </c>
    </row>
    <row r="928" spans="1:4">
      <c r="A928" s="3">
        <v>2</v>
      </c>
      <c r="B928" s="3">
        <v>0</v>
      </c>
      <c r="C928" s="3">
        <v>1</v>
      </c>
      <c r="D928" s="3">
        <v>1</v>
      </c>
    </row>
    <row r="929" spans="1:4">
      <c r="A929" s="3">
        <v>1</v>
      </c>
      <c r="B929" s="3">
        <v>0</v>
      </c>
      <c r="C929" s="3">
        <v>2</v>
      </c>
      <c r="D929" s="3">
        <v>1</v>
      </c>
    </row>
    <row r="930" spans="1:4">
      <c r="A930" s="3">
        <v>3</v>
      </c>
      <c r="B930" s="3">
        <v>0</v>
      </c>
      <c r="C930" s="3">
        <v>2</v>
      </c>
      <c r="D930" s="3">
        <v>1</v>
      </c>
    </row>
    <row r="931" spans="1:4">
      <c r="A931" s="3">
        <v>3</v>
      </c>
      <c r="B931" s="3">
        <v>0</v>
      </c>
      <c r="C931" s="3">
        <v>1</v>
      </c>
      <c r="D931" s="3">
        <v>1</v>
      </c>
    </row>
    <row r="932" spans="1:4">
      <c r="A932" s="3">
        <v>1</v>
      </c>
      <c r="B932" s="3">
        <v>0</v>
      </c>
      <c r="C932" s="3">
        <v>2</v>
      </c>
      <c r="D932" s="3">
        <v>0</v>
      </c>
    </row>
    <row r="933" spans="1:4">
      <c r="A933" s="3">
        <v>1</v>
      </c>
      <c r="B933" s="3">
        <v>0</v>
      </c>
      <c r="C933" s="3">
        <v>2</v>
      </c>
      <c r="D933" s="3">
        <v>0</v>
      </c>
    </row>
    <row r="934" spans="1:4">
      <c r="A934" s="3">
        <v>2</v>
      </c>
      <c r="B934" s="3">
        <v>0</v>
      </c>
      <c r="C934" s="3">
        <v>1</v>
      </c>
      <c r="D934" s="3">
        <v>1</v>
      </c>
    </row>
    <row r="935" spans="1:4">
      <c r="A935" s="3">
        <v>1</v>
      </c>
      <c r="B935" s="3">
        <v>0</v>
      </c>
      <c r="C935" s="3">
        <v>2</v>
      </c>
      <c r="D935" s="3">
        <v>0</v>
      </c>
    </row>
    <row r="936" spans="1:4">
      <c r="A936" s="3">
        <v>3</v>
      </c>
      <c r="B936" s="3">
        <v>0</v>
      </c>
      <c r="C936" s="3">
        <v>2</v>
      </c>
      <c r="D936" s="3">
        <v>1</v>
      </c>
    </row>
    <row r="937" spans="1:4">
      <c r="A937" s="3">
        <v>3</v>
      </c>
      <c r="B937" s="3">
        <v>0</v>
      </c>
      <c r="C937" s="3">
        <v>2</v>
      </c>
      <c r="D937" s="3">
        <v>1</v>
      </c>
    </row>
    <row r="938" spans="1:4">
      <c r="A938" s="3">
        <v>2</v>
      </c>
      <c r="B938" s="3">
        <v>0</v>
      </c>
      <c r="C938" s="3">
        <v>1</v>
      </c>
      <c r="D938" s="3">
        <v>1</v>
      </c>
    </row>
    <row r="939" spans="1:4">
      <c r="A939" s="3">
        <v>2</v>
      </c>
      <c r="B939" s="3">
        <v>0</v>
      </c>
      <c r="C939" s="3">
        <v>1</v>
      </c>
      <c r="D939" s="3">
        <v>1</v>
      </c>
    </row>
    <row r="940" spans="1:4">
      <c r="A940" s="3">
        <v>3</v>
      </c>
      <c r="B940" s="3">
        <v>0</v>
      </c>
      <c r="C940" s="3">
        <v>2</v>
      </c>
      <c r="D940" s="3">
        <v>1</v>
      </c>
    </row>
    <row r="941" spans="1:4">
      <c r="A941" s="3">
        <v>3</v>
      </c>
      <c r="B941" s="3">
        <v>0</v>
      </c>
      <c r="C941" s="3">
        <v>1</v>
      </c>
      <c r="D941" s="3">
        <v>1</v>
      </c>
    </row>
    <row r="942" spans="1:4">
      <c r="A942" s="3">
        <v>3</v>
      </c>
      <c r="B942" s="3">
        <v>0</v>
      </c>
      <c r="C942" s="3">
        <v>2</v>
      </c>
      <c r="D942" s="3">
        <v>1</v>
      </c>
    </row>
    <row r="943" spans="1:4">
      <c r="A943" s="3">
        <v>3</v>
      </c>
      <c r="B943" s="3">
        <v>0</v>
      </c>
      <c r="C943" s="3">
        <v>2</v>
      </c>
      <c r="D943" s="3">
        <v>1</v>
      </c>
    </row>
    <row r="944" spans="1:4">
      <c r="A944" s="3">
        <v>3</v>
      </c>
      <c r="B944" s="3">
        <v>0</v>
      </c>
      <c r="C944" s="3">
        <v>1</v>
      </c>
      <c r="D944" s="3">
        <v>1</v>
      </c>
    </row>
    <row r="945" spans="1:4">
      <c r="A945" s="3">
        <v>1</v>
      </c>
      <c r="B945" s="3">
        <v>0</v>
      </c>
      <c r="C945" s="3">
        <v>2</v>
      </c>
      <c r="D945" s="3">
        <v>0</v>
      </c>
    </row>
    <row r="946" spans="1:4">
      <c r="A946" s="3">
        <v>1</v>
      </c>
      <c r="B946" s="3">
        <v>0</v>
      </c>
      <c r="C946" s="3">
        <v>2</v>
      </c>
      <c r="D946" s="3">
        <v>1</v>
      </c>
    </row>
    <row r="947" spans="1:4">
      <c r="A947" s="3">
        <v>2</v>
      </c>
      <c r="B947" s="3">
        <v>0</v>
      </c>
      <c r="C947" s="3">
        <v>2</v>
      </c>
      <c r="D947" s="3">
        <v>0</v>
      </c>
    </row>
    <row r="948" spans="1:4">
      <c r="A948" s="3">
        <v>1</v>
      </c>
      <c r="B948" s="3">
        <v>0</v>
      </c>
      <c r="C948" s="3">
        <v>2</v>
      </c>
      <c r="D948" s="3">
        <v>1</v>
      </c>
    </row>
    <row r="949" spans="1:4">
      <c r="A949" s="3">
        <v>1</v>
      </c>
      <c r="B949" s="3">
        <v>0</v>
      </c>
      <c r="C949" s="3">
        <v>2</v>
      </c>
      <c r="D949" s="3">
        <v>0</v>
      </c>
    </row>
    <row r="950" spans="1:4">
      <c r="A950" s="3">
        <v>1</v>
      </c>
      <c r="B950" s="3">
        <v>0</v>
      </c>
      <c r="C950" s="3">
        <v>2</v>
      </c>
      <c r="D950" s="3">
        <v>0</v>
      </c>
    </row>
    <row r="951" spans="1:4">
      <c r="A951" s="3">
        <v>3</v>
      </c>
      <c r="B951" s="3">
        <v>0</v>
      </c>
      <c r="C951" s="3">
        <v>1</v>
      </c>
      <c r="D951" s="3">
        <v>1</v>
      </c>
    </row>
    <row r="952" spans="1:4">
      <c r="A952" s="3">
        <v>1</v>
      </c>
      <c r="B952" s="3">
        <v>0</v>
      </c>
      <c r="C952" s="3">
        <v>2</v>
      </c>
      <c r="D952" s="3">
        <v>0</v>
      </c>
    </row>
    <row r="953" spans="1:4">
      <c r="A953" s="3">
        <v>1</v>
      </c>
      <c r="B953" s="3">
        <v>0</v>
      </c>
      <c r="C953" s="3">
        <v>1</v>
      </c>
      <c r="D953" s="3">
        <v>1</v>
      </c>
    </row>
    <row r="954" spans="1:4">
      <c r="A954" s="3">
        <v>2</v>
      </c>
      <c r="B954" s="3">
        <v>0</v>
      </c>
      <c r="C954" s="3">
        <v>2</v>
      </c>
      <c r="D954" s="3">
        <v>1</v>
      </c>
    </row>
    <row r="955" spans="1:4">
      <c r="A955" s="3">
        <v>2</v>
      </c>
      <c r="B955" s="3">
        <v>0</v>
      </c>
      <c r="C955" s="3">
        <v>2</v>
      </c>
      <c r="D955" s="3">
        <v>1</v>
      </c>
    </row>
    <row r="956" spans="1:4">
      <c r="A956" s="3">
        <v>1</v>
      </c>
      <c r="B956" s="3">
        <v>0</v>
      </c>
      <c r="C956" s="3">
        <v>1</v>
      </c>
      <c r="D956" s="3">
        <v>0</v>
      </c>
    </row>
    <row r="957" spans="1:4">
      <c r="A957" s="3">
        <v>2</v>
      </c>
      <c r="B957" s="3">
        <v>0</v>
      </c>
      <c r="C957" s="3">
        <v>1</v>
      </c>
      <c r="D957" s="3">
        <v>0</v>
      </c>
    </row>
    <row r="958" spans="1:4">
      <c r="A958" s="3">
        <v>2</v>
      </c>
      <c r="B958" s="3">
        <v>0</v>
      </c>
      <c r="C958" s="3">
        <v>1</v>
      </c>
      <c r="D958" s="3">
        <v>1</v>
      </c>
    </row>
    <row r="959" spans="1:4">
      <c r="A959" s="3">
        <v>2</v>
      </c>
      <c r="B959" s="3">
        <v>1</v>
      </c>
      <c r="C959" s="3">
        <v>2</v>
      </c>
      <c r="D959" s="3">
        <v>1</v>
      </c>
    </row>
    <row r="960" spans="1:4">
      <c r="A960" s="3">
        <v>3</v>
      </c>
      <c r="B960" s="3">
        <v>0</v>
      </c>
      <c r="C960" s="3">
        <v>2</v>
      </c>
      <c r="D960" s="3">
        <v>0</v>
      </c>
    </row>
    <row r="961" spans="1:4">
      <c r="A961" s="3">
        <v>3</v>
      </c>
      <c r="B961" s="3">
        <v>0</v>
      </c>
      <c r="C961" s="3">
        <v>1</v>
      </c>
      <c r="D961" s="3">
        <v>1</v>
      </c>
    </row>
    <row r="962" spans="1:4">
      <c r="A962" s="3">
        <v>1</v>
      </c>
      <c r="B962" s="3">
        <v>0</v>
      </c>
      <c r="C962" s="3">
        <v>1</v>
      </c>
      <c r="D962" s="3">
        <v>0</v>
      </c>
    </row>
    <row r="963" spans="1:4">
      <c r="A963" s="3">
        <v>3</v>
      </c>
      <c r="B963" s="3">
        <v>0</v>
      </c>
      <c r="C963" s="3">
        <v>2</v>
      </c>
      <c r="D963" s="3">
        <v>1</v>
      </c>
    </row>
    <row r="964" spans="1:4">
      <c r="A964" s="3">
        <v>3</v>
      </c>
      <c r="B964" s="3">
        <v>0</v>
      </c>
      <c r="C964" s="3">
        <v>1</v>
      </c>
      <c r="D964" s="3">
        <v>1</v>
      </c>
    </row>
    <row r="965" spans="1:4">
      <c r="A965" s="3">
        <v>1</v>
      </c>
      <c r="B965" s="3">
        <v>0</v>
      </c>
      <c r="C965" s="3">
        <v>1</v>
      </c>
      <c r="D965" s="3">
        <v>0</v>
      </c>
    </row>
    <row r="966" spans="1:4">
      <c r="A966" s="3">
        <v>2</v>
      </c>
      <c r="B966" s="3">
        <v>0</v>
      </c>
      <c r="C966" s="3">
        <v>2</v>
      </c>
      <c r="D966" s="3">
        <v>1</v>
      </c>
    </row>
    <row r="967" spans="1:4">
      <c r="A967" s="3">
        <v>2</v>
      </c>
      <c r="B967" s="3">
        <v>0</v>
      </c>
      <c r="C967" s="3">
        <v>1</v>
      </c>
      <c r="D967" s="3">
        <v>1</v>
      </c>
    </row>
    <row r="968" spans="1:4">
      <c r="A968" s="3">
        <v>1</v>
      </c>
      <c r="B968" s="3">
        <v>0</v>
      </c>
      <c r="C968" s="3">
        <v>2</v>
      </c>
      <c r="D968" s="3">
        <v>1</v>
      </c>
    </row>
    <row r="969" spans="1:4">
      <c r="A969" s="3">
        <v>3</v>
      </c>
      <c r="B969" s="3">
        <v>0</v>
      </c>
      <c r="C969" s="3">
        <v>1</v>
      </c>
      <c r="D969" s="3">
        <v>1</v>
      </c>
    </row>
    <row r="970" spans="1:4">
      <c r="A970" s="3">
        <v>1</v>
      </c>
      <c r="B970" s="3">
        <v>0</v>
      </c>
      <c r="C970" s="3">
        <v>1</v>
      </c>
      <c r="D970" s="3">
        <v>1</v>
      </c>
    </row>
    <row r="971" spans="1:4">
      <c r="A971" s="3">
        <v>2</v>
      </c>
      <c r="B971" s="3">
        <v>0</v>
      </c>
      <c r="C971" s="3">
        <v>2</v>
      </c>
      <c r="D971" s="3">
        <v>1</v>
      </c>
    </row>
    <row r="972" spans="1:4">
      <c r="A972" s="3">
        <v>2</v>
      </c>
      <c r="B972" s="3">
        <v>0</v>
      </c>
      <c r="C972" s="3">
        <v>1</v>
      </c>
      <c r="D972" s="3">
        <v>1</v>
      </c>
    </row>
    <row r="973" spans="1:4">
      <c r="A973" s="3">
        <v>1</v>
      </c>
      <c r="B973" s="3">
        <v>0</v>
      </c>
      <c r="C973" s="3">
        <v>1</v>
      </c>
      <c r="D973" s="3">
        <v>0</v>
      </c>
    </row>
    <row r="974" spans="1:4">
      <c r="A974" s="3">
        <v>2</v>
      </c>
      <c r="B974" s="3">
        <v>0</v>
      </c>
      <c r="C974" s="3">
        <v>1</v>
      </c>
      <c r="D974" s="3">
        <v>0</v>
      </c>
    </row>
    <row r="975" spans="1:4">
      <c r="A975" s="3">
        <v>2</v>
      </c>
      <c r="B975" s="3">
        <v>0</v>
      </c>
      <c r="C975" s="3">
        <v>2</v>
      </c>
      <c r="D975" s="3">
        <v>1</v>
      </c>
    </row>
    <row r="976" spans="1:4">
      <c r="A976" s="3">
        <v>2</v>
      </c>
      <c r="B976" s="3">
        <v>0</v>
      </c>
      <c r="C976" s="3">
        <v>1</v>
      </c>
      <c r="D976" s="3">
        <v>1</v>
      </c>
    </row>
    <row r="977" spans="1:4">
      <c r="A977" s="3">
        <v>3</v>
      </c>
      <c r="B977" s="3">
        <v>0</v>
      </c>
      <c r="C977" s="3">
        <v>1</v>
      </c>
      <c r="D977" s="3">
        <v>1</v>
      </c>
    </row>
    <row r="978" spans="1:4">
      <c r="A978" s="3">
        <v>1</v>
      </c>
      <c r="B978" s="3">
        <v>0</v>
      </c>
      <c r="C978" s="3">
        <v>1</v>
      </c>
      <c r="D978" s="3">
        <v>1</v>
      </c>
    </row>
    <row r="979" spans="1:4">
      <c r="A979" s="3">
        <v>2</v>
      </c>
      <c r="B979" s="3">
        <v>0</v>
      </c>
      <c r="C979" s="3">
        <v>1</v>
      </c>
      <c r="D979" s="3">
        <v>0</v>
      </c>
    </row>
    <row r="980" spans="1:4">
      <c r="A980" s="3">
        <v>3</v>
      </c>
      <c r="B980" s="3">
        <v>0</v>
      </c>
      <c r="C980" s="3">
        <v>1</v>
      </c>
      <c r="D980" s="3">
        <v>0</v>
      </c>
    </row>
    <row r="981" spans="1:4">
      <c r="A981" s="3">
        <v>1</v>
      </c>
      <c r="B981" s="3">
        <v>0</v>
      </c>
      <c r="C981" s="3">
        <v>1</v>
      </c>
      <c r="D981" s="3">
        <v>0</v>
      </c>
    </row>
    <row r="982" spans="1:4">
      <c r="A982" s="3">
        <v>1</v>
      </c>
      <c r="B982" s="3">
        <v>0</v>
      </c>
      <c r="C982" s="3">
        <v>2</v>
      </c>
      <c r="D982" s="3">
        <v>0</v>
      </c>
    </row>
    <row r="983" spans="1:4">
      <c r="A983" s="3">
        <v>3</v>
      </c>
      <c r="B983" s="3">
        <v>0</v>
      </c>
      <c r="C983" s="3">
        <v>1</v>
      </c>
      <c r="D983" s="3">
        <v>1</v>
      </c>
    </row>
    <row r="984" spans="1:4">
      <c r="A984" s="3">
        <v>1</v>
      </c>
      <c r="B984" s="3">
        <v>0</v>
      </c>
      <c r="C984" s="3">
        <v>1</v>
      </c>
      <c r="D984" s="3">
        <v>0</v>
      </c>
    </row>
    <row r="985" spans="1:4">
      <c r="A985" s="3">
        <v>1</v>
      </c>
      <c r="B985" s="3">
        <v>0</v>
      </c>
      <c r="C985" s="3">
        <v>2</v>
      </c>
      <c r="D985" s="3">
        <v>0</v>
      </c>
    </row>
    <row r="986" spans="1:4">
      <c r="A986" s="3">
        <v>1</v>
      </c>
      <c r="B986" s="3">
        <v>0</v>
      </c>
      <c r="C986" s="3">
        <v>1</v>
      </c>
      <c r="D986" s="3">
        <v>0</v>
      </c>
    </row>
    <row r="987" spans="1:4">
      <c r="A987" s="3">
        <v>1</v>
      </c>
      <c r="B987" s="3">
        <v>0</v>
      </c>
      <c r="C987" s="3">
        <v>2</v>
      </c>
      <c r="D987" s="3">
        <v>1</v>
      </c>
    </row>
    <row r="988" spans="1:4">
      <c r="A988" s="3">
        <v>2</v>
      </c>
      <c r="B988" s="3">
        <v>1</v>
      </c>
      <c r="C988" s="3">
        <v>2</v>
      </c>
      <c r="D988" s="3">
        <v>1</v>
      </c>
    </row>
    <row r="989" spans="1:4">
      <c r="A989" s="3">
        <v>2</v>
      </c>
      <c r="B989" s="3">
        <v>0</v>
      </c>
      <c r="C989" s="3">
        <v>1</v>
      </c>
      <c r="D989" s="3">
        <v>0</v>
      </c>
    </row>
    <row r="990" spans="1:4">
      <c r="A990" s="3">
        <v>2</v>
      </c>
      <c r="B990" s="3">
        <v>0</v>
      </c>
      <c r="C990" s="3">
        <v>1</v>
      </c>
      <c r="D990" s="3">
        <v>1</v>
      </c>
    </row>
    <row r="991" spans="1:4">
      <c r="A991" s="3">
        <v>2</v>
      </c>
      <c r="B991" s="3">
        <v>0</v>
      </c>
      <c r="C991" s="3">
        <v>1</v>
      </c>
      <c r="D991" s="3">
        <v>1</v>
      </c>
    </row>
    <row r="992" spans="1:4">
      <c r="A992" s="3">
        <v>1</v>
      </c>
      <c r="B992" s="3">
        <v>0</v>
      </c>
      <c r="C992" s="3">
        <v>2</v>
      </c>
      <c r="D992" s="3">
        <v>0</v>
      </c>
    </row>
    <row r="993" spans="1:4">
      <c r="A993" s="3">
        <v>3</v>
      </c>
      <c r="B993" s="3">
        <v>0</v>
      </c>
      <c r="C993" s="3">
        <v>1</v>
      </c>
      <c r="D993" s="3">
        <v>1</v>
      </c>
    </row>
    <row r="994" spans="1:4">
      <c r="A994" s="3">
        <v>3</v>
      </c>
      <c r="B994" s="3">
        <v>0</v>
      </c>
      <c r="C994" s="3">
        <v>1</v>
      </c>
      <c r="D994" s="3">
        <v>1</v>
      </c>
    </row>
    <row r="995" spans="1:4">
      <c r="A995" s="3">
        <v>1</v>
      </c>
      <c r="B995" s="3">
        <v>0</v>
      </c>
      <c r="C995" s="3">
        <v>2</v>
      </c>
      <c r="D995" s="3">
        <v>0</v>
      </c>
    </row>
    <row r="996" spans="1:4">
      <c r="A996" s="3">
        <v>1</v>
      </c>
      <c r="B996" s="3">
        <v>0</v>
      </c>
      <c r="C996" s="3">
        <v>1</v>
      </c>
      <c r="D996" s="3">
        <v>0</v>
      </c>
    </row>
    <row r="997" spans="1:4">
      <c r="A997" s="3">
        <v>1</v>
      </c>
      <c r="B997" s="3">
        <v>0</v>
      </c>
      <c r="C997" s="3">
        <v>1</v>
      </c>
      <c r="D997" s="3">
        <v>1</v>
      </c>
    </row>
    <row r="998" spans="1:4">
      <c r="A998" s="3">
        <v>1</v>
      </c>
      <c r="B998" s="3">
        <v>0</v>
      </c>
      <c r="C998" s="3">
        <v>2</v>
      </c>
      <c r="D998" s="3">
        <v>1</v>
      </c>
    </row>
    <row r="999" spans="1:4">
      <c r="A999" s="3">
        <v>3</v>
      </c>
      <c r="B999" s="3">
        <v>0</v>
      </c>
      <c r="C999" s="3">
        <v>1</v>
      </c>
      <c r="D999" s="3">
        <v>1</v>
      </c>
    </row>
    <row r="1000" spans="1:4">
      <c r="A1000" s="3">
        <v>1</v>
      </c>
      <c r="B1000" s="3">
        <v>0</v>
      </c>
      <c r="C1000" s="3">
        <v>1</v>
      </c>
      <c r="D1000" s="3">
        <v>0</v>
      </c>
    </row>
    <row r="1001" spans="1:4">
      <c r="A1001" s="3">
        <v>2</v>
      </c>
      <c r="B1001" s="3">
        <v>0</v>
      </c>
      <c r="C1001" s="3">
        <v>2</v>
      </c>
      <c r="D1001" s="3">
        <v>1</v>
      </c>
    </row>
    <row r="1002" spans="1:4">
      <c r="A1002" s="3">
        <v>2</v>
      </c>
      <c r="B1002" s="3">
        <v>0</v>
      </c>
      <c r="C1002" s="3">
        <v>2</v>
      </c>
      <c r="D1002" s="3">
        <v>0</v>
      </c>
    </row>
    <row r="1003" spans="1:4">
      <c r="A1003" s="3">
        <v>3</v>
      </c>
      <c r="B1003" s="3">
        <v>0</v>
      </c>
      <c r="C1003" s="3">
        <v>2</v>
      </c>
      <c r="D1003" s="3">
        <v>1</v>
      </c>
    </row>
    <row r="1004" spans="1:4">
      <c r="A1004" s="3">
        <v>3</v>
      </c>
      <c r="B1004" s="3">
        <v>0</v>
      </c>
      <c r="C1004" s="3">
        <v>1</v>
      </c>
      <c r="D1004" s="3">
        <v>1</v>
      </c>
    </row>
    <row r="1005" spans="1:4">
      <c r="A1005" s="3">
        <v>2</v>
      </c>
      <c r="B1005" s="3">
        <v>0</v>
      </c>
      <c r="C1005" s="3">
        <v>2</v>
      </c>
      <c r="D1005" s="3">
        <v>1</v>
      </c>
    </row>
    <row r="1006" spans="1:4">
      <c r="A1006" s="3">
        <v>1</v>
      </c>
      <c r="B1006" s="3">
        <v>0</v>
      </c>
      <c r="C1006" s="3">
        <v>2</v>
      </c>
      <c r="D1006" s="3">
        <v>1</v>
      </c>
    </row>
    <row r="1007" spans="1:4">
      <c r="A1007" s="3">
        <v>2</v>
      </c>
      <c r="B1007" s="3">
        <v>0</v>
      </c>
      <c r="C1007" s="3">
        <v>1</v>
      </c>
      <c r="D1007" s="3">
        <v>0</v>
      </c>
    </row>
    <row r="1008" spans="1:4">
      <c r="A1008" s="3">
        <v>2</v>
      </c>
      <c r="B1008" s="3">
        <v>0</v>
      </c>
      <c r="C1008" s="3">
        <v>2</v>
      </c>
      <c r="D1008" s="3">
        <v>1</v>
      </c>
    </row>
    <row r="1009" spans="1:4">
      <c r="A1009" s="3">
        <v>3</v>
      </c>
      <c r="B1009" s="3">
        <v>0</v>
      </c>
      <c r="C1009" s="3">
        <v>2</v>
      </c>
      <c r="D1009" s="3">
        <v>0</v>
      </c>
    </row>
    <row r="1010" spans="1:4">
      <c r="A1010" s="3">
        <v>1</v>
      </c>
      <c r="B1010" s="3">
        <v>0</v>
      </c>
      <c r="C1010" s="3">
        <v>2</v>
      </c>
      <c r="D1010" s="3">
        <v>1</v>
      </c>
    </row>
    <row r="1011" spans="1:4">
      <c r="A1011" s="3">
        <v>2</v>
      </c>
      <c r="B1011" s="3">
        <v>0</v>
      </c>
      <c r="C1011" s="3">
        <v>2</v>
      </c>
      <c r="D1011" s="3">
        <v>1</v>
      </c>
    </row>
    <row r="1012" spans="1:4">
      <c r="A1012" s="3">
        <v>2</v>
      </c>
      <c r="B1012" s="3">
        <v>0</v>
      </c>
      <c r="C1012" s="3">
        <v>1</v>
      </c>
      <c r="D1012" s="3">
        <v>1</v>
      </c>
    </row>
    <row r="1013" spans="1:4">
      <c r="A1013" s="3">
        <v>2</v>
      </c>
      <c r="B1013" s="3">
        <v>0</v>
      </c>
      <c r="C1013" s="3">
        <v>1</v>
      </c>
      <c r="D1013" s="3">
        <v>1</v>
      </c>
    </row>
    <row r="1014" spans="1:4">
      <c r="A1014" s="3">
        <v>3</v>
      </c>
      <c r="B1014" s="3">
        <v>0</v>
      </c>
      <c r="C1014" s="3">
        <v>1</v>
      </c>
      <c r="D1014" s="3">
        <v>0</v>
      </c>
    </row>
    <row r="1015" spans="1:4">
      <c r="A1015" s="3">
        <v>3</v>
      </c>
      <c r="B1015" s="3">
        <v>0</v>
      </c>
      <c r="C1015" s="3">
        <v>1</v>
      </c>
      <c r="D1015" s="3">
        <v>1</v>
      </c>
    </row>
    <row r="1016" spans="1:4">
      <c r="A1016" s="3">
        <v>3</v>
      </c>
      <c r="B1016" s="3">
        <v>0</v>
      </c>
      <c r="C1016" s="3">
        <v>1</v>
      </c>
      <c r="D1016" s="3">
        <v>1</v>
      </c>
    </row>
    <row r="1017" spans="1:4">
      <c r="A1017" s="3">
        <v>3</v>
      </c>
      <c r="B1017" s="3">
        <v>0</v>
      </c>
      <c r="C1017" s="3">
        <v>1</v>
      </c>
      <c r="D1017" s="3">
        <v>1</v>
      </c>
    </row>
    <row r="1018" spans="1:4">
      <c r="A1018" s="3">
        <v>3</v>
      </c>
      <c r="B1018" s="3">
        <v>0</v>
      </c>
      <c r="C1018" s="3">
        <v>2</v>
      </c>
      <c r="D1018" s="3">
        <v>1</v>
      </c>
    </row>
    <row r="1019" spans="1:4">
      <c r="A1019" s="3">
        <v>1</v>
      </c>
      <c r="B1019" s="3">
        <v>0</v>
      </c>
      <c r="C1019" s="3">
        <v>2</v>
      </c>
      <c r="D1019" s="3">
        <v>0</v>
      </c>
    </row>
    <row r="1020" spans="1:4">
      <c r="A1020" s="3">
        <v>1</v>
      </c>
      <c r="B1020" s="3">
        <v>0</v>
      </c>
      <c r="C1020" s="3">
        <v>2</v>
      </c>
      <c r="D1020" s="3">
        <v>0</v>
      </c>
    </row>
    <row r="1021" spans="1:4">
      <c r="A1021" s="3">
        <v>1</v>
      </c>
      <c r="B1021" s="3">
        <v>0</v>
      </c>
      <c r="C1021" s="3">
        <v>1</v>
      </c>
      <c r="D1021" s="3">
        <v>0</v>
      </c>
    </row>
    <row r="1022" spans="1:4">
      <c r="A1022" s="3">
        <v>1</v>
      </c>
      <c r="B1022" s="3">
        <v>0</v>
      </c>
      <c r="C1022" s="3">
        <v>2</v>
      </c>
      <c r="D1022" s="3">
        <v>0</v>
      </c>
    </row>
    <row r="1023" spans="1:4">
      <c r="A1023" s="3">
        <v>3</v>
      </c>
      <c r="B1023" s="3">
        <v>0</v>
      </c>
      <c r="C1023" s="3">
        <v>2</v>
      </c>
      <c r="D1023" s="3">
        <v>1</v>
      </c>
    </row>
    <row r="1024" spans="1:4">
      <c r="A1024" s="3">
        <v>2</v>
      </c>
      <c r="B1024" s="3">
        <v>0</v>
      </c>
      <c r="C1024" s="3">
        <v>1</v>
      </c>
      <c r="D1024" s="3">
        <v>1</v>
      </c>
    </row>
    <row r="1025" spans="1:4">
      <c r="A1025" s="3">
        <v>3</v>
      </c>
      <c r="B1025" s="3">
        <v>0</v>
      </c>
      <c r="C1025" s="3">
        <v>1</v>
      </c>
      <c r="D1025" s="3">
        <v>0</v>
      </c>
    </row>
    <row r="1026" spans="1:4">
      <c r="A1026" s="3">
        <v>2</v>
      </c>
      <c r="B1026" s="3">
        <v>0</v>
      </c>
      <c r="C1026" s="3">
        <v>2</v>
      </c>
      <c r="D1026" s="3">
        <v>1</v>
      </c>
    </row>
    <row r="1027" spans="1:4">
      <c r="A1027" s="3">
        <v>1</v>
      </c>
      <c r="B1027" s="3">
        <v>0</v>
      </c>
      <c r="C1027" s="3">
        <v>2</v>
      </c>
      <c r="D1027" s="3">
        <v>0</v>
      </c>
    </row>
    <row r="1028" spans="1:4">
      <c r="A1028" s="3">
        <v>1</v>
      </c>
      <c r="B1028" s="3">
        <v>0</v>
      </c>
      <c r="C1028" s="3">
        <v>1</v>
      </c>
      <c r="D1028" s="3">
        <v>0</v>
      </c>
    </row>
    <row r="1029" spans="1:4">
      <c r="A1029" s="3">
        <v>1</v>
      </c>
      <c r="B1029" s="3">
        <v>0</v>
      </c>
      <c r="C1029" s="3">
        <v>1</v>
      </c>
      <c r="D1029" s="3">
        <v>1</v>
      </c>
    </row>
    <row r="1030" spans="1:4">
      <c r="A1030" s="3">
        <v>2</v>
      </c>
      <c r="B1030" s="3">
        <v>0</v>
      </c>
      <c r="C1030" s="3">
        <v>1</v>
      </c>
      <c r="D1030" s="3">
        <v>1</v>
      </c>
    </row>
    <row r="1031" spans="1:4">
      <c r="A1031" s="3">
        <v>2</v>
      </c>
      <c r="B1031" s="3">
        <v>0</v>
      </c>
      <c r="C1031" s="3">
        <v>1</v>
      </c>
      <c r="D1031" s="3">
        <v>1</v>
      </c>
    </row>
    <row r="1032" spans="1:4">
      <c r="A1032" s="3">
        <v>3</v>
      </c>
      <c r="B1032" s="3">
        <v>0</v>
      </c>
      <c r="C1032" s="3">
        <v>2</v>
      </c>
      <c r="D1032" s="3">
        <v>1</v>
      </c>
    </row>
    <row r="1033" spans="1:4">
      <c r="A1033" s="3">
        <v>2</v>
      </c>
      <c r="B1033" s="3">
        <v>0</v>
      </c>
      <c r="C1033" s="3">
        <v>1</v>
      </c>
      <c r="D1033" s="3">
        <v>1</v>
      </c>
    </row>
    <row r="1034" spans="1:4">
      <c r="A1034" s="3">
        <v>2</v>
      </c>
      <c r="B1034" s="3">
        <v>1</v>
      </c>
      <c r="C1034" s="3">
        <v>1</v>
      </c>
      <c r="D1034" s="3">
        <v>0</v>
      </c>
    </row>
    <row r="1035" spans="1:4">
      <c r="A1035" s="3">
        <v>1</v>
      </c>
      <c r="B1035" s="3">
        <v>0</v>
      </c>
      <c r="C1035" s="3">
        <v>1</v>
      </c>
      <c r="D1035" s="3">
        <v>1</v>
      </c>
    </row>
    <row r="1036" spans="1:4">
      <c r="A1036" s="3">
        <v>3</v>
      </c>
      <c r="B1036" s="3">
        <v>0</v>
      </c>
      <c r="C1036" s="3">
        <v>1</v>
      </c>
      <c r="D1036" s="3">
        <v>1</v>
      </c>
    </row>
    <row r="1037" spans="1:4">
      <c r="A1037" s="3">
        <v>1</v>
      </c>
      <c r="B1037" s="3">
        <v>0</v>
      </c>
      <c r="C1037" s="3">
        <v>1</v>
      </c>
      <c r="D1037" s="3">
        <v>1</v>
      </c>
    </row>
    <row r="1038" spans="1:4">
      <c r="A1038" s="3">
        <v>3</v>
      </c>
      <c r="B1038" s="3">
        <v>0</v>
      </c>
      <c r="C1038" s="3">
        <v>2</v>
      </c>
      <c r="D1038" s="3">
        <v>1</v>
      </c>
    </row>
    <row r="1039" spans="1:4">
      <c r="A1039" s="3">
        <v>2</v>
      </c>
      <c r="B1039" s="3">
        <v>0</v>
      </c>
      <c r="C1039" s="3">
        <v>1</v>
      </c>
      <c r="D1039" s="3">
        <v>0</v>
      </c>
    </row>
    <row r="1040" spans="1:4">
      <c r="A1040" s="3">
        <v>2</v>
      </c>
      <c r="B1040" s="3">
        <v>0</v>
      </c>
      <c r="C1040" s="3">
        <v>1</v>
      </c>
      <c r="D1040" s="3">
        <v>1</v>
      </c>
    </row>
    <row r="1041" spans="1:4">
      <c r="A1041" s="3">
        <v>3</v>
      </c>
      <c r="B1041" s="3">
        <v>0</v>
      </c>
      <c r="C1041" s="3">
        <v>2</v>
      </c>
      <c r="D1041" s="3">
        <v>1</v>
      </c>
    </row>
    <row r="1042" spans="1:4">
      <c r="A1042" s="3">
        <v>3</v>
      </c>
      <c r="B1042" s="3">
        <v>0</v>
      </c>
      <c r="C1042" s="3">
        <v>2</v>
      </c>
      <c r="D1042" s="3">
        <v>1</v>
      </c>
    </row>
    <row r="1043" spans="1:4">
      <c r="A1043" s="3">
        <v>1</v>
      </c>
      <c r="B1043" s="3">
        <v>0</v>
      </c>
      <c r="C1043" s="3">
        <v>1</v>
      </c>
      <c r="D1043" s="3">
        <v>1</v>
      </c>
    </row>
    <row r="1044" spans="1:4">
      <c r="A1044" s="3">
        <v>3</v>
      </c>
      <c r="B1044" s="3">
        <v>0</v>
      </c>
      <c r="C1044" s="3">
        <v>1</v>
      </c>
      <c r="D1044" s="3">
        <v>1</v>
      </c>
    </row>
    <row r="1045" spans="1:4">
      <c r="A1045" s="3">
        <v>2</v>
      </c>
      <c r="B1045" s="3">
        <v>0</v>
      </c>
      <c r="C1045" s="3">
        <v>2</v>
      </c>
      <c r="D1045" s="3">
        <v>1</v>
      </c>
    </row>
    <row r="1046" spans="1:4">
      <c r="A1046" s="3">
        <v>3</v>
      </c>
      <c r="B1046" s="3">
        <v>0</v>
      </c>
      <c r="C1046" s="3">
        <v>1</v>
      </c>
      <c r="D1046" s="3">
        <v>0</v>
      </c>
    </row>
    <row r="1047" spans="1:4">
      <c r="A1047" s="3">
        <v>2</v>
      </c>
      <c r="B1047" s="3">
        <v>0</v>
      </c>
      <c r="C1047" s="3">
        <v>1</v>
      </c>
      <c r="D1047" s="3">
        <v>1</v>
      </c>
    </row>
    <row r="1048" spans="1:4">
      <c r="A1048" s="3">
        <v>1</v>
      </c>
      <c r="B1048" s="3">
        <v>0</v>
      </c>
      <c r="C1048" s="3">
        <v>1</v>
      </c>
      <c r="D1048" s="3">
        <v>1</v>
      </c>
    </row>
    <row r="1049" spans="1:4">
      <c r="A1049" s="3">
        <v>3</v>
      </c>
      <c r="B1049" s="3">
        <v>0</v>
      </c>
      <c r="C1049" s="3">
        <v>1</v>
      </c>
      <c r="D1049" s="3">
        <v>1</v>
      </c>
    </row>
    <row r="1050" spans="1:4">
      <c r="A1050" s="3">
        <v>1</v>
      </c>
      <c r="B1050" s="3">
        <v>0</v>
      </c>
      <c r="C1050" s="3">
        <v>1</v>
      </c>
      <c r="D1050" s="3">
        <v>1</v>
      </c>
    </row>
    <row r="1051" spans="1:4">
      <c r="A1051" s="3">
        <v>2</v>
      </c>
      <c r="B1051" s="3">
        <v>0</v>
      </c>
      <c r="C1051" s="3">
        <v>2</v>
      </c>
      <c r="D1051" s="3">
        <v>1</v>
      </c>
    </row>
    <row r="1052" spans="1:4">
      <c r="A1052" s="3">
        <v>3</v>
      </c>
      <c r="B1052" s="3">
        <v>0</v>
      </c>
      <c r="C1052" s="3">
        <v>2</v>
      </c>
      <c r="D1052" s="3">
        <v>1</v>
      </c>
    </row>
    <row r="1053" spans="1:4">
      <c r="A1053" s="3">
        <v>2</v>
      </c>
      <c r="B1053" s="3">
        <v>0</v>
      </c>
      <c r="C1053" s="3">
        <v>1</v>
      </c>
      <c r="D1053" s="3">
        <v>1</v>
      </c>
    </row>
    <row r="1054" spans="1:4">
      <c r="A1054" s="3">
        <v>2</v>
      </c>
      <c r="B1054" s="3">
        <v>0</v>
      </c>
      <c r="C1054" s="3">
        <v>1</v>
      </c>
      <c r="D1054" s="3">
        <v>1</v>
      </c>
    </row>
    <row r="1055" spans="1:4">
      <c r="A1055" s="3">
        <v>3</v>
      </c>
      <c r="B1055" s="3">
        <v>0</v>
      </c>
      <c r="C1055" s="3">
        <v>1</v>
      </c>
      <c r="D1055" s="3">
        <v>1</v>
      </c>
    </row>
    <row r="1056" spans="1:4">
      <c r="A1056" s="3">
        <v>1</v>
      </c>
      <c r="B1056" s="3">
        <v>0</v>
      </c>
      <c r="C1056" s="3">
        <v>1</v>
      </c>
      <c r="D1056" s="3">
        <v>0</v>
      </c>
    </row>
    <row r="1057" spans="1:4">
      <c r="A1057" s="3">
        <v>3</v>
      </c>
      <c r="B1057" s="3">
        <v>0</v>
      </c>
      <c r="C1057" s="3">
        <v>2</v>
      </c>
      <c r="D1057" s="3">
        <v>1</v>
      </c>
    </row>
    <row r="1058" spans="1:4">
      <c r="A1058" s="3">
        <v>1</v>
      </c>
      <c r="B1058" s="3">
        <v>0</v>
      </c>
      <c r="C1058" s="3">
        <v>1</v>
      </c>
      <c r="D1058" s="3">
        <v>1</v>
      </c>
    </row>
    <row r="1059" spans="1:4">
      <c r="A1059" s="3">
        <v>1</v>
      </c>
      <c r="B1059" s="3">
        <v>0</v>
      </c>
      <c r="C1059" s="3">
        <v>2</v>
      </c>
      <c r="D1059" s="3">
        <v>0</v>
      </c>
    </row>
    <row r="1060" spans="1:4">
      <c r="A1060" s="3">
        <v>2</v>
      </c>
      <c r="B1060" s="3">
        <v>0</v>
      </c>
      <c r="C1060" s="3">
        <v>1</v>
      </c>
      <c r="D1060" s="3">
        <v>1</v>
      </c>
    </row>
    <row r="1061" spans="1:4">
      <c r="A1061" s="3">
        <v>1</v>
      </c>
      <c r="B1061" s="3">
        <v>0</v>
      </c>
      <c r="C1061" s="3">
        <v>1</v>
      </c>
      <c r="D1061" s="3">
        <v>0</v>
      </c>
    </row>
    <row r="1062" spans="1:4">
      <c r="A1062" s="3">
        <v>2</v>
      </c>
      <c r="B1062" s="3">
        <v>0</v>
      </c>
      <c r="C1062" s="3">
        <v>1</v>
      </c>
      <c r="D1062" s="3">
        <v>1</v>
      </c>
    </row>
    <row r="1063" spans="1:4">
      <c r="A1063" s="3">
        <v>3</v>
      </c>
      <c r="B1063" s="3">
        <v>0</v>
      </c>
      <c r="C1063" s="3">
        <v>2</v>
      </c>
      <c r="D1063" s="3">
        <v>1</v>
      </c>
    </row>
    <row r="1064" spans="1:4">
      <c r="A1064" s="3">
        <v>1</v>
      </c>
      <c r="B1064" s="3">
        <v>0</v>
      </c>
      <c r="C1064" s="3">
        <v>2</v>
      </c>
      <c r="D1064" s="3">
        <v>1</v>
      </c>
    </row>
    <row r="1065" spans="1:4">
      <c r="A1065" s="3">
        <v>3</v>
      </c>
      <c r="B1065" s="3">
        <v>0</v>
      </c>
      <c r="C1065" s="3">
        <v>2</v>
      </c>
      <c r="D1065" s="3">
        <v>1</v>
      </c>
    </row>
    <row r="1066" spans="1:4">
      <c r="A1066" s="3">
        <v>3</v>
      </c>
      <c r="B1066" s="3">
        <v>0</v>
      </c>
      <c r="C1066" s="3">
        <v>2</v>
      </c>
      <c r="D1066" s="3">
        <v>0</v>
      </c>
    </row>
    <row r="1067" spans="1:4">
      <c r="A1067" s="3">
        <v>3</v>
      </c>
      <c r="B1067" s="3">
        <v>0</v>
      </c>
      <c r="C1067" s="3">
        <v>2</v>
      </c>
      <c r="D1067" s="3">
        <v>1</v>
      </c>
    </row>
    <row r="1068" spans="1:4">
      <c r="A1068" s="3">
        <v>1</v>
      </c>
      <c r="B1068" s="3">
        <v>0</v>
      </c>
      <c r="C1068" s="3">
        <v>1</v>
      </c>
      <c r="D1068" s="3">
        <v>1</v>
      </c>
    </row>
    <row r="1069" spans="1:4">
      <c r="A1069" s="3">
        <v>2</v>
      </c>
      <c r="B1069" s="3">
        <v>0</v>
      </c>
      <c r="C1069" s="3">
        <v>1</v>
      </c>
      <c r="D1069" s="3">
        <v>1</v>
      </c>
    </row>
    <row r="1070" spans="1:4">
      <c r="A1070" s="3">
        <v>3</v>
      </c>
      <c r="B1070" s="3">
        <v>0</v>
      </c>
      <c r="C1070" s="3">
        <v>2</v>
      </c>
      <c r="D1070" s="3">
        <v>0</v>
      </c>
    </row>
    <row r="1071" spans="1:4">
      <c r="A1071" s="3">
        <v>1</v>
      </c>
      <c r="B1071" s="3">
        <v>0</v>
      </c>
      <c r="C1071" s="3">
        <v>1</v>
      </c>
      <c r="D1071" s="3">
        <v>0</v>
      </c>
    </row>
    <row r="1072" spans="1:4">
      <c r="A1072" s="3">
        <v>1</v>
      </c>
      <c r="B1072" s="3">
        <v>0</v>
      </c>
      <c r="C1072" s="3">
        <v>1</v>
      </c>
      <c r="D1072" s="3">
        <v>0</v>
      </c>
    </row>
    <row r="1073" spans="1:4">
      <c r="A1073" s="3">
        <v>1</v>
      </c>
      <c r="B1073" s="3">
        <v>0</v>
      </c>
      <c r="C1073" s="3">
        <v>1</v>
      </c>
      <c r="D1073" s="3">
        <v>1</v>
      </c>
    </row>
    <row r="1074" spans="1:4">
      <c r="A1074" s="3">
        <v>3</v>
      </c>
      <c r="B1074" s="3">
        <v>0</v>
      </c>
      <c r="C1074" s="3">
        <v>2</v>
      </c>
      <c r="D1074" s="3">
        <v>1</v>
      </c>
    </row>
    <row r="1075" spans="1:4">
      <c r="A1075" s="3">
        <v>2</v>
      </c>
      <c r="B1075" s="3">
        <v>0</v>
      </c>
      <c r="C1075" s="3">
        <v>2</v>
      </c>
      <c r="D1075" s="3">
        <v>1</v>
      </c>
    </row>
    <row r="1076" spans="1:4">
      <c r="A1076" s="3">
        <v>2</v>
      </c>
      <c r="B1076" s="3">
        <v>0</v>
      </c>
      <c r="C1076" s="3">
        <v>1</v>
      </c>
      <c r="D1076" s="3">
        <v>1</v>
      </c>
    </row>
    <row r="1077" spans="1:4">
      <c r="A1077" s="3">
        <v>3</v>
      </c>
      <c r="B1077" s="3">
        <v>0</v>
      </c>
      <c r="C1077" s="3">
        <v>2</v>
      </c>
      <c r="D1077" s="3">
        <v>1</v>
      </c>
    </row>
    <row r="1078" spans="1:4">
      <c r="A1078" s="3">
        <v>3</v>
      </c>
      <c r="B1078" s="3">
        <v>0</v>
      </c>
      <c r="C1078" s="3">
        <v>2</v>
      </c>
      <c r="D1078" s="3">
        <v>1</v>
      </c>
    </row>
    <row r="1079" spans="1:4">
      <c r="A1079" s="3">
        <v>3</v>
      </c>
      <c r="B1079" s="3">
        <v>0</v>
      </c>
      <c r="C1079" s="3">
        <v>2</v>
      </c>
      <c r="D1079" s="3">
        <v>0</v>
      </c>
    </row>
    <row r="1080" spans="1:4">
      <c r="A1080" s="3">
        <v>3</v>
      </c>
      <c r="B1080" s="3">
        <v>0</v>
      </c>
      <c r="C1080" s="3">
        <v>2</v>
      </c>
      <c r="D1080" s="3">
        <v>1</v>
      </c>
    </row>
    <row r="1081" spans="1:4">
      <c r="A1081" s="3">
        <v>2</v>
      </c>
      <c r="B1081" s="3">
        <v>0</v>
      </c>
      <c r="C1081" s="3">
        <v>1</v>
      </c>
      <c r="D1081" s="3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DD04-B35E-49EA-98FF-249519A1C126}">
  <dimension ref="A1:O1081"/>
  <sheetViews>
    <sheetView workbookViewId="0">
      <selection activeCell="N17" sqref="N17"/>
    </sheetView>
  </sheetViews>
  <sheetFormatPr defaultRowHeight="14.4"/>
  <cols>
    <col min="1" max="3" width="11.5546875" customWidth="1"/>
    <col min="12" max="12" width="12.21875" bestFit="1" customWidth="1"/>
    <col min="14" max="14" width="10.77734375" customWidth="1"/>
    <col min="15" max="15" width="10.6640625" customWidth="1"/>
  </cols>
  <sheetData>
    <row r="1" spans="1:15">
      <c r="A1" t="s">
        <v>3</v>
      </c>
      <c r="B1" t="s">
        <v>4</v>
      </c>
      <c r="C1" t="s">
        <v>5</v>
      </c>
      <c r="D1" t="s">
        <v>17</v>
      </c>
      <c r="E1" t="s">
        <v>18</v>
      </c>
    </row>
    <row r="2" spans="1:15">
      <c r="A2" s="1">
        <v>38345</v>
      </c>
      <c r="B2" s="1">
        <v>39082</v>
      </c>
      <c r="C2" s="2">
        <f>(B2-A2)/365.25</f>
        <v>2.0177960301163584</v>
      </c>
      <c r="D2" s="3">
        <v>54.8</v>
      </c>
      <c r="E2" s="2">
        <v>4.3</v>
      </c>
    </row>
    <row r="3" spans="1:15">
      <c r="A3" s="1">
        <v>38311</v>
      </c>
      <c r="B3" s="1">
        <v>39082</v>
      </c>
      <c r="C3" s="2">
        <f t="shared" ref="C3:C66" si="0">(B3-A3)/365.25</f>
        <v>2.1108829568788501</v>
      </c>
      <c r="D3" s="3">
        <v>60.6</v>
      </c>
      <c r="E3" s="2">
        <v>5.7</v>
      </c>
    </row>
    <row r="4" spans="1:15">
      <c r="A4" s="1">
        <v>38118</v>
      </c>
      <c r="B4" s="1">
        <v>39082</v>
      </c>
      <c r="C4" s="2">
        <f t="shared" si="0"/>
        <v>2.6392881587953458</v>
      </c>
      <c r="D4" s="3">
        <v>65</v>
      </c>
      <c r="E4" s="2">
        <v>6.5</v>
      </c>
    </row>
    <row r="5" spans="1:15">
      <c r="A5" s="1">
        <v>38196</v>
      </c>
      <c r="B5" s="1">
        <v>39082</v>
      </c>
      <c r="C5" s="2">
        <f t="shared" si="0"/>
        <v>2.4257357973990419</v>
      </c>
      <c r="D5" s="3">
        <v>65.599999999999994</v>
      </c>
      <c r="E5" s="2">
        <v>8.4</v>
      </c>
    </row>
    <row r="6" spans="1:15">
      <c r="A6" s="1">
        <v>38210</v>
      </c>
      <c r="B6" s="1">
        <v>39082</v>
      </c>
      <c r="C6" s="2">
        <f t="shared" si="0"/>
        <v>2.3874058863791925</v>
      </c>
      <c r="D6" s="3">
        <v>66.5</v>
      </c>
      <c r="E6" s="2">
        <v>8.1</v>
      </c>
    </row>
    <row r="7" spans="1:15">
      <c r="A7" s="1">
        <v>38079</v>
      </c>
      <c r="B7" s="1">
        <v>39082</v>
      </c>
      <c r="C7" s="2">
        <f t="shared" si="0"/>
        <v>2.7460643394934978</v>
      </c>
      <c r="D7" s="3">
        <v>66.5</v>
      </c>
      <c r="E7" s="2">
        <v>7.3</v>
      </c>
      <c r="L7" s="7"/>
      <c r="M7" s="7" t="s">
        <v>5</v>
      </c>
      <c r="N7" s="7" t="s">
        <v>17</v>
      </c>
      <c r="O7" s="7" t="s">
        <v>18</v>
      </c>
    </row>
    <row r="8" spans="1:15">
      <c r="A8" s="1">
        <v>38220</v>
      </c>
      <c r="B8" s="1">
        <v>39082</v>
      </c>
      <c r="C8" s="2">
        <f t="shared" si="0"/>
        <v>2.3600273785078714</v>
      </c>
      <c r="D8" s="3">
        <v>67.7</v>
      </c>
      <c r="E8" s="2">
        <v>8.6</v>
      </c>
      <c r="L8" s="7" t="s">
        <v>1252</v>
      </c>
      <c r="M8" s="7">
        <f>AVERAGE(C:C)</f>
        <v>3.511681496691764</v>
      </c>
      <c r="N8" s="7">
        <f t="shared" ref="N8:O8" si="1">AVERAGE(D:D)</f>
        <v>80.753333333333359</v>
      </c>
      <c r="O8" s="7">
        <f t="shared" si="1"/>
        <v>10.247592592592595</v>
      </c>
    </row>
    <row r="9" spans="1:15">
      <c r="A9" s="1">
        <v>38173</v>
      </c>
      <c r="B9" s="1">
        <v>39082</v>
      </c>
      <c r="C9" s="2">
        <f t="shared" si="0"/>
        <v>2.4887063655030799</v>
      </c>
      <c r="D9" s="3">
        <v>67.8</v>
      </c>
      <c r="E9" s="2">
        <v>7.2</v>
      </c>
      <c r="L9" s="7" t="s">
        <v>1253</v>
      </c>
      <c r="M9" s="7">
        <f>MEDIAN(C:C)</f>
        <v>2.9733059548254621</v>
      </c>
      <c r="N9" s="7">
        <f t="shared" ref="N9:O9" si="2">MEDIAN(D:D)</f>
        <v>81.2</v>
      </c>
      <c r="O9" s="7">
        <f t="shared" si="2"/>
        <v>10.199999999999999</v>
      </c>
    </row>
    <row r="10" spans="1:15">
      <c r="A10" s="1">
        <v>38160</v>
      </c>
      <c r="B10" s="1">
        <v>39082</v>
      </c>
      <c r="C10" s="2">
        <f t="shared" si="0"/>
        <v>2.5242984257357972</v>
      </c>
      <c r="D10" s="3">
        <v>67.8</v>
      </c>
      <c r="E10" s="2">
        <v>6.7</v>
      </c>
      <c r="L10" s="7" t="s">
        <v>1254</v>
      </c>
      <c r="M10" s="7">
        <f>MODE(C:C)</f>
        <v>2.2477754962354553</v>
      </c>
      <c r="N10" s="7">
        <f t="shared" ref="N10:O10" si="3">MODE(D:D)</f>
        <v>83</v>
      </c>
      <c r="O10" s="7">
        <f t="shared" si="3"/>
        <v>9.6</v>
      </c>
    </row>
    <row r="11" spans="1:15">
      <c r="A11" s="1">
        <v>37987</v>
      </c>
      <c r="B11" s="1">
        <v>39082</v>
      </c>
      <c r="C11" s="2">
        <f t="shared" si="0"/>
        <v>2.9979466119096507</v>
      </c>
      <c r="D11" s="3">
        <v>68.099999999999994</v>
      </c>
      <c r="E11" s="2">
        <v>5.9</v>
      </c>
      <c r="L11" s="7" t="s">
        <v>1255</v>
      </c>
      <c r="M11" s="7">
        <f>(MIN(C:C)+MAX(C:C))/2</f>
        <v>3.9274469541409993</v>
      </c>
      <c r="N11" s="7">
        <f t="shared" ref="N11:O11" si="4">(MIN(D:D)+MAX(D:D))/2</f>
        <v>79.3</v>
      </c>
      <c r="O11" s="7">
        <f t="shared" si="4"/>
        <v>10.95</v>
      </c>
    </row>
    <row r="12" spans="1:15">
      <c r="A12" s="1">
        <v>38153</v>
      </c>
      <c r="B12" s="1">
        <v>39082</v>
      </c>
      <c r="C12" s="2">
        <f t="shared" si="0"/>
        <v>2.5434633812457221</v>
      </c>
      <c r="D12" s="3">
        <v>68.3</v>
      </c>
      <c r="E12" s="2">
        <v>8</v>
      </c>
    </row>
    <row r="13" spans="1:15">
      <c r="A13" s="1">
        <v>38091</v>
      </c>
      <c r="B13" s="1">
        <v>39082</v>
      </c>
      <c r="C13" s="2">
        <f t="shared" si="0"/>
        <v>2.7132101300479126</v>
      </c>
      <c r="D13" s="3">
        <v>69.5</v>
      </c>
      <c r="E13" s="2">
        <v>8</v>
      </c>
    </row>
    <row r="14" spans="1:15">
      <c r="A14" s="1">
        <v>38132</v>
      </c>
      <c r="B14" s="1">
        <v>39082</v>
      </c>
      <c r="C14" s="2">
        <f t="shared" si="0"/>
        <v>2.6009582477754964</v>
      </c>
      <c r="D14" s="3">
        <v>70.400000000000006</v>
      </c>
      <c r="E14" s="2">
        <v>8.5</v>
      </c>
    </row>
    <row r="15" spans="1:15">
      <c r="A15" s="1">
        <v>38052</v>
      </c>
      <c r="B15" s="1">
        <v>39082</v>
      </c>
      <c r="C15" s="2">
        <f t="shared" si="0"/>
        <v>2.8199863107460645</v>
      </c>
      <c r="D15" s="3">
        <v>71.3</v>
      </c>
      <c r="E15" s="2">
        <v>8.4</v>
      </c>
    </row>
    <row r="16" spans="1:15">
      <c r="A16" s="1">
        <v>37810</v>
      </c>
      <c r="B16" s="1">
        <v>39082</v>
      </c>
      <c r="C16" s="2">
        <f t="shared" si="0"/>
        <v>3.482546201232033</v>
      </c>
      <c r="D16" s="3">
        <v>71.8</v>
      </c>
      <c r="E16" s="2">
        <v>8.1</v>
      </c>
    </row>
    <row r="17" spans="1:5">
      <c r="A17" s="1">
        <v>38111</v>
      </c>
      <c r="B17" s="1">
        <v>39082</v>
      </c>
      <c r="C17" s="2">
        <f t="shared" si="0"/>
        <v>2.6584531143052703</v>
      </c>
      <c r="D17" s="3">
        <v>72.3</v>
      </c>
      <c r="E17" s="2">
        <v>8.1</v>
      </c>
    </row>
    <row r="18" spans="1:5">
      <c r="A18" s="1">
        <v>37971</v>
      </c>
      <c r="B18" s="1">
        <v>39082</v>
      </c>
      <c r="C18" s="2">
        <f t="shared" si="0"/>
        <v>3.0417522245037647</v>
      </c>
      <c r="D18" s="3">
        <v>74.3</v>
      </c>
      <c r="E18" s="2">
        <v>8.1</v>
      </c>
    </row>
    <row r="19" spans="1:5">
      <c r="A19" s="1">
        <v>38014</v>
      </c>
      <c r="B19" s="1">
        <v>39082</v>
      </c>
      <c r="C19" s="2">
        <f t="shared" si="0"/>
        <v>2.924024640657084</v>
      </c>
      <c r="D19" s="3">
        <v>74.5</v>
      </c>
      <c r="E19" s="2">
        <v>9.9</v>
      </c>
    </row>
    <row r="20" spans="1:5">
      <c r="A20" s="1">
        <v>38210</v>
      </c>
      <c r="B20" s="1">
        <v>39082</v>
      </c>
      <c r="C20" s="2">
        <f t="shared" si="0"/>
        <v>2.3874058863791925</v>
      </c>
      <c r="D20" s="3">
        <v>74.5</v>
      </c>
      <c r="E20" s="2">
        <v>8.9</v>
      </c>
    </row>
    <row r="21" spans="1:5">
      <c r="A21" s="1">
        <v>37817</v>
      </c>
      <c r="B21" s="1">
        <v>39082</v>
      </c>
      <c r="C21" s="2">
        <f t="shared" si="0"/>
        <v>3.463381245722108</v>
      </c>
      <c r="D21" s="3">
        <v>74.7</v>
      </c>
      <c r="E21" s="2">
        <v>8.9</v>
      </c>
    </row>
    <row r="22" spans="1:5">
      <c r="A22" s="1">
        <v>38001</v>
      </c>
      <c r="B22" s="1">
        <v>39082</v>
      </c>
      <c r="C22" s="2">
        <f t="shared" si="0"/>
        <v>2.9596167008898013</v>
      </c>
      <c r="D22" s="3">
        <v>75.5</v>
      </c>
      <c r="E22" s="2">
        <v>9.9</v>
      </c>
    </row>
    <row r="23" spans="1:5">
      <c r="A23" s="1">
        <v>37878</v>
      </c>
      <c r="B23" s="1">
        <v>39082</v>
      </c>
      <c r="C23" s="2">
        <f t="shared" si="0"/>
        <v>3.2963723477070501</v>
      </c>
      <c r="D23" s="3">
        <v>76.400000000000006</v>
      </c>
      <c r="E23" s="2">
        <v>9.1</v>
      </c>
    </row>
    <row r="24" spans="1:5">
      <c r="A24" s="1">
        <v>38292</v>
      </c>
      <c r="B24" s="1">
        <v>39082</v>
      </c>
      <c r="C24" s="2">
        <f t="shared" si="0"/>
        <v>2.1629021218343598</v>
      </c>
      <c r="D24" s="3">
        <v>77.5</v>
      </c>
      <c r="E24" s="2">
        <v>9.6</v>
      </c>
    </row>
    <row r="25" spans="1:5">
      <c r="A25" s="1">
        <v>37694</v>
      </c>
      <c r="B25" s="1">
        <v>39082</v>
      </c>
      <c r="C25" s="2">
        <f t="shared" si="0"/>
        <v>3.8001368925393568</v>
      </c>
      <c r="D25" s="3">
        <v>77.7</v>
      </c>
      <c r="E25" s="2">
        <v>7.4</v>
      </c>
    </row>
    <row r="26" spans="1:5">
      <c r="A26" s="1">
        <v>38283</v>
      </c>
      <c r="B26" s="1">
        <v>39082</v>
      </c>
      <c r="C26" s="2">
        <f t="shared" si="0"/>
        <v>2.1875427789185489</v>
      </c>
      <c r="D26" s="3">
        <v>79</v>
      </c>
      <c r="E26" s="2">
        <v>9.6</v>
      </c>
    </row>
    <row r="27" spans="1:5">
      <c r="A27" s="1">
        <v>37860</v>
      </c>
      <c r="B27" s="1">
        <v>39082</v>
      </c>
      <c r="C27" s="2">
        <f t="shared" si="0"/>
        <v>3.3456536618754278</v>
      </c>
      <c r="D27" s="3">
        <v>80.099999999999994</v>
      </c>
      <c r="E27" s="2">
        <v>8.6999999999999993</v>
      </c>
    </row>
    <row r="28" spans="1:5">
      <c r="A28" s="1">
        <v>37417</v>
      </c>
      <c r="B28" s="1">
        <v>39082</v>
      </c>
      <c r="C28" s="2">
        <f t="shared" si="0"/>
        <v>4.5585215605749489</v>
      </c>
      <c r="D28" s="3">
        <v>83</v>
      </c>
      <c r="E28" s="2">
        <v>9.8000000000000007</v>
      </c>
    </row>
    <row r="29" spans="1:5">
      <c r="A29" s="1">
        <v>36709</v>
      </c>
      <c r="B29" s="1">
        <v>39082</v>
      </c>
      <c r="C29" s="2">
        <f t="shared" si="0"/>
        <v>6.4969199178644761</v>
      </c>
      <c r="D29" s="3">
        <v>85</v>
      </c>
      <c r="E29" s="2">
        <v>11.1</v>
      </c>
    </row>
    <row r="30" spans="1:5">
      <c r="A30" s="1">
        <v>36937</v>
      </c>
      <c r="B30" s="1">
        <v>39082</v>
      </c>
      <c r="C30" s="2">
        <f t="shared" si="0"/>
        <v>5.8726899383983575</v>
      </c>
      <c r="D30" s="3">
        <v>85.3</v>
      </c>
      <c r="E30" s="2">
        <v>11.1</v>
      </c>
    </row>
    <row r="31" spans="1:5">
      <c r="A31" s="1">
        <v>36965</v>
      </c>
      <c r="B31" s="1">
        <v>39082</v>
      </c>
      <c r="C31" s="2">
        <f t="shared" si="0"/>
        <v>5.7960301163586587</v>
      </c>
      <c r="D31" s="3">
        <v>89.1</v>
      </c>
      <c r="E31" s="2">
        <v>12.8</v>
      </c>
    </row>
    <row r="32" spans="1:5">
      <c r="A32" s="1">
        <v>37318</v>
      </c>
      <c r="B32" s="1">
        <v>39082</v>
      </c>
      <c r="C32" s="2">
        <f t="shared" si="0"/>
        <v>4.8295687885010263</v>
      </c>
      <c r="D32" s="3">
        <v>89.6</v>
      </c>
      <c r="E32" s="2">
        <v>11.6</v>
      </c>
    </row>
    <row r="33" spans="1:5">
      <c r="A33" s="1">
        <v>36851</v>
      </c>
      <c r="B33" s="1">
        <v>39082</v>
      </c>
      <c r="C33" s="2">
        <f t="shared" si="0"/>
        <v>6.108145106091718</v>
      </c>
      <c r="D33" s="3">
        <v>90.8</v>
      </c>
      <c r="E33" s="2">
        <v>14.1</v>
      </c>
    </row>
    <row r="34" spans="1:5">
      <c r="A34" s="1">
        <v>36621</v>
      </c>
      <c r="B34" s="1">
        <v>39082</v>
      </c>
      <c r="C34" s="2">
        <f t="shared" si="0"/>
        <v>6.7378507871321016</v>
      </c>
      <c r="D34" s="3">
        <v>92.4</v>
      </c>
      <c r="E34" s="2">
        <v>11.3</v>
      </c>
    </row>
    <row r="35" spans="1:5">
      <c r="A35" s="1">
        <v>37318</v>
      </c>
      <c r="B35" s="1">
        <v>39082</v>
      </c>
      <c r="C35" s="2">
        <f t="shared" si="0"/>
        <v>4.8295687885010263</v>
      </c>
      <c r="D35" s="3">
        <v>92.4</v>
      </c>
      <c r="E35" s="2">
        <v>12.2</v>
      </c>
    </row>
    <row r="36" spans="1:5">
      <c r="A36" s="1">
        <v>38312</v>
      </c>
      <c r="B36" s="1">
        <v>39082</v>
      </c>
      <c r="C36" s="2">
        <f t="shared" si="0"/>
        <v>2.108145106091718</v>
      </c>
      <c r="D36" s="3">
        <v>92.7</v>
      </c>
      <c r="E36" s="2">
        <v>12.3</v>
      </c>
    </row>
    <row r="37" spans="1:5">
      <c r="A37" s="1">
        <v>36958</v>
      </c>
      <c r="B37" s="1">
        <v>39082</v>
      </c>
      <c r="C37" s="2">
        <f t="shared" si="0"/>
        <v>5.8151950718685832</v>
      </c>
      <c r="D37" s="3">
        <v>93.3</v>
      </c>
      <c r="E37" s="2">
        <v>12.3</v>
      </c>
    </row>
    <row r="38" spans="1:5">
      <c r="A38" s="1">
        <v>37087</v>
      </c>
      <c r="B38" s="1">
        <v>39082</v>
      </c>
      <c r="C38" s="2">
        <f t="shared" si="0"/>
        <v>5.462012320328542</v>
      </c>
      <c r="D38" s="3">
        <v>93.4</v>
      </c>
      <c r="E38" s="2">
        <v>13.2</v>
      </c>
    </row>
    <row r="39" spans="1:5">
      <c r="A39" s="1">
        <v>36821</v>
      </c>
      <c r="B39" s="1">
        <v>39082</v>
      </c>
      <c r="C39" s="2">
        <f t="shared" si="0"/>
        <v>6.1902806297056809</v>
      </c>
      <c r="D39" s="3">
        <v>94.1</v>
      </c>
      <c r="E39" s="2">
        <v>13</v>
      </c>
    </row>
    <row r="40" spans="1:5">
      <c r="A40" s="1">
        <v>36757</v>
      </c>
      <c r="B40" s="1">
        <v>39082</v>
      </c>
      <c r="C40" s="2">
        <f t="shared" si="0"/>
        <v>6.3655030800821359</v>
      </c>
      <c r="D40" s="3">
        <v>95.1</v>
      </c>
      <c r="E40" s="2">
        <v>11.7</v>
      </c>
    </row>
    <row r="41" spans="1:5">
      <c r="A41" s="1">
        <v>36896</v>
      </c>
      <c r="B41" s="1">
        <v>39082</v>
      </c>
      <c r="C41" s="2">
        <f t="shared" si="0"/>
        <v>5.9849418206707732</v>
      </c>
      <c r="D41" s="3">
        <v>95.9</v>
      </c>
      <c r="E41" s="2">
        <v>12.2</v>
      </c>
    </row>
    <row r="42" spans="1:5">
      <c r="A42" s="1">
        <v>36770</v>
      </c>
      <c r="B42" s="1">
        <v>39082</v>
      </c>
      <c r="C42" s="2">
        <f t="shared" si="0"/>
        <v>6.3299110198494182</v>
      </c>
      <c r="D42" s="3">
        <v>96</v>
      </c>
      <c r="E42" s="2">
        <v>12.9</v>
      </c>
    </row>
    <row r="43" spans="1:5">
      <c r="A43" s="1">
        <v>36661</v>
      </c>
      <c r="B43" s="1">
        <v>39082</v>
      </c>
      <c r="C43" s="2">
        <f t="shared" si="0"/>
        <v>6.6283367556468171</v>
      </c>
      <c r="D43" s="3">
        <v>96.4</v>
      </c>
      <c r="E43" s="2">
        <v>13.8</v>
      </c>
    </row>
    <row r="44" spans="1:5">
      <c r="A44" s="1">
        <v>38273</v>
      </c>
      <c r="B44" s="1">
        <v>39082</v>
      </c>
      <c r="C44" s="2">
        <f t="shared" si="0"/>
        <v>2.21492128678987</v>
      </c>
      <c r="D44" s="3">
        <v>101.2</v>
      </c>
      <c r="E44" s="2">
        <v>17.3</v>
      </c>
    </row>
    <row r="45" spans="1:5">
      <c r="A45" s="1">
        <v>38336</v>
      </c>
      <c r="B45" s="1">
        <v>39082</v>
      </c>
      <c r="C45" s="2">
        <f t="shared" si="0"/>
        <v>2.0424366872005475</v>
      </c>
      <c r="D45" s="3">
        <v>101.4</v>
      </c>
      <c r="E45" s="2">
        <v>15.8</v>
      </c>
    </row>
    <row r="46" spans="1:5">
      <c r="A46" s="1">
        <v>38083</v>
      </c>
      <c r="B46" s="1">
        <v>39082</v>
      </c>
      <c r="C46" s="2">
        <f t="shared" si="0"/>
        <v>2.7351129363449691</v>
      </c>
      <c r="D46" s="3">
        <v>102</v>
      </c>
      <c r="E46" s="2">
        <v>14.1</v>
      </c>
    </row>
    <row r="47" spans="1:5">
      <c r="A47" s="1">
        <v>38710</v>
      </c>
      <c r="B47" s="1">
        <v>39082</v>
      </c>
      <c r="C47" s="2">
        <f t="shared" si="0"/>
        <v>1.0184804928131417</v>
      </c>
      <c r="D47" s="3">
        <v>55</v>
      </c>
      <c r="E47" s="2">
        <v>4.4000000000000004</v>
      </c>
    </row>
    <row r="48" spans="1:5">
      <c r="A48" s="1">
        <v>38040</v>
      </c>
      <c r="B48" s="1">
        <v>39082</v>
      </c>
      <c r="C48" s="2">
        <f t="shared" si="0"/>
        <v>2.8528405201916494</v>
      </c>
      <c r="D48" s="3">
        <v>95</v>
      </c>
      <c r="E48" s="2">
        <v>14.3</v>
      </c>
    </row>
    <row r="49" spans="1:5">
      <c r="A49" s="1">
        <v>38237</v>
      </c>
      <c r="B49" s="1">
        <v>39082</v>
      </c>
      <c r="C49" s="2">
        <f t="shared" si="0"/>
        <v>2.3134839151266258</v>
      </c>
      <c r="D49" s="3">
        <v>60</v>
      </c>
      <c r="E49" s="2">
        <v>5.4</v>
      </c>
    </row>
    <row r="50" spans="1:5">
      <c r="A50" s="1">
        <v>38108</v>
      </c>
      <c r="B50" s="1">
        <v>39082</v>
      </c>
      <c r="C50" s="2">
        <f t="shared" si="0"/>
        <v>2.6666666666666665</v>
      </c>
      <c r="D50" s="3">
        <v>70</v>
      </c>
      <c r="E50" s="2">
        <v>8</v>
      </c>
    </row>
    <row r="51" spans="1:5">
      <c r="A51" s="1">
        <v>38301</v>
      </c>
      <c r="B51" s="1">
        <v>39082</v>
      </c>
      <c r="C51" s="2">
        <f t="shared" si="0"/>
        <v>2.1382614647501712</v>
      </c>
      <c r="D51" s="3">
        <v>90</v>
      </c>
      <c r="E51" s="2">
        <v>10.199999999999999</v>
      </c>
    </row>
    <row r="52" spans="1:5">
      <c r="A52" s="1">
        <v>38426</v>
      </c>
      <c r="B52" s="1">
        <v>39082</v>
      </c>
      <c r="C52" s="2">
        <f t="shared" si="0"/>
        <v>1.7960301163586585</v>
      </c>
      <c r="D52" s="3">
        <v>48.5</v>
      </c>
      <c r="E52" s="2">
        <v>3.5</v>
      </c>
    </row>
    <row r="53" spans="1:5">
      <c r="A53" s="1">
        <v>38372</v>
      </c>
      <c r="B53" s="1">
        <v>39082</v>
      </c>
      <c r="C53" s="2">
        <f t="shared" si="0"/>
        <v>1.9438740588637919</v>
      </c>
      <c r="D53" s="3">
        <v>50</v>
      </c>
      <c r="E53" s="2">
        <v>5.6</v>
      </c>
    </row>
    <row r="54" spans="1:5">
      <c r="A54" s="1">
        <v>37994</v>
      </c>
      <c r="B54" s="1">
        <v>39082</v>
      </c>
      <c r="C54" s="2">
        <f t="shared" si="0"/>
        <v>2.9787816563997263</v>
      </c>
      <c r="D54" s="3">
        <v>51.2</v>
      </c>
      <c r="E54" s="2">
        <v>4.2</v>
      </c>
    </row>
    <row r="55" spans="1:5">
      <c r="A55" s="1">
        <v>38501</v>
      </c>
      <c r="B55" s="1">
        <v>39082</v>
      </c>
      <c r="C55" s="2">
        <f t="shared" si="0"/>
        <v>1.5906913073237507</v>
      </c>
      <c r="D55" s="3">
        <v>51.2</v>
      </c>
      <c r="E55" s="2">
        <v>3.4</v>
      </c>
    </row>
    <row r="56" spans="1:5">
      <c r="A56" s="1">
        <v>38400</v>
      </c>
      <c r="B56" s="1">
        <v>39082</v>
      </c>
      <c r="C56" s="2">
        <f t="shared" si="0"/>
        <v>1.8672142368240932</v>
      </c>
      <c r="D56" s="3">
        <v>51.5</v>
      </c>
      <c r="E56" s="2">
        <v>4.5999999999999996</v>
      </c>
    </row>
    <row r="57" spans="1:5">
      <c r="A57" s="1">
        <v>38274</v>
      </c>
      <c r="B57" s="1">
        <v>39082</v>
      </c>
      <c r="C57" s="2">
        <f t="shared" si="0"/>
        <v>2.2121834360027379</v>
      </c>
      <c r="D57" s="3">
        <v>51.7</v>
      </c>
      <c r="E57" s="2">
        <v>4.5</v>
      </c>
    </row>
    <row r="58" spans="1:5">
      <c r="A58" s="1">
        <v>38003</v>
      </c>
      <c r="B58" s="1">
        <v>39082</v>
      </c>
      <c r="C58" s="2">
        <f t="shared" si="0"/>
        <v>2.9541409993155372</v>
      </c>
      <c r="D58" s="3">
        <v>51.7</v>
      </c>
      <c r="E58" s="2">
        <v>4.9000000000000004</v>
      </c>
    </row>
    <row r="59" spans="1:5">
      <c r="A59" s="1">
        <v>38042</v>
      </c>
      <c r="B59" s="1">
        <v>39082</v>
      </c>
      <c r="C59" s="2">
        <f t="shared" si="0"/>
        <v>2.8473648186173852</v>
      </c>
      <c r="D59" s="3">
        <v>52</v>
      </c>
      <c r="E59" s="2">
        <v>3.8</v>
      </c>
    </row>
    <row r="60" spans="1:5">
      <c r="A60" s="1">
        <v>38029</v>
      </c>
      <c r="B60" s="1">
        <v>39082</v>
      </c>
      <c r="C60" s="2">
        <f t="shared" si="0"/>
        <v>2.8829568788501025</v>
      </c>
      <c r="D60" s="3">
        <v>52.8</v>
      </c>
      <c r="E60" s="2">
        <v>4</v>
      </c>
    </row>
    <row r="61" spans="1:5">
      <c r="A61" s="1">
        <v>38016</v>
      </c>
      <c r="B61" s="1">
        <v>39082</v>
      </c>
      <c r="C61" s="2">
        <f t="shared" si="0"/>
        <v>2.9185489390828199</v>
      </c>
      <c r="D61" s="3">
        <v>52.8</v>
      </c>
      <c r="E61" s="2">
        <v>3.9</v>
      </c>
    </row>
    <row r="62" spans="1:5">
      <c r="A62" s="1">
        <v>38354</v>
      </c>
      <c r="B62" s="1">
        <v>39082</v>
      </c>
      <c r="C62" s="2">
        <f t="shared" si="0"/>
        <v>1.9931553730321698</v>
      </c>
      <c r="D62" s="3">
        <v>53.3</v>
      </c>
      <c r="E62" s="2">
        <v>4.3</v>
      </c>
    </row>
    <row r="63" spans="1:5">
      <c r="A63" s="1">
        <v>38438</v>
      </c>
      <c r="B63" s="1">
        <v>39082</v>
      </c>
      <c r="C63" s="2">
        <f t="shared" si="0"/>
        <v>1.7631759069130732</v>
      </c>
      <c r="D63" s="3">
        <v>53.6</v>
      </c>
      <c r="E63" s="2">
        <v>4.4000000000000004</v>
      </c>
    </row>
    <row r="64" spans="1:5">
      <c r="A64" s="1">
        <v>38363</v>
      </c>
      <c r="B64" s="1">
        <v>39082</v>
      </c>
      <c r="C64" s="2">
        <f t="shared" si="0"/>
        <v>1.9685147159479808</v>
      </c>
      <c r="D64" s="3">
        <v>54</v>
      </c>
      <c r="E64" s="2">
        <v>4.8</v>
      </c>
    </row>
    <row r="65" spans="1:5">
      <c r="A65" s="1">
        <v>38396</v>
      </c>
      <c r="B65" s="1">
        <v>39082</v>
      </c>
      <c r="C65" s="2">
        <f t="shared" si="0"/>
        <v>1.8781656399726214</v>
      </c>
      <c r="D65" s="3">
        <v>54.5</v>
      </c>
      <c r="E65" s="2">
        <v>5.3</v>
      </c>
    </row>
    <row r="66" spans="1:5">
      <c r="A66" s="1">
        <v>38379</v>
      </c>
      <c r="B66" s="1">
        <v>39082</v>
      </c>
      <c r="C66" s="2">
        <f t="shared" si="0"/>
        <v>1.9247091033538672</v>
      </c>
      <c r="D66" s="3">
        <v>55</v>
      </c>
      <c r="E66" s="2">
        <v>3.2</v>
      </c>
    </row>
    <row r="67" spans="1:5">
      <c r="A67" s="1">
        <v>38393</v>
      </c>
      <c r="B67" s="1">
        <v>39082</v>
      </c>
      <c r="C67" s="2">
        <f t="shared" ref="C67:C130" si="5">(B67-A67)/365.25</f>
        <v>1.8863791923340179</v>
      </c>
      <c r="D67" s="3">
        <v>55.4</v>
      </c>
      <c r="E67" s="2">
        <v>4.9000000000000004</v>
      </c>
    </row>
    <row r="68" spans="1:5">
      <c r="A68" s="1">
        <v>37381</v>
      </c>
      <c r="B68" s="1">
        <v>39082</v>
      </c>
      <c r="C68" s="2">
        <f t="shared" si="5"/>
        <v>4.6570841889117043</v>
      </c>
      <c r="D68" s="3">
        <v>55.5</v>
      </c>
      <c r="E68" s="2">
        <v>11.7</v>
      </c>
    </row>
    <row r="69" spans="1:5">
      <c r="A69" s="1">
        <v>38377</v>
      </c>
      <c r="B69" s="1">
        <v>39082</v>
      </c>
      <c r="C69" s="2">
        <f t="shared" si="5"/>
        <v>1.9301848049281314</v>
      </c>
      <c r="D69" s="3">
        <v>55.5</v>
      </c>
      <c r="E69" s="2">
        <v>5.2</v>
      </c>
    </row>
    <row r="70" spans="1:5">
      <c r="A70" s="1">
        <v>38400</v>
      </c>
      <c r="B70" s="1">
        <v>39082</v>
      </c>
      <c r="C70" s="2">
        <f t="shared" si="5"/>
        <v>1.8672142368240932</v>
      </c>
      <c r="D70" s="3">
        <v>55.5</v>
      </c>
      <c r="E70" s="2">
        <v>4.8</v>
      </c>
    </row>
    <row r="71" spans="1:5">
      <c r="A71" s="1">
        <v>38395</v>
      </c>
      <c r="B71" s="1">
        <v>39082</v>
      </c>
      <c r="C71" s="2">
        <f t="shared" si="5"/>
        <v>1.8809034907597535</v>
      </c>
      <c r="D71" s="3">
        <v>55.6</v>
      </c>
      <c r="E71" s="2">
        <v>5.0999999999999996</v>
      </c>
    </row>
    <row r="72" spans="1:5">
      <c r="A72" s="1">
        <v>38389</v>
      </c>
      <c r="B72" s="1">
        <v>39082</v>
      </c>
      <c r="C72" s="2">
        <f t="shared" si="5"/>
        <v>1.8973305954825461</v>
      </c>
      <c r="D72" s="3">
        <v>55.6</v>
      </c>
      <c r="E72" s="2">
        <v>5.0999999999999996</v>
      </c>
    </row>
    <row r="73" spans="1:5">
      <c r="A73" s="1">
        <v>38302</v>
      </c>
      <c r="B73" s="1">
        <v>39082</v>
      </c>
      <c r="C73" s="2">
        <f t="shared" si="5"/>
        <v>2.1355236139630391</v>
      </c>
      <c r="D73" s="3">
        <v>55.8</v>
      </c>
      <c r="E73" s="2">
        <v>4.2</v>
      </c>
    </row>
    <row r="74" spans="1:5">
      <c r="A74" s="1">
        <v>38408</v>
      </c>
      <c r="B74" s="1">
        <v>39082</v>
      </c>
      <c r="C74" s="2">
        <f t="shared" si="5"/>
        <v>1.8453114305270362</v>
      </c>
      <c r="D74" s="3">
        <v>55.9</v>
      </c>
      <c r="E74" s="2">
        <v>4.7</v>
      </c>
    </row>
    <row r="75" spans="1:5">
      <c r="A75" s="1">
        <v>38373</v>
      </c>
      <c r="B75" s="1">
        <v>39082</v>
      </c>
      <c r="C75" s="2">
        <f t="shared" si="5"/>
        <v>1.9411362080766599</v>
      </c>
      <c r="D75" s="3">
        <v>56.2</v>
      </c>
      <c r="E75" s="2">
        <v>4.8</v>
      </c>
    </row>
    <row r="76" spans="1:5">
      <c r="A76" s="1">
        <v>38345</v>
      </c>
      <c r="B76" s="1">
        <v>39082</v>
      </c>
      <c r="C76" s="2">
        <f t="shared" si="5"/>
        <v>2.0177960301163584</v>
      </c>
      <c r="D76" s="3">
        <v>56.4</v>
      </c>
      <c r="E76" s="2">
        <v>4.5999999999999996</v>
      </c>
    </row>
    <row r="77" spans="1:5">
      <c r="A77" s="1">
        <v>38373</v>
      </c>
      <c r="B77" s="1">
        <v>39082</v>
      </c>
      <c r="C77" s="2">
        <f t="shared" si="5"/>
        <v>1.9411362080766599</v>
      </c>
      <c r="D77" s="3">
        <v>56.6</v>
      </c>
      <c r="E77" s="2">
        <v>3.6</v>
      </c>
    </row>
    <row r="78" spans="1:5">
      <c r="A78" s="1">
        <v>37987</v>
      </c>
      <c r="B78" s="1">
        <v>39082</v>
      </c>
      <c r="C78" s="2">
        <f t="shared" si="5"/>
        <v>2.9979466119096507</v>
      </c>
      <c r="D78" s="3">
        <v>57</v>
      </c>
      <c r="E78" s="2">
        <v>5.0999999999999996</v>
      </c>
    </row>
    <row r="79" spans="1:5">
      <c r="A79" s="1">
        <v>38357</v>
      </c>
      <c r="B79" s="1">
        <v>39082</v>
      </c>
      <c r="C79" s="2">
        <f t="shared" si="5"/>
        <v>1.9849418206707734</v>
      </c>
      <c r="D79" s="3">
        <v>57</v>
      </c>
      <c r="E79" s="2">
        <v>7.2</v>
      </c>
    </row>
    <row r="80" spans="1:5">
      <c r="A80" s="1">
        <v>38339</v>
      </c>
      <c r="B80" s="1">
        <v>39082</v>
      </c>
      <c r="C80" s="2">
        <f t="shared" si="5"/>
        <v>2.0342231348391513</v>
      </c>
      <c r="D80" s="3">
        <v>57.3</v>
      </c>
      <c r="E80" s="2">
        <v>4.3</v>
      </c>
    </row>
    <row r="81" spans="1:5">
      <c r="A81" s="1">
        <v>37992</v>
      </c>
      <c r="B81" s="1">
        <v>39082</v>
      </c>
      <c r="C81" s="2">
        <f t="shared" si="5"/>
        <v>2.9842573579739904</v>
      </c>
      <c r="D81" s="3">
        <v>57.8</v>
      </c>
      <c r="E81" s="2">
        <v>6.7</v>
      </c>
    </row>
    <row r="82" spans="1:5">
      <c r="A82" s="1">
        <v>38324</v>
      </c>
      <c r="B82" s="1">
        <v>39082</v>
      </c>
      <c r="C82" s="2">
        <f t="shared" si="5"/>
        <v>2.0752908966461328</v>
      </c>
      <c r="D82" s="3">
        <v>57.8</v>
      </c>
      <c r="E82" s="2">
        <v>5.9</v>
      </c>
    </row>
    <row r="83" spans="1:5">
      <c r="A83" s="1">
        <v>38424</v>
      </c>
      <c r="B83" s="1">
        <v>39082</v>
      </c>
      <c r="C83" s="2">
        <f t="shared" si="5"/>
        <v>1.8015058179329226</v>
      </c>
      <c r="D83" s="3">
        <v>57.9</v>
      </c>
      <c r="E83" s="2">
        <v>4.9000000000000004</v>
      </c>
    </row>
    <row r="84" spans="1:5">
      <c r="A84" s="1">
        <v>38353</v>
      </c>
      <c r="B84" s="1">
        <v>39082</v>
      </c>
      <c r="C84" s="2">
        <f t="shared" si="5"/>
        <v>1.9958932238193019</v>
      </c>
      <c r="D84" s="3">
        <v>58</v>
      </c>
      <c r="E84" s="2">
        <v>8.6</v>
      </c>
    </row>
    <row r="85" spans="1:5">
      <c r="A85" s="1">
        <v>38360</v>
      </c>
      <c r="B85" s="1">
        <v>39082</v>
      </c>
      <c r="C85" s="2">
        <f t="shared" si="5"/>
        <v>1.9767282683093772</v>
      </c>
      <c r="D85" s="3">
        <v>58.1</v>
      </c>
      <c r="E85" s="2">
        <v>6.9</v>
      </c>
    </row>
    <row r="86" spans="1:5">
      <c r="A86" s="1">
        <v>38358</v>
      </c>
      <c r="B86" s="1">
        <v>39082</v>
      </c>
      <c r="C86" s="2">
        <f t="shared" si="5"/>
        <v>1.9822039698836413</v>
      </c>
      <c r="D86" s="3">
        <v>58.2</v>
      </c>
      <c r="E86" s="2">
        <v>5</v>
      </c>
    </row>
    <row r="87" spans="1:5">
      <c r="A87" s="1">
        <v>38338</v>
      </c>
      <c r="B87" s="1">
        <v>39082</v>
      </c>
      <c r="C87" s="2">
        <f t="shared" si="5"/>
        <v>2.0369609856262834</v>
      </c>
      <c r="D87" s="3">
        <v>58.3</v>
      </c>
      <c r="E87" s="2">
        <v>5.5</v>
      </c>
    </row>
    <row r="88" spans="1:5">
      <c r="A88" s="1">
        <v>38386</v>
      </c>
      <c r="B88" s="1">
        <v>39082</v>
      </c>
      <c r="C88" s="2">
        <f t="shared" si="5"/>
        <v>1.9055441478439425</v>
      </c>
      <c r="D88" s="3">
        <v>58.3</v>
      </c>
      <c r="E88" s="2">
        <v>5.4</v>
      </c>
    </row>
    <row r="89" spans="1:5">
      <c r="A89" s="1">
        <v>38275</v>
      </c>
      <c r="B89" s="1">
        <v>39082</v>
      </c>
      <c r="C89" s="2">
        <f t="shared" si="5"/>
        <v>2.2094455852156059</v>
      </c>
      <c r="D89" s="3">
        <v>58.4</v>
      </c>
      <c r="E89" s="2">
        <v>4.8</v>
      </c>
    </row>
    <row r="90" spans="1:5">
      <c r="A90" s="1">
        <v>38300</v>
      </c>
      <c r="B90" s="1">
        <v>39082</v>
      </c>
      <c r="C90" s="2">
        <f t="shared" si="5"/>
        <v>2.1409993155373033</v>
      </c>
      <c r="D90" s="3">
        <v>58.5</v>
      </c>
      <c r="E90" s="2">
        <v>5.5</v>
      </c>
    </row>
    <row r="91" spans="1:5">
      <c r="A91" s="1">
        <v>38381</v>
      </c>
      <c r="B91" s="1">
        <v>39082</v>
      </c>
      <c r="C91" s="2">
        <f t="shared" si="5"/>
        <v>1.9192334017796031</v>
      </c>
      <c r="D91" s="3">
        <v>58.5</v>
      </c>
      <c r="E91" s="2">
        <v>5.5</v>
      </c>
    </row>
    <row r="92" spans="1:5">
      <c r="A92" s="1">
        <v>37548</v>
      </c>
      <c r="B92" s="1">
        <v>39082</v>
      </c>
      <c r="C92" s="2">
        <f t="shared" si="5"/>
        <v>4.1998631074606436</v>
      </c>
      <c r="D92" s="3">
        <v>58.6</v>
      </c>
      <c r="E92" s="2">
        <v>10.4</v>
      </c>
    </row>
    <row r="93" spans="1:5">
      <c r="A93" s="1">
        <v>38322</v>
      </c>
      <c r="B93" s="1">
        <v>39082</v>
      </c>
      <c r="C93" s="2">
        <f t="shared" si="5"/>
        <v>2.0807665982203969</v>
      </c>
      <c r="D93" s="3">
        <v>58.7</v>
      </c>
      <c r="E93" s="2">
        <v>5.4</v>
      </c>
    </row>
    <row r="94" spans="1:5">
      <c r="A94" s="1">
        <v>38346</v>
      </c>
      <c r="B94" s="1">
        <v>39082</v>
      </c>
      <c r="C94" s="2">
        <f t="shared" si="5"/>
        <v>2.0150581793292264</v>
      </c>
      <c r="D94" s="3">
        <v>58.8</v>
      </c>
      <c r="E94" s="2">
        <v>5</v>
      </c>
    </row>
    <row r="95" spans="1:5">
      <c r="A95" s="1">
        <v>38366</v>
      </c>
      <c r="B95" s="1">
        <v>39082</v>
      </c>
      <c r="C95" s="2">
        <f t="shared" si="5"/>
        <v>1.9603011635865846</v>
      </c>
      <c r="D95" s="3">
        <v>59</v>
      </c>
      <c r="E95" s="2">
        <v>6.7</v>
      </c>
    </row>
    <row r="96" spans="1:5">
      <c r="A96" s="1">
        <v>38396</v>
      </c>
      <c r="B96" s="1">
        <v>39082</v>
      </c>
      <c r="C96" s="2">
        <f t="shared" si="5"/>
        <v>1.8781656399726214</v>
      </c>
      <c r="D96" s="3">
        <v>59</v>
      </c>
      <c r="E96" s="2">
        <v>7.1</v>
      </c>
    </row>
    <row r="97" spans="1:5">
      <c r="A97" s="1">
        <v>38200</v>
      </c>
      <c r="B97" s="1">
        <v>39082</v>
      </c>
      <c r="C97" s="2">
        <f t="shared" si="5"/>
        <v>2.4147843942505132</v>
      </c>
      <c r="D97" s="3">
        <v>59.1</v>
      </c>
      <c r="E97" s="2">
        <v>6.3</v>
      </c>
    </row>
    <row r="98" spans="1:5">
      <c r="A98" s="1">
        <v>38408</v>
      </c>
      <c r="B98" s="1">
        <v>39082</v>
      </c>
      <c r="C98" s="2">
        <f t="shared" si="5"/>
        <v>1.8453114305270362</v>
      </c>
      <c r="D98" s="3">
        <v>59.2</v>
      </c>
      <c r="E98" s="2">
        <v>5.8</v>
      </c>
    </row>
    <row r="99" spans="1:5">
      <c r="A99" s="1">
        <v>38370</v>
      </c>
      <c r="B99" s="1">
        <v>39082</v>
      </c>
      <c r="C99" s="2">
        <f t="shared" si="5"/>
        <v>1.9493497604380561</v>
      </c>
      <c r="D99" s="3">
        <v>59.3</v>
      </c>
      <c r="E99" s="2">
        <v>6.1</v>
      </c>
    </row>
    <row r="100" spans="1:5">
      <c r="A100" s="1">
        <v>38356</v>
      </c>
      <c r="B100" s="1">
        <v>39082</v>
      </c>
      <c r="C100" s="2">
        <f t="shared" si="5"/>
        <v>1.9876796714579055</v>
      </c>
      <c r="D100" s="3">
        <v>59.4</v>
      </c>
      <c r="E100" s="2">
        <v>6.4</v>
      </c>
    </row>
    <row r="101" spans="1:5">
      <c r="A101" s="1">
        <v>38335</v>
      </c>
      <c r="B101" s="1">
        <v>39082</v>
      </c>
      <c r="C101" s="2">
        <f t="shared" si="5"/>
        <v>2.0451745379876796</v>
      </c>
      <c r="D101" s="3">
        <v>59.4</v>
      </c>
      <c r="E101" s="2">
        <v>5.7</v>
      </c>
    </row>
    <row r="102" spans="1:5">
      <c r="A102" s="1">
        <v>38237</v>
      </c>
      <c r="B102" s="1">
        <v>39082</v>
      </c>
      <c r="C102" s="2">
        <f t="shared" si="5"/>
        <v>2.3134839151266258</v>
      </c>
      <c r="D102" s="3">
        <v>59.5</v>
      </c>
      <c r="E102" s="2">
        <v>5.8</v>
      </c>
    </row>
    <row r="103" spans="1:5">
      <c r="A103" s="1">
        <v>38297</v>
      </c>
      <c r="B103" s="1">
        <v>39082</v>
      </c>
      <c r="C103" s="2">
        <f t="shared" si="5"/>
        <v>2.1492128678986995</v>
      </c>
      <c r="D103" s="3">
        <v>59.5</v>
      </c>
      <c r="E103" s="2">
        <v>5.7</v>
      </c>
    </row>
    <row r="104" spans="1:5">
      <c r="A104" s="1">
        <v>38236</v>
      </c>
      <c r="B104" s="1">
        <v>39082</v>
      </c>
      <c r="C104" s="2">
        <f t="shared" si="5"/>
        <v>2.3162217659137578</v>
      </c>
      <c r="D104" s="3">
        <v>59.5</v>
      </c>
      <c r="E104" s="2">
        <v>5.0999999999999996</v>
      </c>
    </row>
    <row r="105" spans="1:5">
      <c r="A105" s="1">
        <v>38328</v>
      </c>
      <c r="B105" s="1">
        <v>39082</v>
      </c>
      <c r="C105" s="2">
        <f t="shared" si="5"/>
        <v>2.0643394934976045</v>
      </c>
      <c r="D105" s="3">
        <v>59.8</v>
      </c>
      <c r="E105" s="2">
        <v>5.5</v>
      </c>
    </row>
    <row r="106" spans="1:5">
      <c r="A106" s="1">
        <v>38363</v>
      </c>
      <c r="B106" s="1">
        <v>39082</v>
      </c>
      <c r="C106" s="2">
        <f t="shared" si="5"/>
        <v>1.9685147159479808</v>
      </c>
      <c r="D106" s="3">
        <v>59.8</v>
      </c>
      <c r="E106" s="2">
        <v>6.1</v>
      </c>
    </row>
    <row r="107" spans="1:5">
      <c r="A107" s="1">
        <v>38316</v>
      </c>
      <c r="B107" s="1">
        <v>39082</v>
      </c>
      <c r="C107" s="2">
        <f t="shared" si="5"/>
        <v>2.0971937029431897</v>
      </c>
      <c r="D107" s="3">
        <v>59.9</v>
      </c>
      <c r="E107" s="2">
        <v>5</v>
      </c>
    </row>
    <row r="108" spans="1:5">
      <c r="A108" s="1">
        <v>38301</v>
      </c>
      <c r="B108" s="1">
        <v>39082</v>
      </c>
      <c r="C108" s="2">
        <f t="shared" si="5"/>
        <v>2.1382614647501712</v>
      </c>
      <c r="D108" s="3">
        <v>60</v>
      </c>
      <c r="E108" s="2">
        <v>5.8</v>
      </c>
    </row>
    <row r="109" spans="1:5">
      <c r="A109" s="1">
        <v>38384</v>
      </c>
      <c r="B109" s="1">
        <v>39082</v>
      </c>
      <c r="C109" s="2">
        <f t="shared" si="5"/>
        <v>1.9110198494182067</v>
      </c>
      <c r="D109" s="3">
        <v>60</v>
      </c>
      <c r="E109" s="2">
        <v>8</v>
      </c>
    </row>
    <row r="110" spans="1:5">
      <c r="A110" s="1">
        <v>37987</v>
      </c>
      <c r="B110" s="1">
        <v>39082</v>
      </c>
      <c r="C110" s="2">
        <f t="shared" si="5"/>
        <v>2.9979466119096507</v>
      </c>
      <c r="D110" s="3">
        <v>60.1</v>
      </c>
      <c r="E110" s="2">
        <v>5.6</v>
      </c>
    </row>
    <row r="111" spans="1:5">
      <c r="A111" s="1">
        <v>38357</v>
      </c>
      <c r="B111" s="1">
        <v>39082</v>
      </c>
      <c r="C111" s="2">
        <f t="shared" si="5"/>
        <v>1.9849418206707734</v>
      </c>
      <c r="D111" s="3">
        <v>60.1</v>
      </c>
      <c r="E111" s="2">
        <v>5.0999999999999996</v>
      </c>
    </row>
    <row r="112" spans="1:5">
      <c r="A112" s="1">
        <v>38261</v>
      </c>
      <c r="B112" s="1">
        <v>39082</v>
      </c>
      <c r="C112" s="2">
        <f t="shared" si="5"/>
        <v>2.2477754962354553</v>
      </c>
      <c r="D112" s="3">
        <v>60.2</v>
      </c>
      <c r="E112" s="2">
        <v>4.5</v>
      </c>
    </row>
    <row r="113" spans="1:5">
      <c r="A113" s="1">
        <v>38281</v>
      </c>
      <c r="B113" s="1">
        <v>39082</v>
      </c>
      <c r="C113" s="2">
        <f t="shared" si="5"/>
        <v>2.193018480492813</v>
      </c>
      <c r="D113" s="3">
        <v>60.3</v>
      </c>
      <c r="E113" s="2">
        <v>6.5</v>
      </c>
    </row>
    <row r="114" spans="1:5">
      <c r="A114" s="1">
        <v>38361</v>
      </c>
      <c r="B114" s="1">
        <v>39082</v>
      </c>
      <c r="C114" s="2">
        <f t="shared" si="5"/>
        <v>1.9739904175222451</v>
      </c>
      <c r="D114" s="3">
        <v>60.4</v>
      </c>
      <c r="E114" s="2">
        <v>6.1</v>
      </c>
    </row>
    <row r="115" spans="1:5">
      <c r="A115" s="1">
        <v>38373</v>
      </c>
      <c r="B115" s="1">
        <v>39082</v>
      </c>
      <c r="C115" s="2">
        <f t="shared" si="5"/>
        <v>1.9411362080766599</v>
      </c>
      <c r="D115" s="3">
        <v>60.4</v>
      </c>
      <c r="E115" s="2">
        <v>5.9</v>
      </c>
    </row>
    <row r="116" spans="1:5">
      <c r="A116" s="1">
        <v>38294</v>
      </c>
      <c r="B116" s="1">
        <v>39082</v>
      </c>
      <c r="C116" s="2">
        <f t="shared" si="5"/>
        <v>2.1574264202600957</v>
      </c>
      <c r="D116" s="3">
        <v>60.5</v>
      </c>
      <c r="E116" s="2">
        <v>7.7</v>
      </c>
    </row>
    <row r="117" spans="1:5">
      <c r="A117" s="1">
        <v>38239</v>
      </c>
      <c r="B117" s="1">
        <v>39082</v>
      </c>
      <c r="C117" s="2">
        <f t="shared" si="5"/>
        <v>2.3080082135523612</v>
      </c>
      <c r="D117" s="3">
        <v>60.8</v>
      </c>
      <c r="E117" s="2">
        <v>6.2</v>
      </c>
    </row>
    <row r="118" spans="1:5">
      <c r="A118" s="1">
        <v>38300</v>
      </c>
      <c r="B118" s="1">
        <v>39082</v>
      </c>
      <c r="C118" s="2">
        <f t="shared" si="5"/>
        <v>2.1409993155373033</v>
      </c>
      <c r="D118" s="3">
        <v>61</v>
      </c>
      <c r="E118" s="2">
        <v>5.9</v>
      </c>
    </row>
    <row r="119" spans="1:5">
      <c r="A119" s="1">
        <v>38200</v>
      </c>
      <c r="B119" s="1">
        <v>39082</v>
      </c>
      <c r="C119" s="2">
        <f t="shared" si="5"/>
        <v>2.4147843942505132</v>
      </c>
      <c r="D119" s="3">
        <v>61</v>
      </c>
      <c r="E119" s="2">
        <v>6.6</v>
      </c>
    </row>
    <row r="120" spans="1:5">
      <c r="A120" s="1">
        <v>38359</v>
      </c>
      <c r="B120" s="1">
        <v>39082</v>
      </c>
      <c r="C120" s="2">
        <f t="shared" si="5"/>
        <v>1.9794661190965093</v>
      </c>
      <c r="D120" s="3">
        <v>61.1</v>
      </c>
      <c r="E120" s="2">
        <v>6.7</v>
      </c>
    </row>
    <row r="121" spans="1:5">
      <c r="A121" s="1">
        <v>38353</v>
      </c>
      <c r="B121" s="1">
        <v>39082</v>
      </c>
      <c r="C121" s="2">
        <f t="shared" si="5"/>
        <v>1.9958932238193019</v>
      </c>
      <c r="D121" s="3">
        <v>61.2</v>
      </c>
      <c r="E121" s="2">
        <v>6.5</v>
      </c>
    </row>
    <row r="122" spans="1:5">
      <c r="A122" s="1">
        <v>38322</v>
      </c>
      <c r="B122" s="1">
        <v>39082</v>
      </c>
      <c r="C122" s="2">
        <f t="shared" si="5"/>
        <v>2.0807665982203969</v>
      </c>
      <c r="D122" s="3">
        <v>61.2</v>
      </c>
      <c r="E122" s="2">
        <v>5.2</v>
      </c>
    </row>
    <row r="123" spans="1:5">
      <c r="A123" s="1">
        <v>38292</v>
      </c>
      <c r="B123" s="1">
        <v>39082</v>
      </c>
      <c r="C123" s="2">
        <f t="shared" si="5"/>
        <v>2.1629021218343598</v>
      </c>
      <c r="D123" s="3">
        <v>61.3</v>
      </c>
      <c r="E123" s="2">
        <v>6.8</v>
      </c>
    </row>
    <row r="124" spans="1:5">
      <c r="A124" s="1">
        <v>38367</v>
      </c>
      <c r="B124" s="1">
        <v>39082</v>
      </c>
      <c r="C124" s="2">
        <f t="shared" si="5"/>
        <v>1.9575633127994525</v>
      </c>
      <c r="D124" s="3">
        <v>61.3</v>
      </c>
      <c r="E124" s="2">
        <v>5.5</v>
      </c>
    </row>
    <row r="125" spans="1:5">
      <c r="A125" s="1">
        <v>38275</v>
      </c>
      <c r="B125" s="1">
        <v>39082</v>
      </c>
      <c r="C125" s="2">
        <f t="shared" si="5"/>
        <v>2.2094455852156059</v>
      </c>
      <c r="D125" s="3">
        <v>61.4</v>
      </c>
      <c r="E125" s="2">
        <v>6.6</v>
      </c>
    </row>
    <row r="126" spans="1:5">
      <c r="A126" s="1">
        <v>38229</v>
      </c>
      <c r="B126" s="1">
        <v>39082</v>
      </c>
      <c r="C126" s="2">
        <f t="shared" si="5"/>
        <v>2.3353867214236823</v>
      </c>
      <c r="D126" s="3">
        <v>61.5</v>
      </c>
      <c r="E126" s="2">
        <v>5.7</v>
      </c>
    </row>
    <row r="127" spans="1:5">
      <c r="A127" s="1">
        <v>38306</v>
      </c>
      <c r="B127" s="1">
        <v>39082</v>
      </c>
      <c r="C127" s="2">
        <f t="shared" si="5"/>
        <v>2.1245722108145104</v>
      </c>
      <c r="D127" s="3">
        <v>61.5</v>
      </c>
      <c r="E127" s="2">
        <v>5.5</v>
      </c>
    </row>
    <row r="128" spans="1:5">
      <c r="A128" s="1">
        <v>38325</v>
      </c>
      <c r="B128" s="1">
        <v>39082</v>
      </c>
      <c r="C128" s="2">
        <f t="shared" si="5"/>
        <v>2.0725530458590007</v>
      </c>
      <c r="D128" s="3">
        <v>61.5</v>
      </c>
      <c r="E128" s="2">
        <v>6.2</v>
      </c>
    </row>
    <row r="129" spans="1:5">
      <c r="A129" s="1">
        <v>38261</v>
      </c>
      <c r="B129" s="1">
        <v>39082</v>
      </c>
      <c r="C129" s="2">
        <f t="shared" si="5"/>
        <v>2.2477754962354553</v>
      </c>
      <c r="D129" s="3">
        <v>61.7</v>
      </c>
      <c r="E129" s="2">
        <v>7</v>
      </c>
    </row>
    <row r="130" spans="1:5">
      <c r="A130" s="1">
        <v>38192</v>
      </c>
      <c r="B130" s="1">
        <v>39082</v>
      </c>
      <c r="C130" s="2">
        <f t="shared" si="5"/>
        <v>2.4366872005475702</v>
      </c>
      <c r="D130" s="3">
        <v>61.8</v>
      </c>
      <c r="E130" s="2">
        <v>6.6</v>
      </c>
    </row>
    <row r="131" spans="1:5">
      <c r="A131" s="1">
        <v>38319</v>
      </c>
      <c r="B131" s="1">
        <v>39082</v>
      </c>
      <c r="C131" s="2">
        <f t="shared" ref="C131:C194" si="6">(B131-A131)/365.25</f>
        <v>2.0889801505817931</v>
      </c>
      <c r="D131" s="3">
        <v>61.9</v>
      </c>
      <c r="E131" s="2">
        <v>6.4</v>
      </c>
    </row>
    <row r="132" spans="1:5">
      <c r="A132" s="1">
        <v>38317</v>
      </c>
      <c r="B132" s="1">
        <v>39082</v>
      </c>
      <c r="C132" s="2">
        <f t="shared" si="6"/>
        <v>2.0944558521560577</v>
      </c>
      <c r="D132" s="3">
        <v>61.9</v>
      </c>
      <c r="E132" s="2">
        <v>5.9</v>
      </c>
    </row>
    <row r="133" spans="1:5">
      <c r="A133" s="1">
        <v>38246</v>
      </c>
      <c r="B133" s="1">
        <v>39082</v>
      </c>
      <c r="C133" s="2">
        <f t="shared" si="6"/>
        <v>2.2888432580424367</v>
      </c>
      <c r="D133" s="3">
        <v>61.9</v>
      </c>
      <c r="E133" s="2">
        <v>7.6</v>
      </c>
    </row>
    <row r="134" spans="1:5">
      <c r="A134" s="1">
        <v>38228</v>
      </c>
      <c r="B134" s="1">
        <v>39082</v>
      </c>
      <c r="C134" s="2">
        <f t="shared" si="6"/>
        <v>2.3381245722108144</v>
      </c>
      <c r="D134" s="3">
        <v>62</v>
      </c>
      <c r="E134" s="2">
        <v>7.4</v>
      </c>
    </row>
    <row r="135" spans="1:5">
      <c r="A135" s="1">
        <v>38226</v>
      </c>
      <c r="B135" s="1">
        <v>39082</v>
      </c>
      <c r="C135" s="2">
        <f t="shared" si="6"/>
        <v>2.3436002737850785</v>
      </c>
      <c r="D135" s="3">
        <v>62</v>
      </c>
      <c r="E135" s="2">
        <v>6.8</v>
      </c>
    </row>
    <row r="136" spans="1:5">
      <c r="A136" s="1">
        <v>38233</v>
      </c>
      <c r="B136" s="1">
        <v>39082</v>
      </c>
      <c r="C136" s="2">
        <f t="shared" si="6"/>
        <v>2.324435318275154</v>
      </c>
      <c r="D136" s="3">
        <v>62.1</v>
      </c>
      <c r="E136" s="2">
        <v>5.3</v>
      </c>
    </row>
    <row r="137" spans="1:5">
      <c r="A137" s="1">
        <v>38311</v>
      </c>
      <c r="B137" s="1">
        <v>39082</v>
      </c>
      <c r="C137" s="2">
        <f t="shared" si="6"/>
        <v>2.1108829568788501</v>
      </c>
      <c r="D137" s="3">
        <v>62.2</v>
      </c>
      <c r="E137" s="2">
        <v>6.7</v>
      </c>
    </row>
    <row r="138" spans="1:5">
      <c r="A138" s="1">
        <v>38329</v>
      </c>
      <c r="B138" s="1">
        <v>39082</v>
      </c>
      <c r="C138" s="2">
        <f t="shared" si="6"/>
        <v>2.0616016427104724</v>
      </c>
      <c r="D138" s="3">
        <v>62.7</v>
      </c>
      <c r="E138" s="2">
        <v>6.2</v>
      </c>
    </row>
    <row r="139" spans="1:5">
      <c r="A139" s="1">
        <v>38322</v>
      </c>
      <c r="B139" s="1">
        <v>39082</v>
      </c>
      <c r="C139" s="2">
        <f t="shared" si="6"/>
        <v>2.0807665982203969</v>
      </c>
      <c r="D139" s="3">
        <v>62.8</v>
      </c>
      <c r="E139" s="2">
        <v>7.7</v>
      </c>
    </row>
    <row r="140" spans="1:5">
      <c r="A140" s="1">
        <v>38317</v>
      </c>
      <c r="B140" s="1">
        <v>39082</v>
      </c>
      <c r="C140" s="2">
        <f t="shared" si="6"/>
        <v>2.0944558521560577</v>
      </c>
      <c r="D140" s="3">
        <v>63</v>
      </c>
      <c r="E140" s="2">
        <v>6.8</v>
      </c>
    </row>
    <row r="141" spans="1:5">
      <c r="A141" s="1">
        <v>38318</v>
      </c>
      <c r="B141" s="1">
        <v>39082</v>
      </c>
      <c r="C141" s="2">
        <f t="shared" si="6"/>
        <v>2.0917180013689256</v>
      </c>
      <c r="D141" s="3">
        <v>63</v>
      </c>
      <c r="E141" s="2">
        <v>5.8</v>
      </c>
    </row>
    <row r="142" spans="1:5">
      <c r="A142" s="1">
        <v>38261</v>
      </c>
      <c r="B142" s="1">
        <v>39082</v>
      </c>
      <c r="C142" s="2">
        <f t="shared" si="6"/>
        <v>2.2477754962354553</v>
      </c>
      <c r="D142" s="3">
        <v>63</v>
      </c>
      <c r="E142" s="2">
        <v>7.5</v>
      </c>
    </row>
    <row r="143" spans="1:5">
      <c r="A143" s="1">
        <v>38170</v>
      </c>
      <c r="B143" s="1">
        <v>39082</v>
      </c>
      <c r="C143" s="2">
        <f t="shared" si="6"/>
        <v>2.4969199178644765</v>
      </c>
      <c r="D143" s="3">
        <v>63</v>
      </c>
      <c r="E143" s="2">
        <v>5.8</v>
      </c>
    </row>
    <row r="144" spans="1:5">
      <c r="A144" s="1">
        <v>38123</v>
      </c>
      <c r="B144" s="1">
        <v>39082</v>
      </c>
      <c r="C144" s="2">
        <f t="shared" si="6"/>
        <v>2.6255989048596851</v>
      </c>
      <c r="D144" s="3">
        <v>63.2</v>
      </c>
      <c r="E144" s="2">
        <v>6.4</v>
      </c>
    </row>
    <row r="145" spans="1:5">
      <c r="A145" s="1">
        <v>38215</v>
      </c>
      <c r="B145" s="1">
        <v>39082</v>
      </c>
      <c r="C145" s="2">
        <f t="shared" si="6"/>
        <v>2.3737166324435317</v>
      </c>
      <c r="D145" s="3">
        <v>63.2</v>
      </c>
      <c r="E145" s="2">
        <v>7.5</v>
      </c>
    </row>
    <row r="146" spans="1:5">
      <c r="A146" s="1">
        <v>38224</v>
      </c>
      <c r="B146" s="1">
        <v>39082</v>
      </c>
      <c r="C146" s="2">
        <f t="shared" si="6"/>
        <v>2.3490759753593431</v>
      </c>
      <c r="D146" s="3">
        <v>63.5</v>
      </c>
      <c r="E146" s="2">
        <v>5.8</v>
      </c>
    </row>
    <row r="147" spans="1:5">
      <c r="A147" s="1">
        <v>38250</v>
      </c>
      <c r="B147" s="1">
        <v>39082</v>
      </c>
      <c r="C147" s="2">
        <f t="shared" si="6"/>
        <v>2.2778918548939084</v>
      </c>
      <c r="D147" s="3">
        <v>63.5</v>
      </c>
      <c r="E147" s="2">
        <v>5.6</v>
      </c>
    </row>
    <row r="148" spans="1:5">
      <c r="A148" s="1">
        <v>38256</v>
      </c>
      <c r="B148" s="1">
        <v>39082</v>
      </c>
      <c r="C148" s="2">
        <f t="shared" si="6"/>
        <v>2.2614647501711156</v>
      </c>
      <c r="D148" s="3">
        <v>63.5</v>
      </c>
      <c r="E148" s="2">
        <v>6.6</v>
      </c>
    </row>
    <row r="149" spans="1:5">
      <c r="A149" s="1">
        <v>38322</v>
      </c>
      <c r="B149" s="1">
        <v>39082</v>
      </c>
      <c r="C149" s="2">
        <f t="shared" si="6"/>
        <v>2.0807665982203969</v>
      </c>
      <c r="D149" s="3">
        <v>63.6</v>
      </c>
      <c r="E149" s="2">
        <v>6.7</v>
      </c>
    </row>
    <row r="150" spans="1:5">
      <c r="A150" s="1">
        <v>38251</v>
      </c>
      <c r="B150" s="1">
        <v>39082</v>
      </c>
      <c r="C150" s="2">
        <f t="shared" si="6"/>
        <v>2.2751540041067764</v>
      </c>
      <c r="D150" s="3">
        <v>63.9</v>
      </c>
      <c r="E150" s="2">
        <v>5.7</v>
      </c>
    </row>
    <row r="151" spans="1:5">
      <c r="A151" s="1">
        <v>38268</v>
      </c>
      <c r="B151" s="1">
        <v>39082</v>
      </c>
      <c r="C151" s="2">
        <f t="shared" si="6"/>
        <v>2.2286105407255303</v>
      </c>
      <c r="D151" s="3">
        <v>64.2</v>
      </c>
      <c r="E151" s="2">
        <v>8.1</v>
      </c>
    </row>
    <row r="152" spans="1:5">
      <c r="A152" s="1">
        <v>38236</v>
      </c>
      <c r="B152" s="1">
        <v>39082</v>
      </c>
      <c r="C152" s="2">
        <f t="shared" si="6"/>
        <v>2.3162217659137578</v>
      </c>
      <c r="D152" s="3">
        <v>64.3</v>
      </c>
      <c r="E152" s="2">
        <v>5.9</v>
      </c>
    </row>
    <row r="153" spans="1:5">
      <c r="A153" s="1">
        <v>38257</v>
      </c>
      <c r="B153" s="1">
        <v>39082</v>
      </c>
      <c r="C153" s="2">
        <f t="shared" si="6"/>
        <v>2.2587268993839835</v>
      </c>
      <c r="D153" s="3">
        <v>64.5</v>
      </c>
      <c r="E153" s="2">
        <v>7.1</v>
      </c>
    </row>
    <row r="154" spans="1:5">
      <c r="A154" s="1">
        <v>38232</v>
      </c>
      <c r="B154" s="1">
        <v>39082</v>
      </c>
      <c r="C154" s="2">
        <f t="shared" si="6"/>
        <v>2.3271731690622861</v>
      </c>
      <c r="D154" s="3">
        <v>64.5</v>
      </c>
      <c r="E154" s="2">
        <v>7.7</v>
      </c>
    </row>
    <row r="155" spans="1:5">
      <c r="A155" s="1">
        <v>38235</v>
      </c>
      <c r="B155" s="1">
        <v>39082</v>
      </c>
      <c r="C155" s="2">
        <f t="shared" si="6"/>
        <v>2.3189596167008899</v>
      </c>
      <c r="D155" s="3">
        <v>64.5</v>
      </c>
      <c r="E155" s="2">
        <v>7.6</v>
      </c>
    </row>
    <row r="156" spans="1:5">
      <c r="A156" s="1">
        <v>38232</v>
      </c>
      <c r="B156" s="1">
        <v>39082</v>
      </c>
      <c r="C156" s="2">
        <f t="shared" si="6"/>
        <v>2.3271731690622861</v>
      </c>
      <c r="D156" s="3">
        <v>64.599999999999994</v>
      </c>
      <c r="E156" s="2">
        <v>6.5</v>
      </c>
    </row>
    <row r="157" spans="1:5">
      <c r="A157" s="1">
        <v>38279</v>
      </c>
      <c r="B157" s="1">
        <v>39082</v>
      </c>
      <c r="C157" s="2">
        <f t="shared" si="6"/>
        <v>2.1984941820670771</v>
      </c>
      <c r="D157" s="3">
        <v>64.599999999999994</v>
      </c>
      <c r="E157" s="2">
        <v>8.1</v>
      </c>
    </row>
    <row r="158" spans="1:5">
      <c r="A158" s="1">
        <v>38232</v>
      </c>
      <c r="B158" s="1">
        <v>39082</v>
      </c>
      <c r="C158" s="2">
        <f t="shared" si="6"/>
        <v>2.3271731690622861</v>
      </c>
      <c r="D158" s="3">
        <v>64.8</v>
      </c>
      <c r="E158" s="2">
        <v>6.4</v>
      </c>
    </row>
    <row r="159" spans="1:5">
      <c r="A159" s="1">
        <v>38172</v>
      </c>
      <c r="B159" s="1">
        <v>39082</v>
      </c>
      <c r="C159" s="2">
        <f t="shared" si="6"/>
        <v>2.4914442162902124</v>
      </c>
      <c r="D159" s="3">
        <v>64.900000000000006</v>
      </c>
      <c r="E159" s="2">
        <v>7.1</v>
      </c>
    </row>
    <row r="160" spans="1:5">
      <c r="A160" s="1">
        <v>38220</v>
      </c>
      <c r="B160" s="1">
        <v>39082</v>
      </c>
      <c r="C160" s="2">
        <f t="shared" si="6"/>
        <v>2.3600273785078714</v>
      </c>
      <c r="D160" s="3">
        <v>64.900000000000006</v>
      </c>
      <c r="E160" s="2">
        <v>7.5</v>
      </c>
    </row>
    <row r="161" spans="1:5">
      <c r="A161" s="1">
        <v>38226</v>
      </c>
      <c r="B161" s="1">
        <v>39082</v>
      </c>
      <c r="C161" s="2">
        <f t="shared" si="6"/>
        <v>2.3436002737850785</v>
      </c>
      <c r="D161" s="3">
        <v>65</v>
      </c>
      <c r="E161" s="2">
        <v>6.8</v>
      </c>
    </row>
    <row r="162" spans="1:5">
      <c r="A162" s="1">
        <v>38154</v>
      </c>
      <c r="B162" s="1">
        <v>39082</v>
      </c>
      <c r="C162" s="2">
        <f t="shared" si="6"/>
        <v>2.5407255304585901</v>
      </c>
      <c r="D162" s="3">
        <v>65</v>
      </c>
      <c r="E162" s="2">
        <v>7.5</v>
      </c>
    </row>
    <row r="163" spans="1:5">
      <c r="A163" s="1">
        <v>38218</v>
      </c>
      <c r="B163" s="1">
        <v>39082</v>
      </c>
      <c r="C163" s="2">
        <f t="shared" si="6"/>
        <v>2.3655030800821355</v>
      </c>
      <c r="D163" s="3">
        <v>65.099999999999994</v>
      </c>
      <c r="E163" s="2">
        <v>7.5</v>
      </c>
    </row>
    <row r="164" spans="1:5">
      <c r="A164" s="1">
        <v>38202</v>
      </c>
      <c r="B164" s="1">
        <v>39082</v>
      </c>
      <c r="C164" s="2">
        <f t="shared" si="6"/>
        <v>2.409308692676249</v>
      </c>
      <c r="D164" s="3">
        <v>65.2</v>
      </c>
      <c r="E164" s="2">
        <v>6.8</v>
      </c>
    </row>
    <row r="165" spans="1:5">
      <c r="A165" s="1">
        <v>38069</v>
      </c>
      <c r="B165" s="1">
        <v>39082</v>
      </c>
      <c r="C165" s="2">
        <f t="shared" si="6"/>
        <v>2.7734428473648185</v>
      </c>
      <c r="D165" s="3">
        <v>65.2</v>
      </c>
      <c r="E165" s="2">
        <v>5</v>
      </c>
    </row>
    <row r="166" spans="1:5">
      <c r="A166" s="1">
        <v>38158</v>
      </c>
      <c r="B166" s="1">
        <v>39082</v>
      </c>
      <c r="C166" s="2">
        <f t="shared" si="6"/>
        <v>2.5297741273100618</v>
      </c>
      <c r="D166" s="3">
        <v>65.3</v>
      </c>
      <c r="E166" s="2">
        <v>7</v>
      </c>
    </row>
    <row r="167" spans="1:5">
      <c r="A167" s="1">
        <v>38227</v>
      </c>
      <c r="B167" s="1">
        <v>39082</v>
      </c>
      <c r="C167" s="2">
        <f t="shared" si="6"/>
        <v>2.3408624229979464</v>
      </c>
      <c r="D167" s="3">
        <v>65.3</v>
      </c>
      <c r="E167" s="2">
        <v>7.7</v>
      </c>
    </row>
    <row r="168" spans="1:5">
      <c r="A168" s="1">
        <v>38270</v>
      </c>
      <c r="B168" s="1">
        <v>39082</v>
      </c>
      <c r="C168" s="2">
        <f t="shared" si="6"/>
        <v>2.2231348391512662</v>
      </c>
      <c r="D168" s="3">
        <v>65.5</v>
      </c>
      <c r="E168" s="2">
        <v>7.2</v>
      </c>
    </row>
    <row r="169" spans="1:5">
      <c r="A169" s="1">
        <v>38390</v>
      </c>
      <c r="B169" s="1">
        <v>39082</v>
      </c>
      <c r="C169" s="2">
        <f t="shared" si="6"/>
        <v>1.8945927446954141</v>
      </c>
      <c r="D169" s="3">
        <v>65.599999999999994</v>
      </c>
      <c r="E169" s="2">
        <v>5.6</v>
      </c>
    </row>
    <row r="170" spans="1:5">
      <c r="A170" s="1">
        <v>38243</v>
      </c>
      <c r="B170" s="1">
        <v>39082</v>
      </c>
      <c r="C170" s="2">
        <f t="shared" si="6"/>
        <v>2.2970568104038329</v>
      </c>
      <c r="D170" s="3">
        <v>65.599999999999994</v>
      </c>
      <c r="E170" s="2">
        <v>7.5</v>
      </c>
    </row>
    <row r="171" spans="1:5">
      <c r="A171" s="1">
        <v>38232</v>
      </c>
      <c r="B171" s="1">
        <v>39082</v>
      </c>
      <c r="C171" s="2">
        <f t="shared" si="6"/>
        <v>2.3271731690622861</v>
      </c>
      <c r="D171" s="3">
        <v>65.7</v>
      </c>
      <c r="E171" s="2">
        <v>7.6</v>
      </c>
    </row>
    <row r="172" spans="1:5">
      <c r="A172" s="1">
        <v>38206</v>
      </c>
      <c r="B172" s="1">
        <v>39082</v>
      </c>
      <c r="C172" s="2">
        <f t="shared" si="6"/>
        <v>2.3983572895277208</v>
      </c>
      <c r="D172" s="3">
        <v>65.7</v>
      </c>
      <c r="E172" s="2">
        <v>6.1</v>
      </c>
    </row>
    <row r="173" spans="1:5">
      <c r="A173" s="1">
        <v>38183</v>
      </c>
      <c r="B173" s="1">
        <v>39082</v>
      </c>
      <c r="C173" s="2">
        <f t="shared" si="6"/>
        <v>2.4613278576317592</v>
      </c>
      <c r="D173" s="3">
        <v>65.8</v>
      </c>
      <c r="E173" s="2">
        <v>7</v>
      </c>
    </row>
    <row r="174" spans="1:5">
      <c r="A174" s="1">
        <v>38223</v>
      </c>
      <c r="B174" s="1">
        <v>39082</v>
      </c>
      <c r="C174" s="2">
        <f t="shared" si="6"/>
        <v>2.3518138261464752</v>
      </c>
      <c r="D174" s="3">
        <v>65.900000000000006</v>
      </c>
      <c r="E174" s="2">
        <v>6</v>
      </c>
    </row>
    <row r="175" spans="1:5">
      <c r="A175" s="1">
        <v>38066</v>
      </c>
      <c r="B175" s="1">
        <v>39082</v>
      </c>
      <c r="C175" s="2">
        <f t="shared" si="6"/>
        <v>2.7816563997262147</v>
      </c>
      <c r="D175" s="3">
        <v>65.900000000000006</v>
      </c>
      <c r="E175" s="2">
        <v>6.3</v>
      </c>
    </row>
    <row r="176" spans="1:5">
      <c r="A176" s="1">
        <v>38244</v>
      </c>
      <c r="B176" s="1">
        <v>39082</v>
      </c>
      <c r="C176" s="2">
        <f t="shared" si="6"/>
        <v>2.2943189596167008</v>
      </c>
      <c r="D176" s="3">
        <v>66</v>
      </c>
      <c r="E176" s="2">
        <v>9.1</v>
      </c>
    </row>
    <row r="177" spans="1:5">
      <c r="A177" s="1">
        <v>38259</v>
      </c>
      <c r="B177" s="1">
        <v>39082</v>
      </c>
      <c r="C177" s="2">
        <f t="shared" si="6"/>
        <v>2.2532511978097194</v>
      </c>
      <c r="D177" s="3">
        <v>66</v>
      </c>
      <c r="E177" s="2">
        <v>8.1999999999999993</v>
      </c>
    </row>
    <row r="178" spans="1:5">
      <c r="A178" s="1">
        <v>38200</v>
      </c>
      <c r="B178" s="1">
        <v>39082</v>
      </c>
      <c r="C178" s="2">
        <f t="shared" si="6"/>
        <v>2.4147843942505132</v>
      </c>
      <c r="D178" s="3">
        <v>66</v>
      </c>
      <c r="E178" s="2">
        <v>8.5</v>
      </c>
    </row>
    <row r="179" spans="1:5">
      <c r="A179" s="1">
        <v>38201</v>
      </c>
      <c r="B179" s="1">
        <v>39082</v>
      </c>
      <c r="C179" s="2">
        <f t="shared" si="6"/>
        <v>2.4120465434633811</v>
      </c>
      <c r="D179" s="3">
        <v>66</v>
      </c>
      <c r="E179" s="2">
        <v>6.7</v>
      </c>
    </row>
    <row r="180" spans="1:5">
      <c r="A180" s="1">
        <v>37926</v>
      </c>
      <c r="B180" s="1">
        <v>39082</v>
      </c>
      <c r="C180" s="2">
        <f t="shared" si="6"/>
        <v>3.1649555099247091</v>
      </c>
      <c r="D180" s="3">
        <v>66</v>
      </c>
      <c r="E180" s="2">
        <v>6.6</v>
      </c>
    </row>
    <row r="181" spans="1:5">
      <c r="A181" s="1">
        <v>38129</v>
      </c>
      <c r="B181" s="1">
        <v>39082</v>
      </c>
      <c r="C181" s="2">
        <f t="shared" si="6"/>
        <v>2.6091718001368926</v>
      </c>
      <c r="D181" s="3">
        <v>66.099999999999994</v>
      </c>
      <c r="E181" s="2">
        <v>7.7</v>
      </c>
    </row>
    <row r="182" spans="1:5">
      <c r="A182" s="1">
        <v>38232</v>
      </c>
      <c r="B182" s="1">
        <v>39082</v>
      </c>
      <c r="C182" s="2">
        <f t="shared" si="6"/>
        <v>2.3271731690622861</v>
      </c>
      <c r="D182" s="3">
        <v>66.2</v>
      </c>
      <c r="E182" s="2">
        <v>6.8</v>
      </c>
    </row>
    <row r="183" spans="1:5">
      <c r="A183" s="1">
        <v>38177</v>
      </c>
      <c r="B183" s="1">
        <v>39082</v>
      </c>
      <c r="C183" s="2">
        <f t="shared" si="6"/>
        <v>2.4777549623545516</v>
      </c>
      <c r="D183" s="3">
        <v>66.3</v>
      </c>
      <c r="E183" s="2">
        <v>7.2</v>
      </c>
    </row>
    <row r="184" spans="1:5">
      <c r="A184" s="1">
        <v>38181</v>
      </c>
      <c r="B184" s="1">
        <v>39082</v>
      </c>
      <c r="C184" s="2">
        <f t="shared" si="6"/>
        <v>2.4668035592060233</v>
      </c>
      <c r="D184" s="3">
        <v>66.400000000000006</v>
      </c>
      <c r="E184" s="2">
        <v>7.7</v>
      </c>
    </row>
    <row r="185" spans="1:5">
      <c r="A185" s="1">
        <v>38203</v>
      </c>
      <c r="B185" s="1">
        <v>39082</v>
      </c>
      <c r="C185" s="2">
        <f t="shared" si="6"/>
        <v>2.406570841889117</v>
      </c>
      <c r="D185" s="3">
        <v>66.5</v>
      </c>
      <c r="E185" s="2">
        <v>6.4</v>
      </c>
    </row>
    <row r="186" spans="1:5">
      <c r="A186" s="1">
        <v>38093</v>
      </c>
      <c r="B186" s="1">
        <v>39082</v>
      </c>
      <c r="C186" s="2">
        <f t="shared" si="6"/>
        <v>2.707734428473648</v>
      </c>
      <c r="D186" s="3">
        <v>66.5</v>
      </c>
      <c r="E186" s="2">
        <v>7</v>
      </c>
    </row>
    <row r="187" spans="1:5">
      <c r="A187" s="1">
        <v>38159</v>
      </c>
      <c r="B187" s="1">
        <v>39082</v>
      </c>
      <c r="C187" s="2">
        <f t="shared" si="6"/>
        <v>2.5270362765229293</v>
      </c>
      <c r="D187" s="3">
        <v>66.5</v>
      </c>
      <c r="E187" s="2">
        <v>6.9</v>
      </c>
    </row>
    <row r="188" spans="1:5">
      <c r="A188" s="1">
        <v>38152</v>
      </c>
      <c r="B188" s="1">
        <v>39082</v>
      </c>
      <c r="C188" s="2">
        <f t="shared" si="6"/>
        <v>2.5462012320328542</v>
      </c>
      <c r="D188" s="3">
        <v>66.5</v>
      </c>
      <c r="E188" s="2">
        <v>6.5</v>
      </c>
    </row>
    <row r="189" spans="1:5">
      <c r="A189" s="1">
        <v>38228</v>
      </c>
      <c r="B189" s="1">
        <v>39082</v>
      </c>
      <c r="C189" s="2">
        <f t="shared" si="6"/>
        <v>2.3381245722108144</v>
      </c>
      <c r="D189" s="3">
        <v>66.7</v>
      </c>
      <c r="E189" s="2">
        <v>7.1</v>
      </c>
    </row>
    <row r="190" spans="1:5">
      <c r="A190" s="1">
        <v>38159</v>
      </c>
      <c r="B190" s="1">
        <v>39082</v>
      </c>
      <c r="C190" s="2">
        <f t="shared" si="6"/>
        <v>2.5270362765229293</v>
      </c>
      <c r="D190" s="3">
        <v>66.7</v>
      </c>
      <c r="E190" s="2">
        <v>7.5</v>
      </c>
    </row>
    <row r="191" spans="1:5">
      <c r="A191" s="1">
        <v>38111</v>
      </c>
      <c r="B191" s="1">
        <v>39082</v>
      </c>
      <c r="C191" s="2">
        <f t="shared" si="6"/>
        <v>2.6584531143052703</v>
      </c>
      <c r="D191" s="3">
        <v>66.7</v>
      </c>
      <c r="E191" s="2">
        <v>6.5</v>
      </c>
    </row>
    <row r="192" spans="1:5">
      <c r="A192" s="1">
        <v>38105</v>
      </c>
      <c r="B192" s="1">
        <v>39082</v>
      </c>
      <c r="C192" s="2">
        <f t="shared" si="6"/>
        <v>2.6748802190280632</v>
      </c>
      <c r="D192" s="3">
        <v>66.8</v>
      </c>
      <c r="E192" s="2">
        <v>6.9</v>
      </c>
    </row>
    <row r="193" spans="1:5">
      <c r="A193" s="1">
        <v>38200</v>
      </c>
      <c r="B193" s="1">
        <v>39082</v>
      </c>
      <c r="C193" s="2">
        <f t="shared" si="6"/>
        <v>2.4147843942505132</v>
      </c>
      <c r="D193" s="3">
        <v>66.8</v>
      </c>
      <c r="E193" s="2">
        <v>7</v>
      </c>
    </row>
    <row r="194" spans="1:5">
      <c r="A194" s="1">
        <v>38499</v>
      </c>
      <c r="B194" s="1">
        <v>39082</v>
      </c>
      <c r="C194" s="2">
        <f t="shared" si="6"/>
        <v>1.5961670088980151</v>
      </c>
      <c r="D194" s="3">
        <v>66.8</v>
      </c>
      <c r="E194" s="2">
        <v>6.3</v>
      </c>
    </row>
    <row r="195" spans="1:5">
      <c r="A195" s="1">
        <v>38239</v>
      </c>
      <c r="B195" s="1">
        <v>39082</v>
      </c>
      <c r="C195" s="2">
        <f t="shared" ref="C195:C258" si="7">(B195-A195)/365.25</f>
        <v>2.3080082135523612</v>
      </c>
      <c r="D195" s="3">
        <v>66.8</v>
      </c>
      <c r="E195" s="2">
        <v>7.8</v>
      </c>
    </row>
    <row r="196" spans="1:5">
      <c r="A196" s="1">
        <v>37996</v>
      </c>
      <c r="B196" s="1">
        <v>39082</v>
      </c>
      <c r="C196" s="2">
        <f t="shared" si="7"/>
        <v>2.9733059548254621</v>
      </c>
      <c r="D196" s="3">
        <v>67</v>
      </c>
      <c r="E196" s="2">
        <v>7.5</v>
      </c>
    </row>
    <row r="197" spans="1:5">
      <c r="A197" s="1">
        <v>38200</v>
      </c>
      <c r="B197" s="1">
        <v>39082</v>
      </c>
      <c r="C197" s="2">
        <f t="shared" si="7"/>
        <v>2.4147843942505132</v>
      </c>
      <c r="D197" s="3">
        <v>67</v>
      </c>
      <c r="E197" s="2">
        <v>6.6</v>
      </c>
    </row>
    <row r="198" spans="1:5">
      <c r="A198" s="1">
        <v>38209</v>
      </c>
      <c r="B198" s="1">
        <v>39082</v>
      </c>
      <c r="C198" s="2">
        <f t="shared" si="7"/>
        <v>2.3901437371663246</v>
      </c>
      <c r="D198" s="3">
        <v>67</v>
      </c>
      <c r="E198" s="2">
        <v>7.4</v>
      </c>
    </row>
    <row r="199" spans="1:5">
      <c r="A199" s="1">
        <v>38242</v>
      </c>
      <c r="B199" s="1">
        <v>39082</v>
      </c>
      <c r="C199" s="2">
        <f t="shared" si="7"/>
        <v>2.299794661190965</v>
      </c>
      <c r="D199" s="3">
        <v>67</v>
      </c>
      <c r="E199" s="2">
        <v>8.6</v>
      </c>
    </row>
    <row r="200" spans="1:5">
      <c r="A200" s="1">
        <v>38080</v>
      </c>
      <c r="B200" s="1">
        <v>39082</v>
      </c>
      <c r="C200" s="2">
        <f t="shared" si="7"/>
        <v>2.7433264887063653</v>
      </c>
      <c r="D200" s="3">
        <v>67.099999999999994</v>
      </c>
      <c r="E200" s="2">
        <v>8.1</v>
      </c>
    </row>
    <row r="201" spans="1:5">
      <c r="A201" s="1">
        <v>38168</v>
      </c>
      <c r="B201" s="1">
        <v>39082</v>
      </c>
      <c r="C201" s="2">
        <f t="shared" si="7"/>
        <v>2.5023956194387407</v>
      </c>
      <c r="D201" s="3">
        <v>67.2</v>
      </c>
      <c r="E201" s="2">
        <v>9.1</v>
      </c>
    </row>
    <row r="202" spans="1:5">
      <c r="A202" s="1">
        <v>38099</v>
      </c>
      <c r="B202" s="1">
        <v>39082</v>
      </c>
      <c r="C202" s="2">
        <f t="shared" si="7"/>
        <v>2.6913073237508556</v>
      </c>
      <c r="D202" s="3">
        <v>67.2</v>
      </c>
      <c r="E202" s="2">
        <v>7.1</v>
      </c>
    </row>
    <row r="203" spans="1:5">
      <c r="A203" s="1">
        <v>38166</v>
      </c>
      <c r="B203" s="1">
        <v>39082</v>
      </c>
      <c r="C203" s="2">
        <f t="shared" si="7"/>
        <v>2.5078713210130048</v>
      </c>
      <c r="D203" s="3">
        <v>67.3</v>
      </c>
      <c r="E203" s="2">
        <v>7.1</v>
      </c>
    </row>
    <row r="204" spans="1:5">
      <c r="A204" s="1">
        <v>38063</v>
      </c>
      <c r="B204" s="1">
        <v>39082</v>
      </c>
      <c r="C204" s="2">
        <f t="shared" si="7"/>
        <v>2.7898699520876113</v>
      </c>
      <c r="D204" s="3">
        <v>67.3</v>
      </c>
      <c r="E204" s="2">
        <v>6.6</v>
      </c>
    </row>
    <row r="205" spans="1:5">
      <c r="A205" s="1">
        <v>38038</v>
      </c>
      <c r="B205" s="1">
        <v>39082</v>
      </c>
      <c r="C205" s="2">
        <f t="shared" si="7"/>
        <v>2.8583162217659139</v>
      </c>
      <c r="D205" s="3">
        <v>67.3</v>
      </c>
      <c r="E205" s="2">
        <v>7</v>
      </c>
    </row>
    <row r="206" spans="1:5">
      <c r="A206" s="1">
        <v>38080</v>
      </c>
      <c r="B206" s="1">
        <v>39082</v>
      </c>
      <c r="C206" s="2">
        <f t="shared" si="7"/>
        <v>2.7433264887063653</v>
      </c>
      <c r="D206" s="3">
        <v>67.400000000000006</v>
      </c>
      <c r="E206" s="2">
        <v>7.3</v>
      </c>
    </row>
    <row r="207" spans="1:5">
      <c r="A207" s="1">
        <v>38124</v>
      </c>
      <c r="B207" s="1">
        <v>39082</v>
      </c>
      <c r="C207" s="2">
        <f t="shared" si="7"/>
        <v>2.622861054072553</v>
      </c>
      <c r="D207" s="3">
        <v>67.5</v>
      </c>
      <c r="E207" s="2">
        <v>8</v>
      </c>
    </row>
    <row r="208" spans="1:5">
      <c r="A208" s="1">
        <v>38125</v>
      </c>
      <c r="B208" s="1">
        <v>39082</v>
      </c>
      <c r="C208" s="2">
        <f t="shared" si="7"/>
        <v>2.6201232032854209</v>
      </c>
      <c r="D208" s="3">
        <v>67.5</v>
      </c>
      <c r="E208" s="2">
        <v>6.2</v>
      </c>
    </row>
    <row r="209" spans="1:5">
      <c r="A209" s="1">
        <v>38139</v>
      </c>
      <c r="B209" s="1">
        <v>39082</v>
      </c>
      <c r="C209" s="2">
        <f t="shared" si="7"/>
        <v>2.5817932922655715</v>
      </c>
      <c r="D209" s="3">
        <v>67.599999999999994</v>
      </c>
      <c r="E209" s="2">
        <v>6.9</v>
      </c>
    </row>
    <row r="210" spans="1:5">
      <c r="A210" s="1">
        <v>38200</v>
      </c>
      <c r="B210" s="1">
        <v>39082</v>
      </c>
      <c r="C210" s="2">
        <f t="shared" si="7"/>
        <v>2.4147843942505132</v>
      </c>
      <c r="D210" s="3">
        <v>67.599999999999994</v>
      </c>
      <c r="E210" s="2">
        <v>7.1</v>
      </c>
    </row>
    <row r="211" spans="1:5">
      <c r="A211" s="1">
        <v>38061</v>
      </c>
      <c r="B211" s="1">
        <v>39082</v>
      </c>
      <c r="C211" s="2">
        <f t="shared" si="7"/>
        <v>2.7953456536618755</v>
      </c>
      <c r="D211" s="3">
        <v>67.8</v>
      </c>
      <c r="E211" s="2">
        <v>8</v>
      </c>
    </row>
    <row r="212" spans="1:5">
      <c r="A212" s="1">
        <v>38078</v>
      </c>
      <c r="B212" s="1">
        <v>39082</v>
      </c>
      <c r="C212" s="2">
        <f t="shared" si="7"/>
        <v>2.7488021902806299</v>
      </c>
      <c r="D212" s="3">
        <v>67.900000000000006</v>
      </c>
      <c r="E212" s="2">
        <v>7.6</v>
      </c>
    </row>
    <row r="213" spans="1:5">
      <c r="A213" s="1">
        <v>38187</v>
      </c>
      <c r="B213" s="1">
        <v>39082</v>
      </c>
      <c r="C213" s="2">
        <f t="shared" si="7"/>
        <v>2.4503764544832305</v>
      </c>
      <c r="D213" s="3">
        <v>68.099999999999994</v>
      </c>
      <c r="E213" s="2">
        <v>7.6</v>
      </c>
    </row>
    <row r="214" spans="1:5">
      <c r="A214" s="1">
        <v>38023</v>
      </c>
      <c r="B214" s="1">
        <v>39082</v>
      </c>
      <c r="C214" s="2">
        <f t="shared" si="7"/>
        <v>2.8993839835728954</v>
      </c>
      <c r="D214" s="3">
        <v>68.099999999999994</v>
      </c>
      <c r="E214" s="2">
        <v>6.7</v>
      </c>
    </row>
    <row r="215" spans="1:5">
      <c r="A215" s="1">
        <v>38027</v>
      </c>
      <c r="B215" s="1">
        <v>39082</v>
      </c>
      <c r="C215" s="2">
        <f t="shared" si="7"/>
        <v>2.8884325804243667</v>
      </c>
      <c r="D215" s="3">
        <v>68.2</v>
      </c>
      <c r="E215" s="2">
        <v>6.9</v>
      </c>
    </row>
    <row r="216" spans="1:5">
      <c r="A216" s="1">
        <v>37962</v>
      </c>
      <c r="B216" s="1">
        <v>39082</v>
      </c>
      <c r="C216" s="2">
        <f t="shared" si="7"/>
        <v>3.0663928815879533</v>
      </c>
      <c r="D216" s="3">
        <v>68.2</v>
      </c>
      <c r="E216" s="2">
        <v>8.5</v>
      </c>
    </row>
    <row r="217" spans="1:5">
      <c r="A217" s="1">
        <v>38158</v>
      </c>
      <c r="B217" s="1">
        <v>39082</v>
      </c>
      <c r="C217" s="2">
        <f t="shared" si="7"/>
        <v>2.5297741273100618</v>
      </c>
      <c r="D217" s="3">
        <v>68.400000000000006</v>
      </c>
      <c r="E217" s="2">
        <v>6.7</v>
      </c>
    </row>
    <row r="218" spans="1:5">
      <c r="A218" s="1">
        <v>38257</v>
      </c>
      <c r="B218" s="1">
        <v>39082</v>
      </c>
      <c r="C218" s="2">
        <f t="shared" si="7"/>
        <v>2.2587268993839835</v>
      </c>
      <c r="D218" s="3">
        <v>68.400000000000006</v>
      </c>
      <c r="E218" s="2">
        <v>9.3000000000000007</v>
      </c>
    </row>
    <row r="219" spans="1:5">
      <c r="A219" s="1">
        <v>38018</v>
      </c>
      <c r="B219" s="1">
        <v>39082</v>
      </c>
      <c r="C219" s="2">
        <f t="shared" si="7"/>
        <v>2.9130732375085557</v>
      </c>
      <c r="D219" s="3">
        <v>68.400000000000006</v>
      </c>
      <c r="E219" s="2">
        <v>7.4</v>
      </c>
    </row>
    <row r="220" spans="1:5">
      <c r="A220" s="1">
        <v>38054</v>
      </c>
      <c r="B220" s="1">
        <v>39082</v>
      </c>
      <c r="C220" s="2">
        <f t="shared" si="7"/>
        <v>2.8145106091718</v>
      </c>
      <c r="D220" s="3">
        <v>68.400000000000006</v>
      </c>
      <c r="E220" s="2">
        <v>7.6</v>
      </c>
    </row>
    <row r="221" spans="1:5">
      <c r="A221" s="1">
        <v>38290</v>
      </c>
      <c r="B221" s="1">
        <v>39082</v>
      </c>
      <c r="C221" s="2">
        <f t="shared" si="7"/>
        <v>2.1683778234086244</v>
      </c>
      <c r="D221" s="3">
        <v>68.5</v>
      </c>
      <c r="E221" s="2">
        <v>8.5</v>
      </c>
    </row>
    <row r="222" spans="1:5">
      <c r="A222" s="1">
        <v>38109</v>
      </c>
      <c r="B222" s="1">
        <v>39082</v>
      </c>
      <c r="C222" s="2">
        <f t="shared" si="7"/>
        <v>2.6639288158795345</v>
      </c>
      <c r="D222" s="3">
        <v>68.5</v>
      </c>
      <c r="E222" s="2">
        <v>7.6</v>
      </c>
    </row>
    <row r="223" spans="1:5">
      <c r="A223" s="1">
        <v>37996</v>
      </c>
      <c r="B223" s="1">
        <v>39082</v>
      </c>
      <c r="C223" s="2">
        <f t="shared" si="7"/>
        <v>2.9733059548254621</v>
      </c>
      <c r="D223" s="3">
        <v>68.599999999999994</v>
      </c>
      <c r="E223" s="2">
        <v>7.8</v>
      </c>
    </row>
    <row r="224" spans="1:5">
      <c r="A224" s="1">
        <v>38106</v>
      </c>
      <c r="B224" s="1">
        <v>39082</v>
      </c>
      <c r="C224" s="2">
        <f t="shared" si="7"/>
        <v>2.6721423682409307</v>
      </c>
      <c r="D224" s="3">
        <v>68.599999999999994</v>
      </c>
      <c r="E224" s="2">
        <v>6.6</v>
      </c>
    </row>
    <row r="225" spans="1:5">
      <c r="A225" s="1">
        <v>38093</v>
      </c>
      <c r="B225" s="1">
        <v>39082</v>
      </c>
      <c r="C225" s="2">
        <f t="shared" si="7"/>
        <v>2.707734428473648</v>
      </c>
      <c r="D225" s="3">
        <v>68.7</v>
      </c>
      <c r="E225" s="2">
        <v>8</v>
      </c>
    </row>
    <row r="226" spans="1:5">
      <c r="A226" s="1">
        <v>38177</v>
      </c>
      <c r="B226" s="1">
        <v>39082</v>
      </c>
      <c r="C226" s="2">
        <f t="shared" si="7"/>
        <v>2.4777549623545516</v>
      </c>
      <c r="D226" s="3">
        <v>68.7</v>
      </c>
      <c r="E226" s="2">
        <v>6.1</v>
      </c>
    </row>
    <row r="227" spans="1:5">
      <c r="A227" s="1">
        <v>37990</v>
      </c>
      <c r="B227" s="1">
        <v>39082</v>
      </c>
      <c r="C227" s="2">
        <f t="shared" si="7"/>
        <v>2.9897330595482545</v>
      </c>
      <c r="D227" s="3">
        <v>68.7</v>
      </c>
      <c r="E227" s="2">
        <v>7.3</v>
      </c>
    </row>
    <row r="228" spans="1:5">
      <c r="A228" s="1">
        <v>38084</v>
      </c>
      <c r="B228" s="1">
        <v>39082</v>
      </c>
      <c r="C228" s="2">
        <f t="shared" si="7"/>
        <v>2.732375085557837</v>
      </c>
      <c r="D228" s="3">
        <v>68.8</v>
      </c>
      <c r="E228" s="2">
        <v>7.6</v>
      </c>
    </row>
    <row r="229" spans="1:5">
      <c r="A229" s="1">
        <v>38081</v>
      </c>
      <c r="B229" s="1">
        <v>39082</v>
      </c>
      <c r="C229" s="2">
        <f t="shared" si="7"/>
        <v>2.7405886379192332</v>
      </c>
      <c r="D229" s="3">
        <v>68.900000000000006</v>
      </c>
      <c r="E229" s="2">
        <v>7.1</v>
      </c>
    </row>
    <row r="230" spans="1:5">
      <c r="A230" s="1">
        <v>38105</v>
      </c>
      <c r="B230" s="1">
        <v>39082</v>
      </c>
      <c r="C230" s="2">
        <f t="shared" si="7"/>
        <v>2.6748802190280632</v>
      </c>
      <c r="D230" s="3">
        <v>69</v>
      </c>
      <c r="E230" s="2">
        <v>8.1</v>
      </c>
    </row>
    <row r="231" spans="1:5">
      <c r="A231" s="1">
        <v>38228</v>
      </c>
      <c r="B231" s="1">
        <v>39082</v>
      </c>
      <c r="C231" s="2">
        <f t="shared" si="7"/>
        <v>2.3381245722108144</v>
      </c>
      <c r="D231" s="3">
        <v>69</v>
      </c>
      <c r="E231" s="2">
        <v>7.4</v>
      </c>
    </row>
    <row r="232" spans="1:5">
      <c r="A232" s="1">
        <v>38048</v>
      </c>
      <c r="B232" s="1">
        <v>39082</v>
      </c>
      <c r="C232" s="2">
        <f t="shared" si="7"/>
        <v>2.8309377138945928</v>
      </c>
      <c r="D232" s="3">
        <v>69</v>
      </c>
      <c r="E232" s="2">
        <v>8.1999999999999993</v>
      </c>
    </row>
    <row r="233" spans="1:5">
      <c r="A233" s="1">
        <v>38050</v>
      </c>
      <c r="B233" s="1">
        <v>39082</v>
      </c>
      <c r="C233" s="2">
        <f t="shared" si="7"/>
        <v>2.8254620123203287</v>
      </c>
      <c r="D233" s="3">
        <v>69.099999999999994</v>
      </c>
      <c r="E233" s="2">
        <v>7.8</v>
      </c>
    </row>
    <row r="234" spans="1:5">
      <c r="A234" s="1">
        <v>38120</v>
      </c>
      <c r="B234" s="1">
        <v>39082</v>
      </c>
      <c r="C234" s="2">
        <f t="shared" si="7"/>
        <v>2.6338124572210813</v>
      </c>
      <c r="D234" s="3">
        <v>69.099999999999994</v>
      </c>
      <c r="E234" s="2">
        <v>9.4</v>
      </c>
    </row>
    <row r="235" spans="1:5">
      <c r="A235" s="1">
        <v>38054</v>
      </c>
      <c r="B235" s="1">
        <v>39082</v>
      </c>
      <c r="C235" s="2">
        <f t="shared" si="7"/>
        <v>2.8145106091718</v>
      </c>
      <c r="D235" s="3">
        <v>69.099999999999994</v>
      </c>
      <c r="E235" s="2">
        <v>6.8</v>
      </c>
    </row>
    <row r="236" spans="1:5">
      <c r="A236" s="1">
        <v>37870</v>
      </c>
      <c r="B236" s="1">
        <v>39082</v>
      </c>
      <c r="C236" s="2">
        <f t="shared" si="7"/>
        <v>3.3182751540041067</v>
      </c>
      <c r="D236" s="3">
        <v>69.2</v>
      </c>
      <c r="E236" s="2">
        <v>6.6</v>
      </c>
    </row>
    <row r="237" spans="1:5">
      <c r="A237" s="1">
        <v>38154</v>
      </c>
      <c r="B237" s="1">
        <v>39082</v>
      </c>
      <c r="C237" s="2">
        <f t="shared" si="7"/>
        <v>2.5407255304585901</v>
      </c>
      <c r="D237" s="3">
        <v>69.2</v>
      </c>
      <c r="E237" s="2">
        <v>7.9</v>
      </c>
    </row>
    <row r="238" spans="1:5">
      <c r="A238" s="1">
        <v>38091</v>
      </c>
      <c r="B238" s="1">
        <v>39082</v>
      </c>
      <c r="C238" s="2">
        <f t="shared" si="7"/>
        <v>2.7132101300479126</v>
      </c>
      <c r="D238" s="3">
        <v>69.2</v>
      </c>
      <c r="E238" s="2">
        <v>7.4</v>
      </c>
    </row>
    <row r="239" spans="1:5">
      <c r="A239" s="1">
        <v>38032</v>
      </c>
      <c r="B239" s="1">
        <v>39082</v>
      </c>
      <c r="C239" s="2">
        <f t="shared" si="7"/>
        <v>2.8747433264887063</v>
      </c>
      <c r="D239" s="3">
        <v>69.2</v>
      </c>
      <c r="E239" s="2">
        <v>7</v>
      </c>
    </row>
    <row r="240" spans="1:5">
      <c r="A240" s="1">
        <v>38154</v>
      </c>
      <c r="B240" s="1">
        <v>39082</v>
      </c>
      <c r="C240" s="2">
        <f t="shared" si="7"/>
        <v>2.5407255304585901</v>
      </c>
      <c r="D240" s="3">
        <v>69.3</v>
      </c>
      <c r="E240" s="2">
        <v>9.1999999999999993</v>
      </c>
    </row>
    <row r="241" spans="1:5">
      <c r="A241" s="1">
        <v>38047</v>
      </c>
      <c r="B241" s="1">
        <v>39082</v>
      </c>
      <c r="C241" s="2">
        <f t="shared" si="7"/>
        <v>2.8336755646817249</v>
      </c>
      <c r="D241" s="3">
        <v>69.3</v>
      </c>
      <c r="E241" s="2">
        <v>7.1</v>
      </c>
    </row>
    <row r="242" spans="1:5">
      <c r="A242" s="1">
        <v>38277</v>
      </c>
      <c r="B242" s="1">
        <v>39082</v>
      </c>
      <c r="C242" s="2">
        <f t="shared" si="7"/>
        <v>2.2039698836413417</v>
      </c>
      <c r="D242" s="3">
        <v>69.5</v>
      </c>
      <c r="E242" s="2">
        <v>8.1</v>
      </c>
    </row>
    <row r="243" spans="1:5">
      <c r="A243" s="1">
        <v>36647</v>
      </c>
      <c r="B243" s="1">
        <v>39082</v>
      </c>
      <c r="C243" s="2">
        <f t="shared" si="7"/>
        <v>6.666666666666667</v>
      </c>
      <c r="D243" s="3">
        <v>69.5</v>
      </c>
      <c r="E243" s="2">
        <v>13.4</v>
      </c>
    </row>
    <row r="244" spans="1:5">
      <c r="A244" s="1">
        <v>38078</v>
      </c>
      <c r="B244" s="1">
        <v>39082</v>
      </c>
      <c r="C244" s="2">
        <f t="shared" si="7"/>
        <v>2.7488021902806299</v>
      </c>
      <c r="D244" s="3">
        <v>69.5</v>
      </c>
      <c r="E244" s="2">
        <v>6.9</v>
      </c>
    </row>
    <row r="245" spans="1:5">
      <c r="A245" s="1">
        <v>38019</v>
      </c>
      <c r="B245" s="1">
        <v>39082</v>
      </c>
      <c r="C245" s="2">
        <f t="shared" si="7"/>
        <v>2.9103353867214237</v>
      </c>
      <c r="D245" s="3">
        <v>69.5</v>
      </c>
      <c r="E245" s="2">
        <v>6.9</v>
      </c>
    </row>
    <row r="246" spans="1:5">
      <c r="A246" s="1">
        <v>38032</v>
      </c>
      <c r="B246" s="1">
        <v>39082</v>
      </c>
      <c r="C246" s="2">
        <f t="shared" si="7"/>
        <v>2.8747433264887063</v>
      </c>
      <c r="D246" s="3">
        <v>69.5</v>
      </c>
      <c r="E246" s="2">
        <v>7.2</v>
      </c>
    </row>
    <row r="247" spans="1:5">
      <c r="A247" s="1">
        <v>38079</v>
      </c>
      <c r="B247" s="1">
        <v>39082</v>
      </c>
      <c r="C247" s="2">
        <f t="shared" si="7"/>
        <v>2.7460643394934978</v>
      </c>
      <c r="D247" s="3">
        <v>69.599999999999994</v>
      </c>
      <c r="E247" s="2">
        <v>7</v>
      </c>
    </row>
    <row r="248" spans="1:5">
      <c r="A248" s="1">
        <v>38346</v>
      </c>
      <c r="B248" s="1">
        <v>39082</v>
      </c>
      <c r="C248" s="2">
        <f t="shared" si="7"/>
        <v>2.0150581793292264</v>
      </c>
      <c r="D248" s="3">
        <v>69.599999999999994</v>
      </c>
      <c r="E248" s="2">
        <v>7.6</v>
      </c>
    </row>
    <row r="249" spans="1:5">
      <c r="A249" s="1">
        <v>38069</v>
      </c>
      <c r="B249" s="1">
        <v>39082</v>
      </c>
      <c r="C249" s="2">
        <f t="shared" si="7"/>
        <v>2.7734428473648185</v>
      </c>
      <c r="D249" s="3">
        <v>69.7</v>
      </c>
      <c r="E249" s="2">
        <v>9.5</v>
      </c>
    </row>
    <row r="250" spans="1:5">
      <c r="A250" s="1">
        <v>38182</v>
      </c>
      <c r="B250" s="1">
        <v>39082</v>
      </c>
      <c r="C250" s="2">
        <f t="shared" si="7"/>
        <v>2.4640657084188913</v>
      </c>
      <c r="D250" s="3">
        <v>69.7</v>
      </c>
      <c r="E250" s="2">
        <v>8.4</v>
      </c>
    </row>
    <row r="251" spans="1:5">
      <c r="A251" s="1">
        <v>37995</v>
      </c>
      <c r="B251" s="1">
        <v>39082</v>
      </c>
      <c r="C251" s="2">
        <f t="shared" si="7"/>
        <v>2.9760438056125942</v>
      </c>
      <c r="D251" s="3">
        <v>69.7</v>
      </c>
      <c r="E251" s="2">
        <v>8.1</v>
      </c>
    </row>
    <row r="252" spans="1:5">
      <c r="A252" s="1">
        <v>38052</v>
      </c>
      <c r="B252" s="1">
        <v>39082</v>
      </c>
      <c r="C252" s="2">
        <f t="shared" si="7"/>
        <v>2.8199863107460645</v>
      </c>
      <c r="D252" s="3">
        <v>69.8</v>
      </c>
      <c r="E252" s="2">
        <v>9.3000000000000007</v>
      </c>
    </row>
    <row r="253" spans="1:5">
      <c r="A253" s="1">
        <v>38073</v>
      </c>
      <c r="B253" s="1">
        <v>39082</v>
      </c>
      <c r="C253" s="2">
        <f t="shared" si="7"/>
        <v>2.7624914442162902</v>
      </c>
      <c r="D253" s="3">
        <v>69.8</v>
      </c>
      <c r="E253" s="2">
        <v>7.8</v>
      </c>
    </row>
    <row r="254" spans="1:5">
      <c r="A254" s="1">
        <v>38047</v>
      </c>
      <c r="B254" s="1">
        <v>39082</v>
      </c>
      <c r="C254" s="2">
        <f t="shared" si="7"/>
        <v>2.8336755646817249</v>
      </c>
      <c r="D254" s="3">
        <v>70</v>
      </c>
      <c r="E254" s="2">
        <v>8.1</v>
      </c>
    </row>
    <row r="255" spans="1:5">
      <c r="A255" s="1">
        <v>38308</v>
      </c>
      <c r="B255" s="1">
        <v>39082</v>
      </c>
      <c r="C255" s="2">
        <f t="shared" si="7"/>
        <v>2.1190965092402463</v>
      </c>
      <c r="D255" s="3">
        <v>70</v>
      </c>
      <c r="E255" s="2">
        <v>8.1999999999999993</v>
      </c>
    </row>
    <row r="256" spans="1:5">
      <c r="A256" s="1">
        <v>38069</v>
      </c>
      <c r="B256" s="1">
        <v>39082</v>
      </c>
      <c r="C256" s="2">
        <f t="shared" si="7"/>
        <v>2.7734428473648185</v>
      </c>
      <c r="D256" s="3">
        <v>70.099999999999994</v>
      </c>
      <c r="E256" s="2">
        <v>8.6999999999999993</v>
      </c>
    </row>
    <row r="257" spans="1:5">
      <c r="A257" s="1">
        <v>38228</v>
      </c>
      <c r="B257" s="1">
        <v>39082</v>
      </c>
      <c r="C257" s="2">
        <f t="shared" si="7"/>
        <v>2.3381245722108144</v>
      </c>
      <c r="D257" s="3">
        <v>70.099999999999994</v>
      </c>
      <c r="E257" s="2">
        <v>7.4</v>
      </c>
    </row>
    <row r="258" spans="1:5">
      <c r="A258" s="1">
        <v>38013</v>
      </c>
      <c r="B258" s="1">
        <v>39082</v>
      </c>
      <c r="C258" s="2">
        <f t="shared" si="7"/>
        <v>2.9267624914442161</v>
      </c>
      <c r="D258" s="3">
        <v>70.2</v>
      </c>
      <c r="E258" s="2">
        <v>7.4</v>
      </c>
    </row>
    <row r="259" spans="1:5">
      <c r="A259" s="1">
        <v>37990</v>
      </c>
      <c r="B259" s="1">
        <v>39082</v>
      </c>
      <c r="C259" s="2">
        <f t="shared" ref="C259:C322" si="8">(B259-A259)/365.25</f>
        <v>2.9897330595482545</v>
      </c>
      <c r="D259" s="3">
        <v>70.2</v>
      </c>
      <c r="E259" s="2">
        <v>7.8</v>
      </c>
    </row>
    <row r="260" spans="1:5">
      <c r="A260" s="1">
        <v>37879</v>
      </c>
      <c r="B260" s="1">
        <v>39082</v>
      </c>
      <c r="C260" s="2">
        <f t="shared" si="8"/>
        <v>3.2936344969199181</v>
      </c>
      <c r="D260" s="3">
        <v>70.3</v>
      </c>
      <c r="E260" s="2">
        <v>8.3000000000000007</v>
      </c>
    </row>
    <row r="261" spans="1:5">
      <c r="A261" s="1">
        <v>38326</v>
      </c>
      <c r="B261" s="1">
        <v>39082</v>
      </c>
      <c r="C261" s="2">
        <f t="shared" si="8"/>
        <v>2.0698151950718686</v>
      </c>
      <c r="D261" s="3">
        <v>70.3</v>
      </c>
      <c r="E261" s="2">
        <v>8.6</v>
      </c>
    </row>
    <row r="262" spans="1:5">
      <c r="A262" s="1">
        <v>37749</v>
      </c>
      <c r="B262" s="1">
        <v>39082</v>
      </c>
      <c r="C262" s="2">
        <f t="shared" si="8"/>
        <v>3.6495550992470909</v>
      </c>
      <c r="D262" s="3">
        <v>70.3</v>
      </c>
      <c r="E262" s="2">
        <v>7.2</v>
      </c>
    </row>
    <row r="263" spans="1:5">
      <c r="A263" s="1">
        <v>38169</v>
      </c>
      <c r="B263" s="1">
        <v>39082</v>
      </c>
      <c r="C263" s="2">
        <f t="shared" si="8"/>
        <v>2.4996577686516086</v>
      </c>
      <c r="D263" s="3">
        <v>70.3</v>
      </c>
      <c r="E263" s="2">
        <v>9.1</v>
      </c>
    </row>
    <row r="264" spans="1:5">
      <c r="A264" s="1">
        <v>38165</v>
      </c>
      <c r="B264" s="1">
        <v>39082</v>
      </c>
      <c r="C264" s="2">
        <f t="shared" si="8"/>
        <v>2.5106091718001369</v>
      </c>
      <c r="D264" s="3">
        <v>70.3</v>
      </c>
      <c r="E264" s="2">
        <v>7.2</v>
      </c>
    </row>
    <row r="265" spans="1:5">
      <c r="A265" s="1">
        <v>38043</v>
      </c>
      <c r="B265" s="1">
        <v>39082</v>
      </c>
      <c r="C265" s="2">
        <f t="shared" si="8"/>
        <v>2.8446269678302532</v>
      </c>
      <c r="D265" s="3">
        <v>70.400000000000006</v>
      </c>
      <c r="E265" s="2">
        <v>8.6999999999999993</v>
      </c>
    </row>
    <row r="266" spans="1:5">
      <c r="A266" s="1">
        <v>37980</v>
      </c>
      <c r="B266" s="1">
        <v>39082</v>
      </c>
      <c r="C266" s="2">
        <f t="shared" si="8"/>
        <v>3.0171115674195756</v>
      </c>
      <c r="D266" s="3">
        <v>70.400000000000006</v>
      </c>
      <c r="E266" s="2">
        <v>8</v>
      </c>
    </row>
    <row r="267" spans="1:5">
      <c r="A267" s="1">
        <v>38065</v>
      </c>
      <c r="B267" s="1">
        <v>39082</v>
      </c>
      <c r="C267" s="2">
        <f t="shared" si="8"/>
        <v>2.7843942505133472</v>
      </c>
      <c r="D267" s="3">
        <v>70.400000000000006</v>
      </c>
      <c r="E267" s="2">
        <v>7.9</v>
      </c>
    </row>
    <row r="268" spans="1:5">
      <c r="A268" s="1">
        <v>38019</v>
      </c>
      <c r="B268" s="1">
        <v>39082</v>
      </c>
      <c r="C268" s="2">
        <f t="shared" si="8"/>
        <v>2.9103353867214237</v>
      </c>
      <c r="D268" s="3">
        <v>70.5</v>
      </c>
      <c r="E268" s="2">
        <v>7.1</v>
      </c>
    </row>
    <row r="269" spans="1:5">
      <c r="A269" s="1">
        <v>38030</v>
      </c>
      <c r="B269" s="1">
        <v>39082</v>
      </c>
      <c r="C269" s="2">
        <f t="shared" si="8"/>
        <v>2.8802190280629705</v>
      </c>
      <c r="D269" s="3">
        <v>70.5</v>
      </c>
      <c r="E269" s="2">
        <v>8.1999999999999993</v>
      </c>
    </row>
    <row r="270" spans="1:5">
      <c r="A270" s="1">
        <v>38078</v>
      </c>
      <c r="B270" s="1">
        <v>39082</v>
      </c>
      <c r="C270" s="2">
        <f t="shared" si="8"/>
        <v>2.7488021902806299</v>
      </c>
      <c r="D270" s="3">
        <v>70.5</v>
      </c>
      <c r="E270" s="2">
        <v>8.1999999999999993</v>
      </c>
    </row>
    <row r="271" spans="1:5">
      <c r="A271" s="1">
        <v>38098</v>
      </c>
      <c r="B271" s="1">
        <v>39082</v>
      </c>
      <c r="C271" s="2">
        <f t="shared" si="8"/>
        <v>2.6940451745379876</v>
      </c>
      <c r="D271" s="3">
        <v>70.5</v>
      </c>
      <c r="E271" s="2">
        <v>8.1999999999999993</v>
      </c>
    </row>
    <row r="272" spans="1:5">
      <c r="A272" s="1">
        <v>37996</v>
      </c>
      <c r="B272" s="1">
        <v>39082</v>
      </c>
      <c r="C272" s="2">
        <f t="shared" si="8"/>
        <v>2.9733059548254621</v>
      </c>
      <c r="D272" s="3">
        <v>70.599999999999994</v>
      </c>
      <c r="E272" s="2">
        <v>6.7</v>
      </c>
    </row>
    <row r="273" spans="1:5">
      <c r="A273" s="1">
        <v>38099</v>
      </c>
      <c r="B273" s="1">
        <v>39082</v>
      </c>
      <c r="C273" s="2">
        <f t="shared" si="8"/>
        <v>2.6913073237508556</v>
      </c>
      <c r="D273" s="3">
        <v>70.599999999999994</v>
      </c>
      <c r="E273" s="2">
        <v>8.9</v>
      </c>
    </row>
    <row r="274" spans="1:5">
      <c r="A274" s="1">
        <v>37987</v>
      </c>
      <c r="B274" s="1">
        <v>39082</v>
      </c>
      <c r="C274" s="2">
        <f t="shared" si="8"/>
        <v>2.9979466119096507</v>
      </c>
      <c r="D274" s="3">
        <v>70.7</v>
      </c>
      <c r="E274" s="2">
        <v>8.5</v>
      </c>
    </row>
    <row r="275" spans="1:5">
      <c r="A275" s="1">
        <v>37880</v>
      </c>
      <c r="B275" s="1">
        <v>39082</v>
      </c>
      <c r="C275" s="2">
        <f t="shared" si="8"/>
        <v>3.2908966461327855</v>
      </c>
      <c r="D275" s="3">
        <v>70.8</v>
      </c>
      <c r="E275" s="2">
        <v>7.8</v>
      </c>
    </row>
    <row r="276" spans="1:5">
      <c r="A276" s="1">
        <v>37952</v>
      </c>
      <c r="B276" s="1">
        <v>39082</v>
      </c>
      <c r="C276" s="2">
        <f t="shared" si="8"/>
        <v>3.0937713894592744</v>
      </c>
      <c r="D276" s="3">
        <v>70.8</v>
      </c>
      <c r="E276" s="2">
        <v>8</v>
      </c>
    </row>
    <row r="277" spans="1:5">
      <c r="A277" s="1">
        <v>38002</v>
      </c>
      <c r="B277" s="1">
        <v>39082</v>
      </c>
      <c r="C277" s="2">
        <f t="shared" si="8"/>
        <v>2.9568788501026693</v>
      </c>
      <c r="D277" s="3">
        <v>70.900000000000006</v>
      </c>
      <c r="E277" s="2">
        <v>7.4</v>
      </c>
    </row>
    <row r="278" spans="1:5">
      <c r="A278" s="1">
        <v>38018</v>
      </c>
      <c r="B278" s="1">
        <v>39082</v>
      </c>
      <c r="C278" s="2">
        <f t="shared" si="8"/>
        <v>2.9130732375085557</v>
      </c>
      <c r="D278" s="3">
        <v>71</v>
      </c>
      <c r="E278" s="2">
        <v>8.4</v>
      </c>
    </row>
    <row r="279" spans="1:5">
      <c r="A279" s="1">
        <v>38183</v>
      </c>
      <c r="B279" s="1">
        <v>39082</v>
      </c>
      <c r="C279" s="2">
        <f t="shared" si="8"/>
        <v>2.4613278576317592</v>
      </c>
      <c r="D279" s="3">
        <v>71</v>
      </c>
      <c r="E279" s="2">
        <v>7.9</v>
      </c>
    </row>
    <row r="280" spans="1:5">
      <c r="A280" s="1">
        <v>37945</v>
      </c>
      <c r="B280" s="1">
        <v>39082</v>
      </c>
      <c r="C280" s="2">
        <f t="shared" si="8"/>
        <v>3.1129363449691994</v>
      </c>
      <c r="D280" s="3">
        <v>71.099999999999994</v>
      </c>
      <c r="E280" s="2">
        <v>8</v>
      </c>
    </row>
    <row r="281" spans="1:5">
      <c r="A281" s="1">
        <v>38092</v>
      </c>
      <c r="B281" s="1">
        <v>39082</v>
      </c>
      <c r="C281" s="2">
        <f t="shared" si="8"/>
        <v>2.7104722792607805</v>
      </c>
      <c r="D281" s="3">
        <v>71.099999999999994</v>
      </c>
      <c r="E281" s="2">
        <v>7.6</v>
      </c>
    </row>
    <row r="282" spans="1:5">
      <c r="A282" s="1">
        <v>37934</v>
      </c>
      <c r="B282" s="1">
        <v>39082</v>
      </c>
      <c r="C282" s="2">
        <f t="shared" si="8"/>
        <v>3.1430527036276521</v>
      </c>
      <c r="D282" s="3">
        <v>71.2</v>
      </c>
      <c r="E282" s="2">
        <v>7.1</v>
      </c>
    </row>
    <row r="283" spans="1:5">
      <c r="A283" s="1">
        <v>38058</v>
      </c>
      <c r="B283" s="1">
        <v>39082</v>
      </c>
      <c r="C283" s="2">
        <f t="shared" si="8"/>
        <v>2.8035592060232717</v>
      </c>
      <c r="D283" s="3">
        <v>71.2</v>
      </c>
      <c r="E283" s="2">
        <v>7.8</v>
      </c>
    </row>
    <row r="284" spans="1:5">
      <c r="A284" s="1">
        <v>38096</v>
      </c>
      <c r="B284" s="1">
        <v>39082</v>
      </c>
      <c r="C284" s="2">
        <f t="shared" si="8"/>
        <v>2.6995208761122518</v>
      </c>
      <c r="D284" s="3">
        <v>71.2</v>
      </c>
      <c r="E284" s="2">
        <v>8.6999999999999993</v>
      </c>
    </row>
    <row r="285" spans="1:5">
      <c r="A285" s="1">
        <v>38218</v>
      </c>
      <c r="B285" s="1">
        <v>39082</v>
      </c>
      <c r="C285" s="2">
        <f t="shared" si="8"/>
        <v>2.3655030800821355</v>
      </c>
      <c r="D285" s="3">
        <v>71.2</v>
      </c>
      <c r="E285" s="2">
        <v>7.6</v>
      </c>
    </row>
    <row r="286" spans="1:5">
      <c r="A286" s="1">
        <v>38072</v>
      </c>
      <c r="B286" s="1">
        <v>39082</v>
      </c>
      <c r="C286" s="2">
        <f t="shared" si="8"/>
        <v>2.7652292950034223</v>
      </c>
      <c r="D286" s="3">
        <v>71.2</v>
      </c>
      <c r="E286" s="2">
        <v>8.1</v>
      </c>
    </row>
    <row r="287" spans="1:5">
      <c r="A287" s="1">
        <v>38047</v>
      </c>
      <c r="B287" s="1">
        <v>39082</v>
      </c>
      <c r="C287" s="2">
        <f t="shared" si="8"/>
        <v>2.8336755646817249</v>
      </c>
      <c r="D287" s="3">
        <v>71.2</v>
      </c>
      <c r="E287" s="2">
        <v>8.3000000000000007</v>
      </c>
    </row>
    <row r="288" spans="1:5">
      <c r="A288" s="1">
        <v>38172</v>
      </c>
      <c r="B288" s="1">
        <v>39082</v>
      </c>
      <c r="C288" s="2">
        <f t="shared" si="8"/>
        <v>2.4914442162902124</v>
      </c>
      <c r="D288" s="3">
        <v>71.2</v>
      </c>
      <c r="E288" s="2">
        <v>9.9</v>
      </c>
    </row>
    <row r="289" spans="1:5">
      <c r="A289" s="1">
        <v>38170</v>
      </c>
      <c r="B289" s="1">
        <v>39082</v>
      </c>
      <c r="C289" s="2">
        <f t="shared" si="8"/>
        <v>2.4969199178644765</v>
      </c>
      <c r="D289" s="3">
        <v>71.3</v>
      </c>
      <c r="E289" s="2">
        <v>7.5</v>
      </c>
    </row>
    <row r="290" spans="1:5">
      <c r="A290" s="1">
        <v>38140</v>
      </c>
      <c r="B290" s="1">
        <v>39082</v>
      </c>
      <c r="C290" s="2">
        <f t="shared" si="8"/>
        <v>2.5790554414784395</v>
      </c>
      <c r="D290" s="3">
        <v>71.3</v>
      </c>
      <c r="E290" s="2">
        <v>8.6</v>
      </c>
    </row>
    <row r="291" spans="1:5">
      <c r="A291" s="1">
        <v>38320</v>
      </c>
      <c r="B291" s="1">
        <v>39082</v>
      </c>
      <c r="C291" s="2">
        <f t="shared" si="8"/>
        <v>2.086242299794661</v>
      </c>
      <c r="D291" s="3">
        <v>71.3</v>
      </c>
      <c r="E291" s="2">
        <v>8.3000000000000007</v>
      </c>
    </row>
    <row r="292" spans="1:5">
      <c r="A292" s="1">
        <v>38106</v>
      </c>
      <c r="B292" s="1">
        <v>39082</v>
      </c>
      <c r="C292" s="2">
        <f t="shared" si="8"/>
        <v>2.6721423682409307</v>
      </c>
      <c r="D292" s="3">
        <v>71.400000000000006</v>
      </c>
      <c r="E292" s="2">
        <v>8.1</v>
      </c>
    </row>
    <row r="293" spans="1:5">
      <c r="A293" s="1">
        <v>38163</v>
      </c>
      <c r="B293" s="1">
        <v>39082</v>
      </c>
      <c r="C293" s="2">
        <f t="shared" si="8"/>
        <v>2.516084873374401</v>
      </c>
      <c r="D293" s="3">
        <v>71.5</v>
      </c>
      <c r="E293" s="2">
        <v>8.9</v>
      </c>
    </row>
    <row r="294" spans="1:5">
      <c r="A294" s="1">
        <v>38134</v>
      </c>
      <c r="B294" s="1">
        <v>39082</v>
      </c>
      <c r="C294" s="2">
        <f t="shared" si="8"/>
        <v>2.5954825462012319</v>
      </c>
      <c r="D294" s="3">
        <v>71.5</v>
      </c>
      <c r="E294" s="2">
        <v>8</v>
      </c>
    </row>
    <row r="295" spans="1:5">
      <c r="A295" s="1">
        <v>38341</v>
      </c>
      <c r="B295" s="1">
        <v>39082</v>
      </c>
      <c r="C295" s="2">
        <f t="shared" si="8"/>
        <v>2.0287474332648872</v>
      </c>
      <c r="D295" s="3">
        <v>71.5</v>
      </c>
      <c r="E295" s="2">
        <v>9.3000000000000007</v>
      </c>
    </row>
    <row r="296" spans="1:5">
      <c r="A296" s="1">
        <v>37893</v>
      </c>
      <c r="B296" s="1">
        <v>39082</v>
      </c>
      <c r="C296" s="2">
        <f t="shared" si="8"/>
        <v>3.2553045859000687</v>
      </c>
      <c r="D296" s="3">
        <v>71.5</v>
      </c>
      <c r="E296" s="2">
        <v>10</v>
      </c>
    </row>
    <row r="297" spans="1:5">
      <c r="A297" s="1">
        <v>37900</v>
      </c>
      <c r="B297" s="1">
        <v>39082</v>
      </c>
      <c r="C297" s="2">
        <f t="shared" si="8"/>
        <v>3.2361396303901437</v>
      </c>
      <c r="D297" s="3">
        <v>71.5</v>
      </c>
      <c r="E297" s="2">
        <v>7.5</v>
      </c>
    </row>
    <row r="298" spans="1:5">
      <c r="A298" s="1">
        <v>37998</v>
      </c>
      <c r="B298" s="1">
        <v>39082</v>
      </c>
      <c r="C298" s="2">
        <f t="shared" si="8"/>
        <v>2.967830253251198</v>
      </c>
      <c r="D298" s="3">
        <v>71.599999999999994</v>
      </c>
      <c r="E298" s="2">
        <v>7.9</v>
      </c>
    </row>
    <row r="299" spans="1:5">
      <c r="A299" s="1">
        <v>38004</v>
      </c>
      <c r="B299" s="1">
        <v>39082</v>
      </c>
      <c r="C299" s="2">
        <f t="shared" si="8"/>
        <v>2.9514031485284051</v>
      </c>
      <c r="D299" s="3">
        <v>71.599999999999994</v>
      </c>
      <c r="E299" s="2">
        <v>7.8</v>
      </c>
    </row>
    <row r="300" spans="1:5">
      <c r="A300" s="1">
        <v>38109</v>
      </c>
      <c r="B300" s="1">
        <v>39082</v>
      </c>
      <c r="C300" s="2">
        <f t="shared" si="8"/>
        <v>2.6639288158795345</v>
      </c>
      <c r="D300" s="3">
        <v>71.599999999999994</v>
      </c>
      <c r="E300" s="2">
        <v>8.8000000000000007</v>
      </c>
    </row>
    <row r="301" spans="1:5">
      <c r="A301" s="1">
        <v>38136</v>
      </c>
      <c r="B301" s="1">
        <v>39082</v>
      </c>
      <c r="C301" s="2">
        <f t="shared" si="8"/>
        <v>2.5900068446269677</v>
      </c>
      <c r="D301" s="3">
        <v>71.599999999999994</v>
      </c>
      <c r="E301" s="2">
        <v>10.6</v>
      </c>
    </row>
    <row r="302" spans="1:5">
      <c r="A302" s="1">
        <v>38015</v>
      </c>
      <c r="B302" s="1">
        <v>39082</v>
      </c>
      <c r="C302" s="2">
        <f t="shared" si="8"/>
        <v>2.9212867898699519</v>
      </c>
      <c r="D302" s="3">
        <v>71.599999999999994</v>
      </c>
      <c r="E302" s="2">
        <v>8.6</v>
      </c>
    </row>
    <row r="303" spans="1:5">
      <c r="A303" s="1">
        <v>37650</v>
      </c>
      <c r="B303" s="1">
        <v>39082</v>
      </c>
      <c r="C303" s="2">
        <f t="shared" si="8"/>
        <v>3.9206023271731691</v>
      </c>
      <c r="D303" s="3">
        <v>71.599999999999994</v>
      </c>
      <c r="E303" s="2">
        <v>7.6</v>
      </c>
    </row>
    <row r="304" spans="1:5">
      <c r="A304" s="1">
        <v>38233</v>
      </c>
      <c r="B304" s="1">
        <v>39082</v>
      </c>
      <c r="C304" s="2">
        <f t="shared" si="8"/>
        <v>2.324435318275154</v>
      </c>
      <c r="D304" s="3">
        <v>71.599999999999994</v>
      </c>
      <c r="E304" s="2">
        <v>8</v>
      </c>
    </row>
    <row r="305" spans="1:5">
      <c r="A305" s="1">
        <v>38111</v>
      </c>
      <c r="B305" s="1">
        <v>39082</v>
      </c>
      <c r="C305" s="2">
        <f t="shared" si="8"/>
        <v>2.6584531143052703</v>
      </c>
      <c r="D305" s="3">
        <v>71.599999999999994</v>
      </c>
      <c r="E305" s="2">
        <v>9.6</v>
      </c>
    </row>
    <row r="306" spans="1:5">
      <c r="A306" s="1">
        <v>38113</v>
      </c>
      <c r="B306" s="1">
        <v>39082</v>
      </c>
      <c r="C306" s="2">
        <f t="shared" si="8"/>
        <v>2.6529774127310062</v>
      </c>
      <c r="D306" s="3">
        <v>71.7</v>
      </c>
      <c r="E306" s="2">
        <v>7.7</v>
      </c>
    </row>
    <row r="307" spans="1:5">
      <c r="A307" s="1">
        <v>38065</v>
      </c>
      <c r="B307" s="1">
        <v>39082</v>
      </c>
      <c r="C307" s="2">
        <f t="shared" si="8"/>
        <v>2.7843942505133472</v>
      </c>
      <c r="D307" s="3">
        <v>72</v>
      </c>
      <c r="E307" s="2">
        <v>8.6</v>
      </c>
    </row>
    <row r="308" spans="1:5">
      <c r="A308" s="1">
        <v>38024</v>
      </c>
      <c r="B308" s="1">
        <v>39082</v>
      </c>
      <c r="C308" s="2">
        <f t="shared" si="8"/>
        <v>2.8966461327857633</v>
      </c>
      <c r="D308" s="3">
        <v>72</v>
      </c>
      <c r="E308" s="2">
        <v>7.9</v>
      </c>
    </row>
    <row r="309" spans="1:5">
      <c r="A309" s="1">
        <v>37912</v>
      </c>
      <c r="B309" s="1">
        <v>39082</v>
      </c>
      <c r="C309" s="2">
        <f t="shared" si="8"/>
        <v>3.2032854209445585</v>
      </c>
      <c r="D309" s="3">
        <v>72.099999999999994</v>
      </c>
      <c r="E309" s="2">
        <v>8.1</v>
      </c>
    </row>
    <row r="310" spans="1:5">
      <c r="A310" s="1">
        <v>38079</v>
      </c>
      <c r="B310" s="1">
        <v>39082</v>
      </c>
      <c r="C310" s="2">
        <f t="shared" si="8"/>
        <v>2.7460643394934978</v>
      </c>
      <c r="D310" s="3">
        <v>72.099999999999994</v>
      </c>
      <c r="E310" s="2">
        <v>8.6</v>
      </c>
    </row>
    <row r="311" spans="1:5">
      <c r="A311" s="1">
        <v>37912</v>
      </c>
      <c r="B311" s="1">
        <v>39082</v>
      </c>
      <c r="C311" s="2">
        <f t="shared" si="8"/>
        <v>3.2032854209445585</v>
      </c>
      <c r="D311" s="3">
        <v>72.2</v>
      </c>
      <c r="E311" s="2">
        <v>8.3000000000000007</v>
      </c>
    </row>
    <row r="312" spans="1:5">
      <c r="A312" s="1">
        <v>38276</v>
      </c>
      <c r="B312" s="1">
        <v>39082</v>
      </c>
      <c r="C312" s="2">
        <f t="shared" si="8"/>
        <v>2.2067077344284738</v>
      </c>
      <c r="D312" s="3">
        <v>72.2</v>
      </c>
      <c r="E312" s="2">
        <v>8.1</v>
      </c>
    </row>
    <row r="313" spans="1:5">
      <c r="A313" s="1">
        <v>36827</v>
      </c>
      <c r="B313" s="1">
        <v>39082</v>
      </c>
      <c r="C313" s="2">
        <f t="shared" si="8"/>
        <v>6.1738535249828885</v>
      </c>
      <c r="D313" s="3">
        <v>72.2</v>
      </c>
      <c r="E313" s="2">
        <v>8.1999999999999993</v>
      </c>
    </row>
    <row r="314" spans="1:5">
      <c r="A314" s="1">
        <v>38017</v>
      </c>
      <c r="B314" s="1">
        <v>39082</v>
      </c>
      <c r="C314" s="2">
        <f t="shared" si="8"/>
        <v>2.9158110882956878</v>
      </c>
      <c r="D314" s="3">
        <v>72.2</v>
      </c>
      <c r="E314" s="2">
        <v>9</v>
      </c>
    </row>
    <row r="315" spans="1:5">
      <c r="A315" s="1">
        <v>37994</v>
      </c>
      <c r="B315" s="1">
        <v>39082</v>
      </c>
      <c r="C315" s="2">
        <f t="shared" si="8"/>
        <v>2.9787816563997263</v>
      </c>
      <c r="D315" s="3">
        <v>72.2</v>
      </c>
      <c r="E315" s="2">
        <v>7.1</v>
      </c>
    </row>
    <row r="316" spans="1:5">
      <c r="A316" s="1">
        <v>38033</v>
      </c>
      <c r="B316" s="1">
        <v>39082</v>
      </c>
      <c r="C316" s="2">
        <f t="shared" si="8"/>
        <v>2.8720054757015743</v>
      </c>
      <c r="D316" s="3">
        <v>72.3</v>
      </c>
      <c r="E316" s="2">
        <v>7.7</v>
      </c>
    </row>
    <row r="317" spans="1:5">
      <c r="A317" s="1">
        <v>38078</v>
      </c>
      <c r="B317" s="1">
        <v>39082</v>
      </c>
      <c r="C317" s="2">
        <f t="shared" si="8"/>
        <v>2.7488021902806299</v>
      </c>
      <c r="D317" s="3">
        <v>72.3</v>
      </c>
      <c r="E317" s="2">
        <v>8.8000000000000007</v>
      </c>
    </row>
    <row r="318" spans="1:5">
      <c r="A318" s="1">
        <v>38034</v>
      </c>
      <c r="B318" s="1">
        <v>39082</v>
      </c>
      <c r="C318" s="2">
        <f t="shared" si="8"/>
        <v>2.8692676249144422</v>
      </c>
      <c r="D318" s="3">
        <v>72.3</v>
      </c>
      <c r="E318" s="2">
        <v>9.5</v>
      </c>
    </row>
    <row r="319" spans="1:5">
      <c r="A319" s="1">
        <v>38260</v>
      </c>
      <c r="B319" s="1">
        <v>39082</v>
      </c>
      <c r="C319" s="2">
        <f t="shared" si="8"/>
        <v>2.2505133470225873</v>
      </c>
      <c r="D319" s="3">
        <v>72.3</v>
      </c>
      <c r="E319" s="2">
        <v>9.1999999999999993</v>
      </c>
    </row>
    <row r="320" spans="1:5">
      <c r="A320" s="1">
        <v>38126</v>
      </c>
      <c r="B320" s="1">
        <v>39082</v>
      </c>
      <c r="C320" s="2">
        <f t="shared" si="8"/>
        <v>2.6173853524982889</v>
      </c>
      <c r="D320" s="3">
        <v>72.3</v>
      </c>
      <c r="E320" s="2">
        <v>8.3000000000000007</v>
      </c>
    </row>
    <row r="321" spans="1:5">
      <c r="A321" s="1">
        <v>38295</v>
      </c>
      <c r="B321" s="1">
        <v>39082</v>
      </c>
      <c r="C321" s="2">
        <f t="shared" si="8"/>
        <v>2.1546885694729636</v>
      </c>
      <c r="D321" s="3">
        <v>72.400000000000006</v>
      </c>
      <c r="E321" s="2">
        <v>8.4</v>
      </c>
    </row>
    <row r="322" spans="1:5">
      <c r="A322" s="1">
        <v>38067</v>
      </c>
      <c r="B322" s="1">
        <v>39082</v>
      </c>
      <c r="C322" s="2">
        <f t="shared" si="8"/>
        <v>2.7789185489390826</v>
      </c>
      <c r="D322" s="3">
        <v>72.5</v>
      </c>
      <c r="E322" s="2">
        <v>8.6</v>
      </c>
    </row>
    <row r="323" spans="1:5">
      <c r="A323" s="1">
        <v>37988</v>
      </c>
      <c r="B323" s="1">
        <v>39082</v>
      </c>
      <c r="C323" s="2">
        <f t="shared" ref="C323:C386" si="9">(B323-A323)/365.25</f>
        <v>2.9952087611225187</v>
      </c>
      <c r="D323" s="3">
        <v>72.5</v>
      </c>
      <c r="E323" s="2">
        <v>8.4</v>
      </c>
    </row>
    <row r="324" spans="1:5">
      <c r="A324" s="1">
        <v>37888</v>
      </c>
      <c r="B324" s="1">
        <v>39082</v>
      </c>
      <c r="C324" s="2">
        <f t="shared" si="9"/>
        <v>3.268993839835729</v>
      </c>
      <c r="D324" s="3">
        <v>72.5</v>
      </c>
      <c r="E324" s="2">
        <v>7.9</v>
      </c>
    </row>
    <row r="325" spans="1:5">
      <c r="A325" s="1">
        <v>38222</v>
      </c>
      <c r="B325" s="1">
        <v>39082</v>
      </c>
      <c r="C325" s="2">
        <f t="shared" si="9"/>
        <v>2.3545516769336072</v>
      </c>
      <c r="D325" s="3">
        <v>72.5</v>
      </c>
      <c r="E325" s="2">
        <v>9.4</v>
      </c>
    </row>
    <row r="326" spans="1:5">
      <c r="A326" s="1">
        <v>38294</v>
      </c>
      <c r="B326" s="1">
        <v>39082</v>
      </c>
      <c r="C326" s="2">
        <f t="shared" si="9"/>
        <v>2.1574264202600957</v>
      </c>
      <c r="D326" s="3">
        <v>72.599999999999994</v>
      </c>
      <c r="E326" s="2">
        <v>8.1999999999999993</v>
      </c>
    </row>
    <row r="327" spans="1:5">
      <c r="A327" s="1">
        <v>38030</v>
      </c>
      <c r="B327" s="1">
        <v>39082</v>
      </c>
      <c r="C327" s="2">
        <f t="shared" si="9"/>
        <v>2.8802190280629705</v>
      </c>
      <c r="D327" s="3">
        <v>72.599999999999994</v>
      </c>
      <c r="E327" s="2">
        <v>8</v>
      </c>
    </row>
    <row r="328" spans="1:5">
      <c r="A328" s="1">
        <v>38271</v>
      </c>
      <c r="B328" s="1">
        <v>39082</v>
      </c>
      <c r="C328" s="2">
        <f t="shared" si="9"/>
        <v>2.2203969883641341</v>
      </c>
      <c r="D328" s="3">
        <v>72.599999999999994</v>
      </c>
      <c r="E328" s="2">
        <v>9.1999999999999993</v>
      </c>
    </row>
    <row r="329" spans="1:5">
      <c r="A329" s="1">
        <v>37582</v>
      </c>
      <c r="B329" s="1">
        <v>39082</v>
      </c>
      <c r="C329" s="2">
        <f t="shared" si="9"/>
        <v>4.1067761806981515</v>
      </c>
      <c r="D329" s="3">
        <v>72.7</v>
      </c>
      <c r="E329" s="2">
        <v>7.5</v>
      </c>
    </row>
    <row r="330" spans="1:5">
      <c r="A330" s="1">
        <v>37828</v>
      </c>
      <c r="B330" s="1">
        <v>39082</v>
      </c>
      <c r="C330" s="2">
        <f t="shared" si="9"/>
        <v>3.4332648870636548</v>
      </c>
      <c r="D330" s="3">
        <v>72.7</v>
      </c>
      <c r="E330" s="2">
        <v>8.4</v>
      </c>
    </row>
    <row r="331" spans="1:5">
      <c r="A331" s="1">
        <v>37972</v>
      </c>
      <c r="B331" s="1">
        <v>39082</v>
      </c>
      <c r="C331" s="2">
        <f t="shared" si="9"/>
        <v>3.0390143737166326</v>
      </c>
      <c r="D331" s="3">
        <v>72.8</v>
      </c>
      <c r="E331" s="2">
        <v>8.6</v>
      </c>
    </row>
    <row r="332" spans="1:5">
      <c r="A332" s="1">
        <v>38056</v>
      </c>
      <c r="B332" s="1">
        <v>39082</v>
      </c>
      <c r="C332" s="2">
        <f t="shared" si="9"/>
        <v>2.8090349075975358</v>
      </c>
      <c r="D332" s="3">
        <v>72.900000000000006</v>
      </c>
      <c r="E332" s="2">
        <v>8.1999999999999993</v>
      </c>
    </row>
    <row r="333" spans="1:5">
      <c r="A333" s="1">
        <v>38020</v>
      </c>
      <c r="B333" s="1">
        <v>39082</v>
      </c>
      <c r="C333" s="2">
        <f t="shared" si="9"/>
        <v>2.9075975359342916</v>
      </c>
      <c r="D333" s="3">
        <v>73</v>
      </c>
      <c r="E333" s="2">
        <v>8.6</v>
      </c>
    </row>
    <row r="334" spans="1:5">
      <c r="A334" s="1">
        <v>37790</v>
      </c>
      <c r="B334" s="1">
        <v>39082</v>
      </c>
      <c r="C334" s="2">
        <f t="shared" si="9"/>
        <v>3.5373032169746748</v>
      </c>
      <c r="D334" s="3">
        <v>73.099999999999994</v>
      </c>
      <c r="E334" s="2">
        <v>7.7</v>
      </c>
    </row>
    <row r="335" spans="1:5">
      <c r="A335" s="1">
        <v>38020</v>
      </c>
      <c r="B335" s="1">
        <v>39082</v>
      </c>
      <c r="C335" s="2">
        <f t="shared" si="9"/>
        <v>2.9075975359342916</v>
      </c>
      <c r="D335" s="3">
        <v>73.099999999999994</v>
      </c>
      <c r="E335" s="2">
        <v>9</v>
      </c>
    </row>
    <row r="336" spans="1:5">
      <c r="A336" s="1">
        <v>38052</v>
      </c>
      <c r="B336" s="1">
        <v>39082</v>
      </c>
      <c r="C336" s="2">
        <f t="shared" si="9"/>
        <v>2.8199863107460645</v>
      </c>
      <c r="D336" s="3">
        <v>73.099999999999994</v>
      </c>
      <c r="E336" s="2">
        <v>6.7</v>
      </c>
    </row>
    <row r="337" spans="1:5">
      <c r="A337" s="1">
        <v>38015</v>
      </c>
      <c r="B337" s="1">
        <v>39082</v>
      </c>
      <c r="C337" s="2">
        <f t="shared" si="9"/>
        <v>2.9212867898699519</v>
      </c>
      <c r="D337" s="3">
        <v>73.099999999999994</v>
      </c>
      <c r="E337" s="2">
        <v>8.1999999999999993</v>
      </c>
    </row>
    <row r="338" spans="1:5">
      <c r="A338" s="1">
        <v>37683</v>
      </c>
      <c r="B338" s="1">
        <v>39082</v>
      </c>
      <c r="C338" s="2">
        <f t="shared" si="9"/>
        <v>3.8302532511978096</v>
      </c>
      <c r="D338" s="3">
        <v>73.099999999999994</v>
      </c>
      <c r="E338" s="2">
        <v>7.6</v>
      </c>
    </row>
    <row r="339" spans="1:5">
      <c r="A339" s="1">
        <v>38076</v>
      </c>
      <c r="B339" s="1">
        <v>39082</v>
      </c>
      <c r="C339" s="2">
        <f t="shared" si="9"/>
        <v>2.754277891854894</v>
      </c>
      <c r="D339" s="3">
        <v>73.2</v>
      </c>
      <c r="E339" s="2">
        <v>8.1999999999999993</v>
      </c>
    </row>
    <row r="340" spans="1:5">
      <c r="A340" s="1">
        <v>38058</v>
      </c>
      <c r="B340" s="1">
        <v>39082</v>
      </c>
      <c r="C340" s="2">
        <f t="shared" si="9"/>
        <v>2.8035592060232717</v>
      </c>
      <c r="D340" s="3">
        <v>73.2</v>
      </c>
      <c r="E340" s="2">
        <v>7.3</v>
      </c>
    </row>
    <row r="341" spans="1:5">
      <c r="A341" s="1">
        <v>37970</v>
      </c>
      <c r="B341" s="1">
        <v>39082</v>
      </c>
      <c r="C341" s="2">
        <f t="shared" si="9"/>
        <v>3.0444900752908968</v>
      </c>
      <c r="D341" s="3">
        <v>73.3</v>
      </c>
      <c r="E341" s="2">
        <v>8.3000000000000007</v>
      </c>
    </row>
    <row r="342" spans="1:5">
      <c r="A342" s="1">
        <v>38157</v>
      </c>
      <c r="B342" s="1">
        <v>39082</v>
      </c>
      <c r="C342" s="2">
        <f t="shared" si="9"/>
        <v>2.5325119780971939</v>
      </c>
      <c r="D342" s="3">
        <v>73.5</v>
      </c>
      <c r="E342" s="2">
        <v>9</v>
      </c>
    </row>
    <row r="343" spans="1:5">
      <c r="A343" s="1">
        <v>37889</v>
      </c>
      <c r="B343" s="1">
        <v>39082</v>
      </c>
      <c r="C343" s="2">
        <f t="shared" si="9"/>
        <v>3.2662559890485969</v>
      </c>
      <c r="D343" s="3">
        <v>73.5</v>
      </c>
      <c r="E343" s="2">
        <v>8.1999999999999993</v>
      </c>
    </row>
    <row r="344" spans="1:5">
      <c r="A344" s="1">
        <v>38173</v>
      </c>
      <c r="B344" s="1">
        <v>39082</v>
      </c>
      <c r="C344" s="2">
        <f t="shared" si="9"/>
        <v>2.4887063655030799</v>
      </c>
      <c r="D344" s="3">
        <v>73.5</v>
      </c>
      <c r="E344" s="2">
        <v>8.4</v>
      </c>
    </row>
    <row r="345" spans="1:5">
      <c r="A345" s="1">
        <v>38264</v>
      </c>
      <c r="B345" s="1">
        <v>39082</v>
      </c>
      <c r="C345" s="2">
        <f t="shared" si="9"/>
        <v>2.239561943874059</v>
      </c>
      <c r="D345" s="3">
        <v>73.5</v>
      </c>
      <c r="E345" s="2">
        <v>8.6</v>
      </c>
    </row>
    <row r="346" spans="1:5">
      <c r="A346" s="1">
        <v>37840</v>
      </c>
      <c r="B346" s="1">
        <v>39082</v>
      </c>
      <c r="C346" s="2">
        <f t="shared" si="9"/>
        <v>3.40041067761807</v>
      </c>
      <c r="D346" s="3">
        <v>73.5</v>
      </c>
      <c r="E346" s="2">
        <v>9</v>
      </c>
    </row>
    <row r="347" spans="1:5">
      <c r="A347" s="1">
        <v>38044</v>
      </c>
      <c r="B347" s="1">
        <v>39082</v>
      </c>
      <c r="C347" s="2">
        <f t="shared" si="9"/>
        <v>2.8418891170431211</v>
      </c>
      <c r="D347" s="3">
        <v>73.599999999999994</v>
      </c>
      <c r="E347" s="2">
        <v>8.4</v>
      </c>
    </row>
    <row r="348" spans="1:5">
      <c r="A348" s="1">
        <v>37988</v>
      </c>
      <c r="B348" s="1">
        <v>39082</v>
      </c>
      <c r="C348" s="2">
        <f t="shared" si="9"/>
        <v>2.9952087611225187</v>
      </c>
      <c r="D348" s="3">
        <v>73.599999999999994</v>
      </c>
      <c r="E348" s="2">
        <v>7.6</v>
      </c>
    </row>
    <row r="349" spans="1:5">
      <c r="A349" s="1">
        <v>37920</v>
      </c>
      <c r="B349" s="1">
        <v>39082</v>
      </c>
      <c r="C349" s="2">
        <f t="shared" si="9"/>
        <v>3.1813826146475015</v>
      </c>
      <c r="D349" s="3">
        <v>73.599999999999994</v>
      </c>
      <c r="E349" s="2">
        <v>8</v>
      </c>
    </row>
    <row r="350" spans="1:5">
      <c r="A350" s="1">
        <v>37946</v>
      </c>
      <c r="B350" s="1">
        <v>39082</v>
      </c>
      <c r="C350" s="2">
        <f t="shared" si="9"/>
        <v>3.1101984941820673</v>
      </c>
      <c r="D350" s="3">
        <v>73.599999999999994</v>
      </c>
      <c r="E350" s="2">
        <v>7.7</v>
      </c>
    </row>
    <row r="351" spans="1:5">
      <c r="A351" s="1">
        <v>38306</v>
      </c>
      <c r="B351" s="1">
        <v>39082</v>
      </c>
      <c r="C351" s="2">
        <f t="shared" si="9"/>
        <v>2.1245722108145104</v>
      </c>
      <c r="D351" s="3">
        <v>73.599999999999994</v>
      </c>
      <c r="E351" s="2">
        <v>8.5</v>
      </c>
    </row>
    <row r="352" spans="1:5">
      <c r="A352" s="1">
        <v>38101</v>
      </c>
      <c r="B352" s="1">
        <v>39082</v>
      </c>
      <c r="C352" s="2">
        <f t="shared" si="9"/>
        <v>2.6858316221765914</v>
      </c>
      <c r="D352" s="3">
        <v>73.599999999999994</v>
      </c>
      <c r="E352" s="2">
        <v>9.8000000000000007</v>
      </c>
    </row>
    <row r="353" spans="1:5">
      <c r="A353" s="1">
        <v>38023</v>
      </c>
      <c r="B353" s="1">
        <v>39082</v>
      </c>
      <c r="C353" s="2">
        <f t="shared" si="9"/>
        <v>2.8993839835728954</v>
      </c>
      <c r="D353" s="3">
        <v>73.7</v>
      </c>
      <c r="E353" s="2">
        <v>9</v>
      </c>
    </row>
    <row r="354" spans="1:5">
      <c r="A354" s="1">
        <v>38027</v>
      </c>
      <c r="B354" s="1">
        <v>39082</v>
      </c>
      <c r="C354" s="2">
        <f t="shared" si="9"/>
        <v>2.8884325804243667</v>
      </c>
      <c r="D354" s="3">
        <v>73.7</v>
      </c>
      <c r="E354" s="2">
        <v>9.8000000000000007</v>
      </c>
    </row>
    <row r="355" spans="1:5">
      <c r="A355" s="1">
        <v>37742</v>
      </c>
      <c r="B355" s="1">
        <v>39082</v>
      </c>
      <c r="C355" s="2">
        <f t="shared" si="9"/>
        <v>3.6687200547570158</v>
      </c>
      <c r="D355" s="3">
        <v>73.8</v>
      </c>
      <c r="E355" s="2">
        <v>9.5</v>
      </c>
    </row>
    <row r="356" spans="1:5">
      <c r="A356" s="1">
        <v>38082</v>
      </c>
      <c r="B356" s="1">
        <v>39082</v>
      </c>
      <c r="C356" s="2">
        <f t="shared" si="9"/>
        <v>2.7378507871321012</v>
      </c>
      <c r="D356" s="3">
        <v>74</v>
      </c>
      <c r="E356" s="2">
        <v>9.3000000000000007</v>
      </c>
    </row>
    <row r="357" spans="1:5">
      <c r="A357" s="1">
        <v>37904</v>
      </c>
      <c r="B357" s="1">
        <v>39082</v>
      </c>
      <c r="C357" s="2">
        <f t="shared" si="9"/>
        <v>3.2251882272416155</v>
      </c>
      <c r="D357" s="3">
        <v>74</v>
      </c>
      <c r="E357" s="2">
        <v>10</v>
      </c>
    </row>
    <row r="358" spans="1:5">
      <c r="A358" s="1">
        <v>37865</v>
      </c>
      <c r="B358" s="1">
        <v>39082</v>
      </c>
      <c r="C358" s="2">
        <f t="shared" si="9"/>
        <v>3.3319644079397674</v>
      </c>
      <c r="D358" s="3">
        <v>74</v>
      </c>
      <c r="E358" s="2">
        <v>8.6999999999999993</v>
      </c>
    </row>
    <row r="359" spans="1:5">
      <c r="A359" s="1">
        <v>37862</v>
      </c>
      <c r="B359" s="1">
        <v>39082</v>
      </c>
      <c r="C359" s="2">
        <f t="shared" si="9"/>
        <v>3.3401779603011637</v>
      </c>
      <c r="D359" s="3">
        <v>74</v>
      </c>
      <c r="E359" s="2">
        <v>8</v>
      </c>
    </row>
    <row r="360" spans="1:5">
      <c r="A360" s="1">
        <v>37895</v>
      </c>
      <c r="B360" s="1">
        <v>39082</v>
      </c>
      <c r="C360" s="2">
        <f t="shared" si="9"/>
        <v>3.2498288843258041</v>
      </c>
      <c r="D360" s="3">
        <v>74.099999999999994</v>
      </c>
      <c r="E360" s="2">
        <v>9.6</v>
      </c>
    </row>
    <row r="361" spans="1:5">
      <c r="A361" s="1">
        <v>37923</v>
      </c>
      <c r="B361" s="1">
        <v>39082</v>
      </c>
      <c r="C361" s="2">
        <f t="shared" si="9"/>
        <v>3.1731690622861053</v>
      </c>
      <c r="D361" s="3">
        <v>74.2</v>
      </c>
      <c r="E361" s="2">
        <v>8.1</v>
      </c>
    </row>
    <row r="362" spans="1:5">
      <c r="A362" s="1">
        <v>37902</v>
      </c>
      <c r="B362" s="1">
        <v>39082</v>
      </c>
      <c r="C362" s="2">
        <f t="shared" si="9"/>
        <v>3.2306639288158796</v>
      </c>
      <c r="D362" s="3">
        <v>74.2</v>
      </c>
      <c r="E362" s="2">
        <v>8.9</v>
      </c>
    </row>
    <row r="363" spans="1:5">
      <c r="A363" s="1">
        <v>37926</v>
      </c>
      <c r="B363" s="1">
        <v>39082</v>
      </c>
      <c r="C363" s="2">
        <f t="shared" si="9"/>
        <v>3.1649555099247091</v>
      </c>
      <c r="D363" s="3">
        <v>74.3</v>
      </c>
      <c r="E363" s="2">
        <v>8.3000000000000007</v>
      </c>
    </row>
    <row r="364" spans="1:5">
      <c r="A364" s="1">
        <v>38249</v>
      </c>
      <c r="B364" s="1">
        <v>39082</v>
      </c>
      <c r="C364" s="2">
        <f t="shared" si="9"/>
        <v>2.2806297056810405</v>
      </c>
      <c r="D364" s="3">
        <v>74.400000000000006</v>
      </c>
      <c r="E364" s="2">
        <v>9.6999999999999993</v>
      </c>
    </row>
    <row r="365" spans="1:5">
      <c r="A365" s="1">
        <v>37877</v>
      </c>
      <c r="B365" s="1">
        <v>39082</v>
      </c>
      <c r="C365" s="2">
        <f t="shared" si="9"/>
        <v>3.2991101984941822</v>
      </c>
      <c r="D365" s="3">
        <v>74.599999999999994</v>
      </c>
      <c r="E365" s="2">
        <v>7.8</v>
      </c>
    </row>
    <row r="366" spans="1:5">
      <c r="A366" s="1">
        <v>37929</v>
      </c>
      <c r="B366" s="1">
        <v>39082</v>
      </c>
      <c r="C366" s="2">
        <f t="shared" si="9"/>
        <v>3.1567419575633129</v>
      </c>
      <c r="D366" s="3">
        <v>74.599999999999994</v>
      </c>
      <c r="E366" s="2">
        <v>9.6</v>
      </c>
    </row>
    <row r="367" spans="1:5">
      <c r="A367" s="1">
        <v>37884</v>
      </c>
      <c r="B367" s="1">
        <v>39082</v>
      </c>
      <c r="C367" s="2">
        <f t="shared" si="9"/>
        <v>3.2799452429842573</v>
      </c>
      <c r="D367" s="3">
        <v>74.7</v>
      </c>
      <c r="E367" s="2">
        <v>8.1</v>
      </c>
    </row>
    <row r="368" spans="1:5">
      <c r="A368" s="1">
        <v>37839</v>
      </c>
      <c r="B368" s="1">
        <v>39082</v>
      </c>
      <c r="C368" s="2">
        <f t="shared" si="9"/>
        <v>3.4031485284052021</v>
      </c>
      <c r="D368" s="3">
        <v>74.7</v>
      </c>
      <c r="E368" s="2">
        <v>8.4</v>
      </c>
    </row>
    <row r="369" spans="1:5">
      <c r="A369" s="1">
        <v>37924</v>
      </c>
      <c r="B369" s="1">
        <v>39082</v>
      </c>
      <c r="C369" s="2">
        <f t="shared" si="9"/>
        <v>3.1704312114989732</v>
      </c>
      <c r="D369" s="3">
        <v>74.8</v>
      </c>
      <c r="E369" s="2">
        <v>9.8000000000000007</v>
      </c>
    </row>
    <row r="370" spans="1:5">
      <c r="A370" s="1">
        <v>38037</v>
      </c>
      <c r="B370" s="1">
        <v>39082</v>
      </c>
      <c r="C370" s="2">
        <f t="shared" si="9"/>
        <v>2.861054072553046</v>
      </c>
      <c r="D370" s="3">
        <v>74.8</v>
      </c>
      <c r="E370" s="2">
        <v>9</v>
      </c>
    </row>
    <row r="371" spans="1:5">
      <c r="A371" s="1">
        <v>37956</v>
      </c>
      <c r="B371" s="1">
        <v>39082</v>
      </c>
      <c r="C371" s="2">
        <f t="shared" si="9"/>
        <v>3.0828199863107462</v>
      </c>
      <c r="D371" s="3">
        <v>74.8</v>
      </c>
      <c r="E371" s="2">
        <v>10</v>
      </c>
    </row>
    <row r="372" spans="1:5">
      <c r="A372" s="1">
        <v>38023</v>
      </c>
      <c r="B372" s="1">
        <v>39082</v>
      </c>
      <c r="C372" s="2">
        <f t="shared" si="9"/>
        <v>2.8993839835728954</v>
      </c>
      <c r="D372" s="3">
        <v>74.8</v>
      </c>
      <c r="E372" s="2">
        <v>9.4</v>
      </c>
    </row>
    <row r="373" spans="1:5">
      <c r="A373" s="1">
        <v>38261</v>
      </c>
      <c r="B373" s="1">
        <v>39082</v>
      </c>
      <c r="C373" s="2">
        <f t="shared" si="9"/>
        <v>2.2477754962354553</v>
      </c>
      <c r="D373" s="3">
        <v>74.8</v>
      </c>
      <c r="E373" s="2">
        <v>9.1999999999999993</v>
      </c>
    </row>
    <row r="374" spans="1:5">
      <c r="A374" s="1">
        <v>37707</v>
      </c>
      <c r="B374" s="1">
        <v>39082</v>
      </c>
      <c r="C374" s="2">
        <f t="shared" si="9"/>
        <v>3.7645448323066395</v>
      </c>
      <c r="D374" s="3">
        <v>74.8</v>
      </c>
      <c r="E374" s="2">
        <v>8.4</v>
      </c>
    </row>
    <row r="375" spans="1:5">
      <c r="A375" s="1">
        <v>38089</v>
      </c>
      <c r="B375" s="1">
        <v>39082</v>
      </c>
      <c r="C375" s="2">
        <f t="shared" si="9"/>
        <v>2.7186858316221767</v>
      </c>
      <c r="D375" s="3">
        <v>74.900000000000006</v>
      </c>
      <c r="E375" s="2">
        <v>9</v>
      </c>
    </row>
    <row r="376" spans="1:5">
      <c r="A376" s="1">
        <v>38062</v>
      </c>
      <c r="B376" s="1">
        <v>39082</v>
      </c>
      <c r="C376" s="2">
        <f t="shared" si="9"/>
        <v>2.7926078028747434</v>
      </c>
      <c r="D376" s="3">
        <v>75</v>
      </c>
      <c r="E376" s="2">
        <v>9.4</v>
      </c>
    </row>
    <row r="377" spans="1:5">
      <c r="A377" s="1">
        <v>37980</v>
      </c>
      <c r="B377" s="1">
        <v>39082</v>
      </c>
      <c r="C377" s="2">
        <f t="shared" si="9"/>
        <v>3.0171115674195756</v>
      </c>
      <c r="D377" s="3">
        <v>75</v>
      </c>
      <c r="E377" s="2">
        <v>8.4</v>
      </c>
    </row>
    <row r="378" spans="1:5">
      <c r="A378" s="1">
        <v>37948</v>
      </c>
      <c r="B378" s="1">
        <v>39082</v>
      </c>
      <c r="C378" s="2">
        <f t="shared" si="9"/>
        <v>3.1047227926078027</v>
      </c>
      <c r="D378" s="3">
        <v>75</v>
      </c>
      <c r="E378" s="2">
        <v>9.8000000000000007</v>
      </c>
    </row>
    <row r="379" spans="1:5">
      <c r="A379" s="1">
        <v>38205</v>
      </c>
      <c r="B379" s="1">
        <v>39082</v>
      </c>
      <c r="C379" s="2">
        <f t="shared" si="9"/>
        <v>2.4010951403148528</v>
      </c>
      <c r="D379" s="3">
        <v>75</v>
      </c>
      <c r="E379" s="2">
        <v>9.1</v>
      </c>
    </row>
    <row r="380" spans="1:5">
      <c r="A380" s="1">
        <v>37902</v>
      </c>
      <c r="B380" s="1">
        <v>39082</v>
      </c>
      <c r="C380" s="2">
        <f t="shared" si="9"/>
        <v>3.2306639288158796</v>
      </c>
      <c r="D380" s="3">
        <v>75</v>
      </c>
      <c r="E380" s="2">
        <v>8.3000000000000007</v>
      </c>
    </row>
    <row r="381" spans="1:5">
      <c r="A381" s="1">
        <v>37878</v>
      </c>
      <c r="B381" s="1">
        <v>39082</v>
      </c>
      <c r="C381" s="2">
        <f t="shared" si="9"/>
        <v>3.2963723477070501</v>
      </c>
      <c r="D381" s="3">
        <v>75</v>
      </c>
      <c r="E381" s="2">
        <v>7.4</v>
      </c>
    </row>
    <row r="382" spans="1:5">
      <c r="A382" s="1">
        <v>37977</v>
      </c>
      <c r="B382" s="1">
        <v>39082</v>
      </c>
      <c r="C382" s="2">
        <f t="shared" si="9"/>
        <v>3.0253251197809718</v>
      </c>
      <c r="D382" s="3">
        <v>75.099999999999994</v>
      </c>
      <c r="E382" s="2">
        <v>9.1999999999999993</v>
      </c>
    </row>
    <row r="383" spans="1:5">
      <c r="A383" s="1">
        <v>37916</v>
      </c>
      <c r="B383" s="1">
        <v>39082</v>
      </c>
      <c r="C383" s="2">
        <f t="shared" si="9"/>
        <v>3.1923340177960302</v>
      </c>
      <c r="D383" s="3">
        <v>75.099999999999994</v>
      </c>
      <c r="E383" s="2">
        <v>8.1</v>
      </c>
    </row>
    <row r="384" spans="1:5">
      <c r="A384" s="1">
        <v>37748</v>
      </c>
      <c r="B384" s="1">
        <v>39082</v>
      </c>
      <c r="C384" s="2">
        <f t="shared" si="9"/>
        <v>3.6522929500342229</v>
      </c>
      <c r="D384" s="3">
        <v>75.099999999999994</v>
      </c>
      <c r="E384" s="2">
        <v>8.4</v>
      </c>
    </row>
    <row r="385" spans="1:5">
      <c r="A385" s="1">
        <v>38142</v>
      </c>
      <c r="B385" s="1">
        <v>39082</v>
      </c>
      <c r="C385" s="2">
        <f t="shared" si="9"/>
        <v>2.5735797399041753</v>
      </c>
      <c r="D385" s="3">
        <v>75.099999999999994</v>
      </c>
      <c r="E385" s="2">
        <v>9.1999999999999993</v>
      </c>
    </row>
    <row r="386" spans="1:5">
      <c r="A386" s="1">
        <v>37760</v>
      </c>
      <c r="B386" s="1">
        <v>39082</v>
      </c>
      <c r="C386" s="2">
        <f t="shared" si="9"/>
        <v>3.6194387405886381</v>
      </c>
      <c r="D386" s="3">
        <v>75.2</v>
      </c>
      <c r="E386" s="2">
        <v>8.8000000000000007</v>
      </c>
    </row>
    <row r="387" spans="1:5">
      <c r="A387" s="1">
        <v>38106</v>
      </c>
      <c r="B387" s="1">
        <v>39082</v>
      </c>
      <c r="C387" s="2">
        <f t="shared" ref="C387:C450" si="10">(B387-A387)/365.25</f>
        <v>2.6721423682409307</v>
      </c>
      <c r="D387" s="3">
        <v>75.2</v>
      </c>
      <c r="E387" s="2">
        <v>9.9</v>
      </c>
    </row>
    <row r="388" spans="1:5">
      <c r="A388" s="1">
        <v>37967</v>
      </c>
      <c r="B388" s="1">
        <v>39082</v>
      </c>
      <c r="C388" s="2">
        <f t="shared" si="10"/>
        <v>3.052703627652293</v>
      </c>
      <c r="D388" s="3">
        <v>75.2</v>
      </c>
      <c r="E388" s="2">
        <v>9.9</v>
      </c>
    </row>
    <row r="389" spans="1:5">
      <c r="A389" s="1">
        <v>38204</v>
      </c>
      <c r="B389" s="1">
        <v>39082</v>
      </c>
      <c r="C389" s="2">
        <f t="shared" si="10"/>
        <v>2.4038329911019849</v>
      </c>
      <c r="D389" s="3">
        <v>75.2</v>
      </c>
      <c r="E389" s="2">
        <v>7</v>
      </c>
    </row>
    <row r="390" spans="1:5">
      <c r="A390" s="1">
        <v>38329</v>
      </c>
      <c r="B390" s="1">
        <v>39082</v>
      </c>
      <c r="C390" s="2">
        <f t="shared" si="10"/>
        <v>2.0616016427104724</v>
      </c>
      <c r="D390" s="3">
        <v>75.2</v>
      </c>
      <c r="E390" s="2">
        <v>9.6</v>
      </c>
    </row>
    <row r="391" spans="1:5">
      <c r="A391" s="1">
        <v>37895</v>
      </c>
      <c r="B391" s="1">
        <v>39082</v>
      </c>
      <c r="C391" s="2">
        <f t="shared" si="10"/>
        <v>3.2498288843258041</v>
      </c>
      <c r="D391" s="3">
        <v>75.2</v>
      </c>
      <c r="E391" s="2">
        <v>8.5</v>
      </c>
    </row>
    <row r="392" spans="1:5">
      <c r="A392" s="1">
        <v>37834</v>
      </c>
      <c r="B392" s="1">
        <v>39082</v>
      </c>
      <c r="C392" s="2">
        <f t="shared" si="10"/>
        <v>3.4168377823408624</v>
      </c>
      <c r="D392" s="3">
        <v>75.3</v>
      </c>
      <c r="E392" s="2">
        <v>8.9</v>
      </c>
    </row>
    <row r="393" spans="1:5">
      <c r="A393" s="1">
        <v>37828</v>
      </c>
      <c r="B393" s="1">
        <v>39082</v>
      </c>
      <c r="C393" s="2">
        <f t="shared" si="10"/>
        <v>3.4332648870636548</v>
      </c>
      <c r="D393" s="3">
        <v>75.3</v>
      </c>
      <c r="E393" s="2">
        <v>9.3000000000000007</v>
      </c>
    </row>
    <row r="394" spans="1:5">
      <c r="A394" s="1">
        <v>37732</v>
      </c>
      <c r="B394" s="1">
        <v>39082</v>
      </c>
      <c r="C394" s="2">
        <f t="shared" si="10"/>
        <v>3.6960985626283369</v>
      </c>
      <c r="D394" s="3">
        <v>75.3</v>
      </c>
      <c r="E394" s="2">
        <v>9.1</v>
      </c>
    </row>
    <row r="395" spans="1:5">
      <c r="A395" s="1">
        <v>37505</v>
      </c>
      <c r="B395" s="1">
        <v>39082</v>
      </c>
      <c r="C395" s="2">
        <f t="shared" si="10"/>
        <v>4.3175906913073234</v>
      </c>
      <c r="D395" s="3">
        <v>75.400000000000006</v>
      </c>
      <c r="E395" s="2">
        <v>9.6</v>
      </c>
    </row>
    <row r="396" spans="1:5">
      <c r="A396" s="1">
        <v>38075</v>
      </c>
      <c r="B396" s="1">
        <v>39082</v>
      </c>
      <c r="C396" s="2">
        <f t="shared" si="10"/>
        <v>2.7570157426420261</v>
      </c>
      <c r="D396" s="3">
        <v>75.5</v>
      </c>
      <c r="E396" s="2">
        <v>9.5</v>
      </c>
    </row>
    <row r="397" spans="1:5">
      <c r="A397" s="1">
        <v>38289</v>
      </c>
      <c r="B397" s="1">
        <v>39082</v>
      </c>
      <c r="C397" s="2">
        <f t="shared" si="10"/>
        <v>2.1711156741957565</v>
      </c>
      <c r="D397" s="3">
        <v>75.5</v>
      </c>
      <c r="E397" s="2">
        <v>9.1999999999999993</v>
      </c>
    </row>
    <row r="398" spans="1:5">
      <c r="A398" s="1">
        <v>38126</v>
      </c>
      <c r="B398" s="1">
        <v>39082</v>
      </c>
      <c r="C398" s="2">
        <f t="shared" si="10"/>
        <v>2.6173853524982889</v>
      </c>
      <c r="D398" s="3">
        <v>75.5</v>
      </c>
      <c r="E398" s="2">
        <v>8.6</v>
      </c>
    </row>
    <row r="399" spans="1:5">
      <c r="A399" s="1">
        <v>38331</v>
      </c>
      <c r="B399" s="1">
        <v>39082</v>
      </c>
      <c r="C399" s="2">
        <f t="shared" si="10"/>
        <v>2.0561259411362083</v>
      </c>
      <c r="D399" s="3">
        <v>75.599999999999994</v>
      </c>
      <c r="E399" s="2">
        <v>9.5</v>
      </c>
    </row>
    <row r="400" spans="1:5">
      <c r="A400" s="1">
        <v>38318</v>
      </c>
      <c r="B400" s="1">
        <v>39082</v>
      </c>
      <c r="C400" s="2">
        <f t="shared" si="10"/>
        <v>2.0917180013689256</v>
      </c>
      <c r="D400" s="3">
        <v>75.599999999999994</v>
      </c>
      <c r="E400" s="2">
        <v>8.4</v>
      </c>
    </row>
    <row r="401" spans="1:5">
      <c r="A401" s="1">
        <v>38275</v>
      </c>
      <c r="B401" s="1">
        <v>39082</v>
      </c>
      <c r="C401" s="2">
        <f t="shared" si="10"/>
        <v>2.2094455852156059</v>
      </c>
      <c r="D401" s="3">
        <v>75.599999999999994</v>
      </c>
      <c r="E401" s="2">
        <v>9.1</v>
      </c>
    </row>
    <row r="402" spans="1:5">
      <c r="A402" s="1">
        <v>37970</v>
      </c>
      <c r="B402" s="1">
        <v>39082</v>
      </c>
      <c r="C402" s="2">
        <f t="shared" si="10"/>
        <v>3.0444900752908968</v>
      </c>
      <c r="D402" s="3">
        <v>75.599999999999994</v>
      </c>
      <c r="E402" s="2">
        <v>8.1999999999999993</v>
      </c>
    </row>
    <row r="403" spans="1:5">
      <c r="A403" s="1">
        <v>37680</v>
      </c>
      <c r="B403" s="1">
        <v>39082</v>
      </c>
      <c r="C403" s="2">
        <f t="shared" si="10"/>
        <v>3.8384668035592062</v>
      </c>
      <c r="D403" s="3">
        <v>75.7</v>
      </c>
      <c r="E403" s="2">
        <v>7.6</v>
      </c>
    </row>
    <row r="404" spans="1:5">
      <c r="A404" s="1">
        <v>37712</v>
      </c>
      <c r="B404" s="1">
        <v>39082</v>
      </c>
      <c r="C404" s="2">
        <f t="shared" si="10"/>
        <v>3.7508555783709787</v>
      </c>
      <c r="D404" s="3">
        <v>75.7</v>
      </c>
      <c r="E404" s="2">
        <v>8.9</v>
      </c>
    </row>
    <row r="405" spans="1:5">
      <c r="A405" s="1">
        <v>38062</v>
      </c>
      <c r="B405" s="1">
        <v>39082</v>
      </c>
      <c r="C405" s="2">
        <f t="shared" si="10"/>
        <v>2.7926078028747434</v>
      </c>
      <c r="D405" s="3">
        <v>75.900000000000006</v>
      </c>
      <c r="E405" s="2">
        <v>8.9</v>
      </c>
    </row>
    <row r="406" spans="1:5">
      <c r="A406" s="1">
        <v>38006</v>
      </c>
      <c r="B406" s="1">
        <v>39082</v>
      </c>
      <c r="C406" s="2">
        <f t="shared" si="10"/>
        <v>2.945927446954141</v>
      </c>
      <c r="D406" s="3">
        <v>75.900000000000006</v>
      </c>
      <c r="E406" s="2">
        <v>9.5</v>
      </c>
    </row>
    <row r="407" spans="1:5">
      <c r="A407" s="1">
        <v>37623</v>
      </c>
      <c r="B407" s="1">
        <v>39082</v>
      </c>
      <c r="C407" s="2">
        <f t="shared" si="10"/>
        <v>3.9945242984257359</v>
      </c>
      <c r="D407" s="3">
        <v>76</v>
      </c>
      <c r="E407" s="2">
        <v>8.1999999999999993</v>
      </c>
    </row>
    <row r="408" spans="1:5">
      <c r="A408" s="1">
        <v>38231</v>
      </c>
      <c r="B408" s="1">
        <v>39082</v>
      </c>
      <c r="C408" s="2">
        <f t="shared" si="10"/>
        <v>2.3299110198494182</v>
      </c>
      <c r="D408" s="3">
        <v>76.099999999999994</v>
      </c>
      <c r="E408" s="2">
        <v>9</v>
      </c>
    </row>
    <row r="409" spans="1:5">
      <c r="A409" s="1">
        <v>37987</v>
      </c>
      <c r="B409" s="1">
        <v>39082</v>
      </c>
      <c r="C409" s="2">
        <f t="shared" si="10"/>
        <v>2.9979466119096507</v>
      </c>
      <c r="D409" s="3">
        <v>76.099999999999994</v>
      </c>
      <c r="E409" s="2">
        <v>8.9</v>
      </c>
    </row>
    <row r="410" spans="1:5">
      <c r="A410" s="1">
        <v>38169</v>
      </c>
      <c r="B410" s="1">
        <v>39082</v>
      </c>
      <c r="C410" s="2">
        <f t="shared" si="10"/>
        <v>2.4996577686516086</v>
      </c>
      <c r="D410" s="3">
        <v>76.099999999999994</v>
      </c>
      <c r="E410" s="2">
        <v>9.8000000000000007</v>
      </c>
    </row>
    <row r="411" spans="1:5">
      <c r="A411" s="1">
        <v>38169</v>
      </c>
      <c r="B411" s="1">
        <v>39082</v>
      </c>
      <c r="C411" s="2">
        <f t="shared" si="10"/>
        <v>2.4996577686516086</v>
      </c>
      <c r="D411" s="3">
        <v>76.099999999999994</v>
      </c>
      <c r="E411" s="2">
        <v>9.1999999999999993</v>
      </c>
    </row>
    <row r="412" spans="1:5">
      <c r="A412" s="1">
        <v>37445</v>
      </c>
      <c r="B412" s="1">
        <v>39082</v>
      </c>
      <c r="C412" s="2">
        <f t="shared" si="10"/>
        <v>4.4818617385352502</v>
      </c>
      <c r="D412" s="3">
        <v>76.2</v>
      </c>
      <c r="E412" s="2">
        <v>9.4</v>
      </c>
    </row>
    <row r="413" spans="1:5">
      <c r="A413" s="1">
        <v>38243</v>
      </c>
      <c r="B413" s="1">
        <v>39082</v>
      </c>
      <c r="C413" s="2">
        <f t="shared" si="10"/>
        <v>2.2970568104038329</v>
      </c>
      <c r="D413" s="3">
        <v>76.2</v>
      </c>
      <c r="E413" s="2">
        <v>8.5</v>
      </c>
    </row>
    <row r="414" spans="1:5">
      <c r="A414" s="1">
        <v>38217</v>
      </c>
      <c r="B414" s="1">
        <v>39082</v>
      </c>
      <c r="C414" s="2">
        <f t="shared" si="10"/>
        <v>2.3682409308692676</v>
      </c>
      <c r="D414" s="3">
        <v>76.3</v>
      </c>
      <c r="E414" s="2">
        <v>10.4</v>
      </c>
    </row>
    <row r="415" spans="1:5">
      <c r="A415" s="1">
        <v>37927</v>
      </c>
      <c r="B415" s="1">
        <v>39082</v>
      </c>
      <c r="C415" s="2">
        <f t="shared" si="10"/>
        <v>3.162217659137577</v>
      </c>
      <c r="D415" s="3">
        <v>76.3</v>
      </c>
      <c r="E415" s="2">
        <v>10</v>
      </c>
    </row>
    <row r="416" spans="1:5">
      <c r="A416" s="1">
        <v>37807</v>
      </c>
      <c r="B416" s="1">
        <v>39082</v>
      </c>
      <c r="C416" s="2">
        <f t="shared" si="10"/>
        <v>3.4907597535934292</v>
      </c>
      <c r="D416" s="3">
        <v>76.400000000000006</v>
      </c>
      <c r="E416" s="2">
        <v>8.6999999999999993</v>
      </c>
    </row>
    <row r="417" spans="1:5">
      <c r="A417" s="1">
        <v>37996</v>
      </c>
      <c r="B417" s="1">
        <v>39082</v>
      </c>
      <c r="C417" s="2">
        <f t="shared" si="10"/>
        <v>2.9733059548254621</v>
      </c>
      <c r="D417" s="3">
        <v>76.5</v>
      </c>
      <c r="E417" s="2">
        <v>8.9</v>
      </c>
    </row>
    <row r="418" spans="1:5">
      <c r="A418" s="1">
        <v>37646</v>
      </c>
      <c r="B418" s="1">
        <v>39082</v>
      </c>
      <c r="C418" s="2">
        <f t="shared" si="10"/>
        <v>3.9315537303216974</v>
      </c>
      <c r="D418" s="3">
        <v>76.599999999999994</v>
      </c>
      <c r="E418" s="2">
        <v>11.9</v>
      </c>
    </row>
    <row r="419" spans="1:5">
      <c r="A419" s="1">
        <v>38215</v>
      </c>
      <c r="B419" s="1">
        <v>39082</v>
      </c>
      <c r="C419" s="2">
        <f t="shared" si="10"/>
        <v>2.3737166324435317</v>
      </c>
      <c r="D419" s="3">
        <v>76.599999999999994</v>
      </c>
      <c r="E419" s="2">
        <v>8.9</v>
      </c>
    </row>
    <row r="420" spans="1:5">
      <c r="A420" s="1">
        <v>37757</v>
      </c>
      <c r="B420" s="1">
        <v>39082</v>
      </c>
      <c r="C420" s="2">
        <f t="shared" si="10"/>
        <v>3.6276522929500343</v>
      </c>
      <c r="D420" s="3">
        <v>76.7</v>
      </c>
      <c r="E420" s="2">
        <v>7.8</v>
      </c>
    </row>
    <row r="421" spans="1:5">
      <c r="A421" s="1">
        <v>37817</v>
      </c>
      <c r="B421" s="1">
        <v>39082</v>
      </c>
      <c r="C421" s="2">
        <f t="shared" si="10"/>
        <v>3.463381245722108</v>
      </c>
      <c r="D421" s="3">
        <v>76.8</v>
      </c>
      <c r="E421" s="2">
        <v>10.3</v>
      </c>
    </row>
    <row r="422" spans="1:5">
      <c r="A422" s="1">
        <v>38078</v>
      </c>
      <c r="B422" s="1">
        <v>39082</v>
      </c>
      <c r="C422" s="2">
        <f t="shared" si="10"/>
        <v>2.7488021902806299</v>
      </c>
      <c r="D422" s="3">
        <v>76.8</v>
      </c>
      <c r="E422" s="2">
        <v>11</v>
      </c>
    </row>
    <row r="423" spans="1:5">
      <c r="A423" s="1">
        <v>38310</v>
      </c>
      <c r="B423" s="1">
        <v>39082</v>
      </c>
      <c r="C423" s="2">
        <f t="shared" si="10"/>
        <v>2.1136208076659821</v>
      </c>
      <c r="D423" s="3">
        <v>76.8</v>
      </c>
      <c r="E423" s="2">
        <v>9</v>
      </c>
    </row>
    <row r="424" spans="1:5">
      <c r="A424" s="1">
        <v>38057</v>
      </c>
      <c r="B424" s="1">
        <v>39082</v>
      </c>
      <c r="C424" s="2">
        <f t="shared" si="10"/>
        <v>2.8062970568104038</v>
      </c>
      <c r="D424" s="3">
        <v>76.900000000000006</v>
      </c>
      <c r="E424" s="2">
        <v>10.199999999999999</v>
      </c>
    </row>
    <row r="425" spans="1:5">
      <c r="A425" s="1">
        <v>37591</v>
      </c>
      <c r="B425" s="1">
        <v>39082</v>
      </c>
      <c r="C425" s="2">
        <f t="shared" si="10"/>
        <v>4.0821355236139629</v>
      </c>
      <c r="D425" s="3">
        <v>76.900000000000006</v>
      </c>
      <c r="E425" s="2">
        <v>9.6</v>
      </c>
    </row>
    <row r="426" spans="1:5">
      <c r="A426" s="1">
        <v>38164</v>
      </c>
      <c r="B426" s="1">
        <v>39082</v>
      </c>
      <c r="C426" s="2">
        <f t="shared" si="10"/>
        <v>2.5133470225872689</v>
      </c>
      <c r="D426" s="3">
        <v>76.900000000000006</v>
      </c>
      <c r="E426" s="2">
        <v>9.5</v>
      </c>
    </row>
    <row r="427" spans="1:5">
      <c r="A427" s="1">
        <v>37690</v>
      </c>
      <c r="B427" s="1">
        <v>39082</v>
      </c>
      <c r="C427" s="2">
        <f t="shared" si="10"/>
        <v>3.8110882956878851</v>
      </c>
      <c r="D427" s="3">
        <v>77</v>
      </c>
      <c r="E427" s="2">
        <v>9.4</v>
      </c>
    </row>
    <row r="428" spans="1:5">
      <c r="A428" s="1">
        <v>37868</v>
      </c>
      <c r="B428" s="1">
        <v>39082</v>
      </c>
      <c r="C428" s="2">
        <f t="shared" si="10"/>
        <v>3.3237508555783708</v>
      </c>
      <c r="D428" s="3">
        <v>77</v>
      </c>
      <c r="E428" s="2">
        <v>10.199999999999999</v>
      </c>
    </row>
    <row r="429" spans="1:5">
      <c r="A429" s="1">
        <v>37735</v>
      </c>
      <c r="B429" s="1">
        <v>39082</v>
      </c>
      <c r="C429" s="2">
        <f t="shared" si="10"/>
        <v>3.6878850102669403</v>
      </c>
      <c r="D429" s="3">
        <v>77</v>
      </c>
      <c r="E429" s="2">
        <v>10</v>
      </c>
    </row>
    <row r="430" spans="1:5">
      <c r="A430" s="1">
        <v>38154</v>
      </c>
      <c r="B430" s="1">
        <v>39082</v>
      </c>
      <c r="C430" s="2">
        <f t="shared" si="10"/>
        <v>2.5407255304585901</v>
      </c>
      <c r="D430" s="3">
        <v>77</v>
      </c>
      <c r="E430" s="2">
        <v>8.9</v>
      </c>
    </row>
    <row r="431" spans="1:5">
      <c r="A431" s="1">
        <v>37682</v>
      </c>
      <c r="B431" s="1">
        <v>39082</v>
      </c>
      <c r="C431" s="2">
        <f t="shared" si="10"/>
        <v>3.8329911019849416</v>
      </c>
      <c r="D431" s="3">
        <v>77.099999999999994</v>
      </c>
      <c r="E431" s="2">
        <v>10.1</v>
      </c>
    </row>
    <row r="432" spans="1:5">
      <c r="A432" s="1">
        <v>38255</v>
      </c>
      <c r="B432" s="1">
        <v>39082</v>
      </c>
      <c r="C432" s="2">
        <f t="shared" si="10"/>
        <v>2.2642026009582477</v>
      </c>
      <c r="D432" s="3">
        <v>77.2</v>
      </c>
      <c r="E432" s="2">
        <v>9.4</v>
      </c>
    </row>
    <row r="433" spans="1:5">
      <c r="A433" s="1">
        <v>38150</v>
      </c>
      <c r="B433" s="1">
        <v>39082</v>
      </c>
      <c r="C433" s="2">
        <f t="shared" si="10"/>
        <v>2.5516769336071183</v>
      </c>
      <c r="D433" s="3">
        <v>77.2</v>
      </c>
      <c r="E433" s="2">
        <v>9.6</v>
      </c>
    </row>
    <row r="434" spans="1:5">
      <c r="A434" s="1">
        <v>37667</v>
      </c>
      <c r="B434" s="1">
        <v>39082</v>
      </c>
      <c r="C434" s="2">
        <f t="shared" si="10"/>
        <v>3.8740588637919235</v>
      </c>
      <c r="D434" s="3">
        <v>77.2</v>
      </c>
      <c r="E434" s="2">
        <v>9.1999999999999993</v>
      </c>
    </row>
    <row r="435" spans="1:5">
      <c r="A435" s="1">
        <v>37956</v>
      </c>
      <c r="B435" s="1">
        <v>39082</v>
      </c>
      <c r="C435" s="2">
        <f t="shared" si="10"/>
        <v>3.0828199863107462</v>
      </c>
      <c r="D435" s="3">
        <v>77.2</v>
      </c>
      <c r="E435" s="2">
        <v>9.8000000000000007</v>
      </c>
    </row>
    <row r="436" spans="1:5">
      <c r="A436" s="1">
        <v>37803</v>
      </c>
      <c r="B436" s="1">
        <v>39082</v>
      </c>
      <c r="C436" s="2">
        <f t="shared" si="10"/>
        <v>3.5017111567419574</v>
      </c>
      <c r="D436" s="3">
        <v>77.2</v>
      </c>
      <c r="E436" s="2">
        <v>9.6</v>
      </c>
    </row>
    <row r="437" spans="1:5">
      <c r="A437" s="1">
        <v>38024</v>
      </c>
      <c r="B437" s="1">
        <v>39082</v>
      </c>
      <c r="C437" s="2">
        <f t="shared" si="10"/>
        <v>2.8966461327857633</v>
      </c>
      <c r="D437" s="3">
        <v>77.2</v>
      </c>
      <c r="E437" s="2">
        <v>8.9</v>
      </c>
    </row>
    <row r="438" spans="1:5">
      <c r="A438" s="1">
        <v>38049</v>
      </c>
      <c r="B438" s="1">
        <v>39082</v>
      </c>
      <c r="C438" s="2">
        <f t="shared" si="10"/>
        <v>2.8281998631074607</v>
      </c>
      <c r="D438" s="3">
        <v>77.2</v>
      </c>
      <c r="E438" s="2">
        <v>10</v>
      </c>
    </row>
    <row r="439" spans="1:5">
      <c r="A439" s="1">
        <v>38345</v>
      </c>
      <c r="B439" s="1">
        <v>39082</v>
      </c>
      <c r="C439" s="2">
        <f t="shared" si="10"/>
        <v>2.0177960301163584</v>
      </c>
      <c r="D439" s="3">
        <v>77.3</v>
      </c>
      <c r="E439" s="2">
        <v>9</v>
      </c>
    </row>
    <row r="440" spans="1:5">
      <c r="A440" s="1">
        <v>37828</v>
      </c>
      <c r="B440" s="1">
        <v>39082</v>
      </c>
      <c r="C440" s="2">
        <f t="shared" si="10"/>
        <v>3.4332648870636548</v>
      </c>
      <c r="D440" s="3">
        <v>77.3</v>
      </c>
      <c r="E440" s="2">
        <v>8.6</v>
      </c>
    </row>
    <row r="441" spans="1:5">
      <c r="A441" s="1">
        <v>37974</v>
      </c>
      <c r="B441" s="1">
        <v>39082</v>
      </c>
      <c r="C441" s="2">
        <f t="shared" si="10"/>
        <v>3.0335386721423681</v>
      </c>
      <c r="D441" s="3">
        <v>77.3</v>
      </c>
      <c r="E441" s="2">
        <v>8.6</v>
      </c>
    </row>
    <row r="442" spans="1:5">
      <c r="A442" s="1">
        <v>37854</v>
      </c>
      <c r="B442" s="1">
        <v>39082</v>
      </c>
      <c r="C442" s="2">
        <f t="shared" si="10"/>
        <v>3.3620807665982202</v>
      </c>
      <c r="D442" s="3">
        <v>77.400000000000006</v>
      </c>
      <c r="E442" s="2">
        <v>9.3000000000000007</v>
      </c>
    </row>
    <row r="443" spans="1:5">
      <c r="A443" s="1">
        <v>37922</v>
      </c>
      <c r="B443" s="1">
        <v>39082</v>
      </c>
      <c r="C443" s="2">
        <f t="shared" si="10"/>
        <v>3.1759069130732374</v>
      </c>
      <c r="D443" s="3">
        <v>77.400000000000006</v>
      </c>
      <c r="E443" s="2">
        <v>9.1</v>
      </c>
    </row>
    <row r="444" spans="1:5">
      <c r="A444" s="1">
        <v>37970</v>
      </c>
      <c r="B444" s="1">
        <v>39082</v>
      </c>
      <c r="C444" s="2">
        <f t="shared" si="10"/>
        <v>3.0444900752908968</v>
      </c>
      <c r="D444" s="3">
        <v>77.400000000000006</v>
      </c>
      <c r="E444" s="2">
        <v>9</v>
      </c>
    </row>
    <row r="445" spans="1:5">
      <c r="A445" s="1">
        <v>38169</v>
      </c>
      <c r="B445" s="1">
        <v>39082</v>
      </c>
      <c r="C445" s="2">
        <f t="shared" si="10"/>
        <v>2.4996577686516086</v>
      </c>
      <c r="D445" s="3">
        <v>77.400000000000006</v>
      </c>
      <c r="E445" s="2">
        <v>8.4</v>
      </c>
    </row>
    <row r="446" spans="1:5">
      <c r="A446" s="1">
        <v>38092</v>
      </c>
      <c r="B446" s="1">
        <v>39082</v>
      </c>
      <c r="C446" s="2">
        <f t="shared" si="10"/>
        <v>2.7104722792607805</v>
      </c>
      <c r="D446" s="3">
        <v>77.5</v>
      </c>
      <c r="E446" s="2">
        <v>10.3</v>
      </c>
    </row>
    <row r="447" spans="1:5">
      <c r="A447" s="1">
        <v>38270</v>
      </c>
      <c r="B447" s="1">
        <v>39082</v>
      </c>
      <c r="C447" s="2">
        <f t="shared" si="10"/>
        <v>2.2231348391512662</v>
      </c>
      <c r="D447" s="3">
        <v>77.5</v>
      </c>
      <c r="E447" s="2">
        <v>8.6</v>
      </c>
    </row>
    <row r="448" spans="1:5">
      <c r="A448" s="1">
        <v>37929</v>
      </c>
      <c r="B448" s="1">
        <v>39082</v>
      </c>
      <c r="C448" s="2">
        <f t="shared" si="10"/>
        <v>3.1567419575633129</v>
      </c>
      <c r="D448" s="3">
        <v>77.5</v>
      </c>
      <c r="E448" s="2">
        <v>9.5</v>
      </c>
    </row>
    <row r="449" spans="1:5">
      <c r="A449" s="1">
        <v>37683</v>
      </c>
      <c r="B449" s="1">
        <v>39082</v>
      </c>
      <c r="C449" s="2">
        <f t="shared" si="10"/>
        <v>3.8302532511978096</v>
      </c>
      <c r="D449" s="3">
        <v>77.5</v>
      </c>
      <c r="E449" s="2">
        <v>9</v>
      </c>
    </row>
    <row r="450" spans="1:5">
      <c r="A450" s="1">
        <v>37921</v>
      </c>
      <c r="B450" s="1">
        <v>39082</v>
      </c>
      <c r="C450" s="2">
        <f t="shared" si="10"/>
        <v>3.1786447638603694</v>
      </c>
      <c r="D450" s="3">
        <v>77.5</v>
      </c>
      <c r="E450" s="2">
        <v>9.1</v>
      </c>
    </row>
    <row r="451" spans="1:5">
      <c r="A451" s="1">
        <v>37788</v>
      </c>
      <c r="B451" s="1">
        <v>39082</v>
      </c>
      <c r="C451" s="2">
        <f t="shared" ref="C451:C514" si="11">(B451-A451)/365.25</f>
        <v>3.5427789185489389</v>
      </c>
      <c r="D451" s="3">
        <v>77.5</v>
      </c>
      <c r="E451" s="2">
        <v>9.6999999999999993</v>
      </c>
    </row>
    <row r="452" spans="1:5">
      <c r="A452" s="1">
        <v>38157</v>
      </c>
      <c r="B452" s="1">
        <v>39082</v>
      </c>
      <c r="C452" s="2">
        <f t="shared" si="11"/>
        <v>2.5325119780971939</v>
      </c>
      <c r="D452" s="3">
        <v>77.7</v>
      </c>
      <c r="E452" s="2">
        <v>9.4</v>
      </c>
    </row>
    <row r="453" spans="1:5">
      <c r="A453" s="1">
        <v>37712</v>
      </c>
      <c r="B453" s="1">
        <v>39082</v>
      </c>
      <c r="C453" s="2">
        <f t="shared" si="11"/>
        <v>3.7508555783709787</v>
      </c>
      <c r="D453" s="3">
        <v>77.7</v>
      </c>
      <c r="E453" s="2">
        <v>10</v>
      </c>
    </row>
    <row r="454" spans="1:5">
      <c r="A454" s="1">
        <v>38061</v>
      </c>
      <c r="B454" s="1">
        <v>39082</v>
      </c>
      <c r="C454" s="2">
        <f t="shared" si="11"/>
        <v>2.7953456536618755</v>
      </c>
      <c r="D454" s="3">
        <v>77.7</v>
      </c>
      <c r="E454" s="2">
        <v>9.4</v>
      </c>
    </row>
    <row r="455" spans="1:5">
      <c r="A455" s="1">
        <v>38047</v>
      </c>
      <c r="B455" s="1">
        <v>39082</v>
      </c>
      <c r="C455" s="2">
        <f t="shared" si="11"/>
        <v>2.8336755646817249</v>
      </c>
      <c r="D455" s="3">
        <v>77.7</v>
      </c>
      <c r="E455" s="2">
        <v>10.4</v>
      </c>
    </row>
    <row r="456" spans="1:5">
      <c r="A456" s="1">
        <v>37618</v>
      </c>
      <c r="B456" s="1">
        <v>39082</v>
      </c>
      <c r="C456" s="2">
        <f t="shared" si="11"/>
        <v>4.0082135523613962</v>
      </c>
      <c r="D456" s="3">
        <v>77.8</v>
      </c>
      <c r="E456" s="2">
        <v>9.8000000000000007</v>
      </c>
    </row>
    <row r="457" spans="1:5">
      <c r="A457" s="1">
        <v>37778</v>
      </c>
      <c r="B457" s="1">
        <v>39082</v>
      </c>
      <c r="C457" s="2">
        <f t="shared" si="11"/>
        <v>3.57015742642026</v>
      </c>
      <c r="D457" s="3">
        <v>77.8</v>
      </c>
      <c r="E457" s="2">
        <v>10.1</v>
      </c>
    </row>
    <row r="458" spans="1:5">
      <c r="A458" s="1">
        <v>38037</v>
      </c>
      <c r="B458" s="1">
        <v>39082</v>
      </c>
      <c r="C458" s="2">
        <f t="shared" si="11"/>
        <v>2.861054072553046</v>
      </c>
      <c r="D458" s="3">
        <v>77.8</v>
      </c>
      <c r="E458" s="2">
        <v>10.8</v>
      </c>
    </row>
    <row r="459" spans="1:5">
      <c r="A459" s="1">
        <v>37712</v>
      </c>
      <c r="B459" s="1">
        <v>39082</v>
      </c>
      <c r="C459" s="2">
        <f t="shared" si="11"/>
        <v>3.7508555783709787</v>
      </c>
      <c r="D459" s="3">
        <v>77.8</v>
      </c>
      <c r="E459" s="2">
        <v>8</v>
      </c>
    </row>
    <row r="460" spans="1:5">
      <c r="A460" s="1">
        <v>37631</v>
      </c>
      <c r="B460" s="1">
        <v>39082</v>
      </c>
      <c r="C460" s="2">
        <f t="shared" si="11"/>
        <v>3.9726214921286789</v>
      </c>
      <c r="D460" s="3">
        <v>78</v>
      </c>
      <c r="E460" s="2">
        <v>8.9</v>
      </c>
    </row>
    <row r="461" spans="1:5">
      <c r="A461" s="1">
        <v>38000</v>
      </c>
      <c r="B461" s="1">
        <v>39082</v>
      </c>
      <c r="C461" s="2">
        <f t="shared" si="11"/>
        <v>2.9623545516769334</v>
      </c>
      <c r="D461" s="3">
        <v>78.099999999999994</v>
      </c>
      <c r="E461" s="2">
        <v>8.6999999999999993</v>
      </c>
    </row>
    <row r="462" spans="1:5">
      <c r="A462" s="1">
        <v>37655</v>
      </c>
      <c r="B462" s="1">
        <v>39082</v>
      </c>
      <c r="C462" s="2">
        <f t="shared" si="11"/>
        <v>3.9069130732375084</v>
      </c>
      <c r="D462" s="3">
        <v>78.2</v>
      </c>
      <c r="E462" s="2">
        <v>10.1</v>
      </c>
    </row>
    <row r="463" spans="1:5">
      <c r="A463" s="1">
        <v>38258</v>
      </c>
      <c r="B463" s="1">
        <v>39082</v>
      </c>
      <c r="C463" s="2">
        <f t="shared" si="11"/>
        <v>2.2559890485968515</v>
      </c>
      <c r="D463" s="3">
        <v>78.2</v>
      </c>
      <c r="E463" s="2">
        <v>8.6999999999999993</v>
      </c>
    </row>
    <row r="464" spans="1:5">
      <c r="A464" s="1">
        <v>37575</v>
      </c>
      <c r="B464" s="1">
        <v>39082</v>
      </c>
      <c r="C464" s="2">
        <f t="shared" si="11"/>
        <v>4.1259411362080769</v>
      </c>
      <c r="D464" s="3">
        <v>78.2</v>
      </c>
      <c r="E464" s="2">
        <v>10.1</v>
      </c>
    </row>
    <row r="465" spans="1:5">
      <c r="A465" s="1">
        <v>37836</v>
      </c>
      <c r="B465" s="1">
        <v>39082</v>
      </c>
      <c r="C465" s="2">
        <f t="shared" si="11"/>
        <v>3.4113620807665983</v>
      </c>
      <c r="D465" s="3">
        <v>78.2</v>
      </c>
      <c r="E465" s="2">
        <v>9.6999999999999993</v>
      </c>
    </row>
    <row r="466" spans="1:5">
      <c r="A466" s="1">
        <v>38275</v>
      </c>
      <c r="B466" s="1">
        <v>39082</v>
      </c>
      <c r="C466" s="2">
        <f t="shared" si="11"/>
        <v>2.2094455852156059</v>
      </c>
      <c r="D466" s="3">
        <v>78.2</v>
      </c>
      <c r="E466" s="2">
        <v>9.1999999999999993</v>
      </c>
    </row>
    <row r="467" spans="1:5">
      <c r="A467" s="1">
        <v>37803</v>
      </c>
      <c r="B467" s="1">
        <v>39082</v>
      </c>
      <c r="C467" s="2">
        <f t="shared" si="11"/>
        <v>3.5017111567419574</v>
      </c>
      <c r="D467" s="3">
        <v>78.2</v>
      </c>
      <c r="E467" s="2">
        <v>16.5</v>
      </c>
    </row>
    <row r="468" spans="1:5">
      <c r="A468" s="1">
        <v>37602</v>
      </c>
      <c r="B468" s="1">
        <v>39082</v>
      </c>
      <c r="C468" s="2">
        <f t="shared" si="11"/>
        <v>4.0520191649555102</v>
      </c>
      <c r="D468" s="3">
        <v>78.2</v>
      </c>
      <c r="E468" s="2">
        <v>8.8000000000000007</v>
      </c>
    </row>
    <row r="469" spans="1:5">
      <c r="A469" s="1">
        <v>37849</v>
      </c>
      <c r="B469" s="1">
        <v>39082</v>
      </c>
      <c r="C469" s="2">
        <f t="shared" si="11"/>
        <v>3.375770020533881</v>
      </c>
      <c r="D469" s="3">
        <v>78.3</v>
      </c>
      <c r="E469" s="2">
        <v>8.6999999999999993</v>
      </c>
    </row>
    <row r="470" spans="1:5">
      <c r="A470" s="1">
        <v>38330</v>
      </c>
      <c r="B470" s="1">
        <v>39082</v>
      </c>
      <c r="C470" s="2">
        <f t="shared" si="11"/>
        <v>2.0588637919233403</v>
      </c>
      <c r="D470" s="3">
        <v>78.3</v>
      </c>
      <c r="E470" s="2">
        <v>11.2</v>
      </c>
    </row>
    <row r="471" spans="1:5">
      <c r="A471" s="1">
        <v>38032</v>
      </c>
      <c r="B471" s="1">
        <v>39082</v>
      </c>
      <c r="C471" s="2">
        <f t="shared" si="11"/>
        <v>2.8747433264887063</v>
      </c>
      <c r="D471" s="3">
        <v>78.3</v>
      </c>
      <c r="E471" s="2">
        <v>10.6</v>
      </c>
    </row>
    <row r="472" spans="1:5">
      <c r="A472" s="1">
        <v>37754</v>
      </c>
      <c r="B472" s="1">
        <v>39082</v>
      </c>
      <c r="C472" s="2">
        <f t="shared" si="11"/>
        <v>3.6358658453114305</v>
      </c>
      <c r="D472" s="3">
        <v>78.3</v>
      </c>
      <c r="E472" s="2">
        <v>8.9</v>
      </c>
    </row>
    <row r="473" spans="1:5">
      <c r="A473" s="1">
        <v>38135</v>
      </c>
      <c r="B473" s="1">
        <v>39082</v>
      </c>
      <c r="C473" s="2">
        <f t="shared" si="11"/>
        <v>2.5927446954140998</v>
      </c>
      <c r="D473" s="3">
        <v>78.3</v>
      </c>
      <c r="E473" s="2">
        <v>9.3000000000000007</v>
      </c>
    </row>
    <row r="474" spans="1:5">
      <c r="A474" s="1">
        <v>37833</v>
      </c>
      <c r="B474" s="1">
        <v>39082</v>
      </c>
      <c r="C474" s="2">
        <f t="shared" si="11"/>
        <v>3.4195756331279945</v>
      </c>
      <c r="D474" s="3">
        <v>78.400000000000006</v>
      </c>
      <c r="E474" s="2">
        <v>10.199999999999999</v>
      </c>
    </row>
    <row r="475" spans="1:5">
      <c r="A475" s="1">
        <v>37931</v>
      </c>
      <c r="B475" s="1">
        <v>39082</v>
      </c>
      <c r="C475" s="2">
        <f t="shared" si="11"/>
        <v>3.1512662559890487</v>
      </c>
      <c r="D475" s="3">
        <v>78.400000000000006</v>
      </c>
      <c r="E475" s="2">
        <v>8.9</v>
      </c>
    </row>
    <row r="476" spans="1:5">
      <c r="A476" s="1">
        <v>37469</v>
      </c>
      <c r="B476" s="1">
        <v>39082</v>
      </c>
      <c r="C476" s="2">
        <f t="shared" si="11"/>
        <v>4.4161533196440796</v>
      </c>
      <c r="D476" s="3">
        <v>78.400000000000006</v>
      </c>
      <c r="E476" s="2">
        <v>10</v>
      </c>
    </row>
    <row r="477" spans="1:5">
      <c r="A477" s="1">
        <v>37822</v>
      </c>
      <c r="B477" s="1">
        <v>39082</v>
      </c>
      <c r="C477" s="2">
        <f t="shared" si="11"/>
        <v>3.4496919917864477</v>
      </c>
      <c r="D477" s="3">
        <v>78.5</v>
      </c>
      <c r="E477" s="2">
        <v>9.6999999999999993</v>
      </c>
    </row>
    <row r="478" spans="1:5">
      <c r="A478" s="1">
        <v>37679</v>
      </c>
      <c r="B478" s="1">
        <v>39082</v>
      </c>
      <c r="C478" s="2">
        <f t="shared" si="11"/>
        <v>3.8412046543463383</v>
      </c>
      <c r="D478" s="3">
        <v>78.5</v>
      </c>
      <c r="E478" s="2">
        <v>8.9</v>
      </c>
    </row>
    <row r="479" spans="1:5">
      <c r="A479" s="1">
        <v>37742</v>
      </c>
      <c r="B479" s="1">
        <v>39082</v>
      </c>
      <c r="C479" s="2">
        <f t="shared" si="11"/>
        <v>3.6687200547570158</v>
      </c>
      <c r="D479" s="3">
        <v>78.5</v>
      </c>
      <c r="E479" s="2">
        <v>9.6</v>
      </c>
    </row>
    <row r="480" spans="1:5">
      <c r="A480" s="1">
        <v>37785</v>
      </c>
      <c r="B480" s="1">
        <v>39082</v>
      </c>
      <c r="C480" s="2">
        <f t="shared" si="11"/>
        <v>3.5509924709103355</v>
      </c>
      <c r="D480" s="3">
        <v>78.5</v>
      </c>
      <c r="E480" s="2">
        <v>8.8000000000000007</v>
      </c>
    </row>
    <row r="481" spans="1:5">
      <c r="A481" s="1">
        <v>37834</v>
      </c>
      <c r="B481" s="1">
        <v>39082</v>
      </c>
      <c r="C481" s="2">
        <f t="shared" si="11"/>
        <v>3.4168377823408624</v>
      </c>
      <c r="D481" s="3">
        <v>78.5</v>
      </c>
      <c r="E481" s="2">
        <v>9.6</v>
      </c>
    </row>
    <row r="482" spans="1:5">
      <c r="A482" s="1">
        <v>37506</v>
      </c>
      <c r="B482" s="1">
        <v>39082</v>
      </c>
      <c r="C482" s="2">
        <f t="shared" si="11"/>
        <v>4.3148528405201914</v>
      </c>
      <c r="D482" s="3">
        <v>78.5</v>
      </c>
      <c r="E482" s="2">
        <v>8.8000000000000007</v>
      </c>
    </row>
    <row r="483" spans="1:5">
      <c r="A483" s="1">
        <v>38238</v>
      </c>
      <c r="B483" s="1">
        <v>39082</v>
      </c>
      <c r="C483" s="2">
        <f t="shared" si="11"/>
        <v>2.3107460643394937</v>
      </c>
      <c r="D483" s="3">
        <v>78.599999999999994</v>
      </c>
      <c r="E483" s="2">
        <v>8.6999999999999993</v>
      </c>
    </row>
    <row r="484" spans="1:5">
      <c r="A484" s="1">
        <v>37921</v>
      </c>
      <c r="B484" s="1">
        <v>39082</v>
      </c>
      <c r="C484" s="2">
        <f t="shared" si="11"/>
        <v>3.1786447638603694</v>
      </c>
      <c r="D484" s="3">
        <v>78.7</v>
      </c>
      <c r="E484" s="2">
        <v>11</v>
      </c>
    </row>
    <row r="485" spans="1:5">
      <c r="A485" s="1">
        <v>37572</v>
      </c>
      <c r="B485" s="1">
        <v>39082</v>
      </c>
      <c r="C485" s="2">
        <f t="shared" si="11"/>
        <v>4.1341546885694731</v>
      </c>
      <c r="D485" s="3">
        <v>78.7</v>
      </c>
      <c r="E485" s="2">
        <v>8.6999999999999993</v>
      </c>
    </row>
    <row r="486" spans="1:5">
      <c r="A486" s="1">
        <v>37999</v>
      </c>
      <c r="B486" s="1">
        <v>39082</v>
      </c>
      <c r="C486" s="2">
        <f t="shared" si="11"/>
        <v>2.9650924024640659</v>
      </c>
      <c r="D486" s="3">
        <v>78.8</v>
      </c>
      <c r="E486" s="2">
        <v>10.3</v>
      </c>
    </row>
    <row r="487" spans="1:5">
      <c r="A487" s="1">
        <v>37740</v>
      </c>
      <c r="B487" s="1">
        <v>39082</v>
      </c>
      <c r="C487" s="2">
        <f t="shared" si="11"/>
        <v>3.6741957563312799</v>
      </c>
      <c r="D487" s="3">
        <v>78.8</v>
      </c>
      <c r="E487" s="2">
        <v>9.8000000000000007</v>
      </c>
    </row>
    <row r="488" spans="1:5">
      <c r="A488" s="1">
        <v>38160</v>
      </c>
      <c r="B488" s="1">
        <v>39082</v>
      </c>
      <c r="C488" s="2">
        <f t="shared" si="11"/>
        <v>2.5242984257357972</v>
      </c>
      <c r="D488" s="3">
        <v>78.8</v>
      </c>
      <c r="E488" s="2">
        <v>9.6</v>
      </c>
    </row>
    <row r="489" spans="1:5">
      <c r="A489" s="1">
        <v>37622</v>
      </c>
      <c r="B489" s="1">
        <v>39082</v>
      </c>
      <c r="C489" s="2">
        <f t="shared" si="11"/>
        <v>3.9972621492128679</v>
      </c>
      <c r="D489" s="3">
        <v>78.8</v>
      </c>
      <c r="E489" s="2">
        <v>9.4</v>
      </c>
    </row>
    <row r="490" spans="1:5">
      <c r="A490" s="1">
        <v>37582</v>
      </c>
      <c r="B490" s="1">
        <v>39082</v>
      </c>
      <c r="C490" s="2">
        <f t="shared" si="11"/>
        <v>4.1067761806981515</v>
      </c>
      <c r="D490" s="3">
        <v>78.900000000000006</v>
      </c>
      <c r="E490" s="2">
        <v>8.1</v>
      </c>
    </row>
    <row r="491" spans="1:5">
      <c r="A491" s="1">
        <v>38292</v>
      </c>
      <c r="B491" s="1">
        <v>39082</v>
      </c>
      <c r="C491" s="2">
        <f t="shared" si="11"/>
        <v>2.1629021218343598</v>
      </c>
      <c r="D491" s="3">
        <v>79</v>
      </c>
      <c r="E491" s="2">
        <v>11.9</v>
      </c>
    </row>
    <row r="492" spans="1:5">
      <c r="A492" s="1">
        <v>38255</v>
      </c>
      <c r="B492" s="1">
        <v>39082</v>
      </c>
      <c r="C492" s="2">
        <f t="shared" si="11"/>
        <v>2.2642026009582477</v>
      </c>
      <c r="D492" s="3">
        <v>79.099999999999994</v>
      </c>
      <c r="E492" s="2">
        <v>9.1999999999999993</v>
      </c>
    </row>
    <row r="493" spans="1:5">
      <c r="A493" s="1">
        <v>38261</v>
      </c>
      <c r="B493" s="1">
        <v>39082</v>
      </c>
      <c r="C493" s="2">
        <f t="shared" si="11"/>
        <v>2.2477754962354553</v>
      </c>
      <c r="D493" s="3">
        <v>79.099999999999994</v>
      </c>
      <c r="E493" s="2">
        <v>10</v>
      </c>
    </row>
    <row r="494" spans="1:5">
      <c r="A494" s="1">
        <v>37926</v>
      </c>
      <c r="B494" s="1">
        <v>39082</v>
      </c>
      <c r="C494" s="2">
        <f t="shared" si="11"/>
        <v>3.1649555099247091</v>
      </c>
      <c r="D494" s="3">
        <v>79.2</v>
      </c>
      <c r="E494" s="2">
        <v>10.6</v>
      </c>
    </row>
    <row r="495" spans="1:5">
      <c r="A495" s="1">
        <v>37676</v>
      </c>
      <c r="B495" s="1">
        <v>39082</v>
      </c>
      <c r="C495" s="2">
        <f t="shared" si="11"/>
        <v>3.8494182067077345</v>
      </c>
      <c r="D495" s="3">
        <v>79.3</v>
      </c>
      <c r="E495" s="2">
        <v>9.4</v>
      </c>
    </row>
    <row r="496" spans="1:5">
      <c r="A496" s="1">
        <v>38145</v>
      </c>
      <c r="B496" s="1">
        <v>39082</v>
      </c>
      <c r="C496" s="2">
        <f t="shared" si="11"/>
        <v>2.5653661875427791</v>
      </c>
      <c r="D496" s="3">
        <v>79.3</v>
      </c>
      <c r="E496" s="2">
        <v>9.5</v>
      </c>
    </row>
    <row r="497" spans="1:5">
      <c r="A497" s="1">
        <v>37662</v>
      </c>
      <c r="B497" s="1">
        <v>39082</v>
      </c>
      <c r="C497" s="2">
        <f t="shared" si="11"/>
        <v>3.8877481177275839</v>
      </c>
      <c r="D497" s="3">
        <v>79.400000000000006</v>
      </c>
      <c r="E497" s="2">
        <v>10.8</v>
      </c>
    </row>
    <row r="498" spans="1:5">
      <c r="A498" s="1">
        <v>38320</v>
      </c>
      <c r="B498" s="1">
        <v>39082</v>
      </c>
      <c r="C498" s="2">
        <f t="shared" si="11"/>
        <v>2.086242299794661</v>
      </c>
      <c r="D498" s="3">
        <v>79.400000000000006</v>
      </c>
      <c r="E498" s="2">
        <v>11.5</v>
      </c>
    </row>
    <row r="499" spans="1:5">
      <c r="A499" s="1">
        <v>38183</v>
      </c>
      <c r="B499" s="1">
        <v>39082</v>
      </c>
      <c r="C499" s="2">
        <f t="shared" si="11"/>
        <v>2.4613278576317592</v>
      </c>
      <c r="D499" s="3">
        <v>79.400000000000006</v>
      </c>
      <c r="E499" s="2">
        <v>11.2</v>
      </c>
    </row>
    <row r="500" spans="1:5">
      <c r="A500" s="1">
        <v>37655</v>
      </c>
      <c r="B500" s="1">
        <v>39082</v>
      </c>
      <c r="C500" s="2">
        <f t="shared" si="11"/>
        <v>3.9069130732375084</v>
      </c>
      <c r="D500" s="3">
        <v>79.400000000000006</v>
      </c>
      <c r="E500" s="2">
        <v>10.1</v>
      </c>
    </row>
    <row r="501" spans="1:5">
      <c r="A501" s="1">
        <v>38162</v>
      </c>
      <c r="B501" s="1">
        <v>39082</v>
      </c>
      <c r="C501" s="2">
        <f t="shared" si="11"/>
        <v>2.5188227241615331</v>
      </c>
      <c r="D501" s="3">
        <v>79.5</v>
      </c>
      <c r="E501" s="2">
        <v>9.6999999999999993</v>
      </c>
    </row>
    <row r="502" spans="1:5">
      <c r="A502" s="1">
        <v>38056</v>
      </c>
      <c r="B502" s="1">
        <v>39082</v>
      </c>
      <c r="C502" s="2">
        <f t="shared" si="11"/>
        <v>2.8090349075975358</v>
      </c>
      <c r="D502" s="3">
        <v>79.5</v>
      </c>
      <c r="E502" s="2">
        <v>9</v>
      </c>
    </row>
    <row r="503" spans="1:5">
      <c r="A503" s="1">
        <v>37486</v>
      </c>
      <c r="B503" s="1">
        <v>39082</v>
      </c>
      <c r="C503" s="2">
        <f t="shared" si="11"/>
        <v>4.3696098562628336</v>
      </c>
      <c r="D503" s="3">
        <v>79.599999999999994</v>
      </c>
      <c r="E503" s="2">
        <v>10</v>
      </c>
    </row>
    <row r="504" spans="1:5">
      <c r="A504" s="1">
        <v>37777</v>
      </c>
      <c r="B504" s="1">
        <v>39082</v>
      </c>
      <c r="C504" s="2">
        <f t="shared" si="11"/>
        <v>3.5728952772073921</v>
      </c>
      <c r="D504" s="3">
        <v>79.599999999999994</v>
      </c>
      <c r="E504" s="2">
        <v>9.4</v>
      </c>
    </row>
    <row r="505" spans="1:5">
      <c r="A505" s="1">
        <v>37726</v>
      </c>
      <c r="B505" s="1">
        <v>39082</v>
      </c>
      <c r="C505" s="2">
        <f t="shared" si="11"/>
        <v>3.7125256673511293</v>
      </c>
      <c r="D505" s="3">
        <v>79.599999999999994</v>
      </c>
      <c r="E505" s="2">
        <v>9.3000000000000007</v>
      </c>
    </row>
    <row r="506" spans="1:5">
      <c r="A506" s="1">
        <v>37956</v>
      </c>
      <c r="B506" s="1">
        <v>39082</v>
      </c>
      <c r="C506" s="2">
        <f t="shared" si="11"/>
        <v>3.0828199863107462</v>
      </c>
      <c r="D506" s="3">
        <v>79.7</v>
      </c>
      <c r="E506" s="2">
        <v>9.4</v>
      </c>
    </row>
    <row r="507" spans="1:5">
      <c r="A507" s="1">
        <v>37950</v>
      </c>
      <c r="B507" s="1">
        <v>39082</v>
      </c>
      <c r="C507" s="2">
        <f t="shared" si="11"/>
        <v>3.0992470910335386</v>
      </c>
      <c r="D507" s="3">
        <v>79.7</v>
      </c>
      <c r="E507" s="2">
        <v>6.6</v>
      </c>
    </row>
    <row r="508" spans="1:5">
      <c r="A508" s="1">
        <v>37285</v>
      </c>
      <c r="B508" s="1">
        <v>39082</v>
      </c>
      <c r="C508" s="2">
        <f t="shared" si="11"/>
        <v>4.9199178644763863</v>
      </c>
      <c r="D508" s="3">
        <v>79.8</v>
      </c>
      <c r="E508" s="2">
        <v>11.5</v>
      </c>
    </row>
    <row r="509" spans="1:5">
      <c r="A509" s="1">
        <v>37669</v>
      </c>
      <c r="B509" s="1">
        <v>39082</v>
      </c>
      <c r="C509" s="2">
        <f t="shared" si="11"/>
        <v>3.868583162217659</v>
      </c>
      <c r="D509" s="3">
        <v>79.8</v>
      </c>
      <c r="E509" s="2">
        <v>9</v>
      </c>
    </row>
    <row r="510" spans="1:5">
      <c r="A510" s="1">
        <v>37653</v>
      </c>
      <c r="B510" s="1">
        <v>39082</v>
      </c>
      <c r="C510" s="2">
        <f t="shared" si="11"/>
        <v>3.9123887748117729</v>
      </c>
      <c r="D510" s="3">
        <v>79.900000000000006</v>
      </c>
      <c r="E510" s="2">
        <v>10.199999999999999</v>
      </c>
    </row>
    <row r="511" spans="1:5">
      <c r="A511" s="1">
        <v>37774</v>
      </c>
      <c r="B511" s="1">
        <v>39082</v>
      </c>
      <c r="C511" s="2">
        <f t="shared" si="11"/>
        <v>3.5811088295687883</v>
      </c>
      <c r="D511" s="3">
        <v>79.900000000000006</v>
      </c>
      <c r="E511" s="2">
        <v>9.1</v>
      </c>
    </row>
    <row r="512" spans="1:5">
      <c r="A512" s="1">
        <v>37970</v>
      </c>
      <c r="B512" s="1">
        <v>39082</v>
      </c>
      <c r="C512" s="2">
        <f t="shared" si="11"/>
        <v>3.0444900752908968</v>
      </c>
      <c r="D512" s="3">
        <v>79.900000000000006</v>
      </c>
      <c r="E512" s="2">
        <v>7.2</v>
      </c>
    </row>
    <row r="513" spans="1:5">
      <c r="A513" s="1">
        <v>38090</v>
      </c>
      <c r="B513" s="1">
        <v>39082</v>
      </c>
      <c r="C513" s="2">
        <f t="shared" si="11"/>
        <v>2.7159479808350446</v>
      </c>
      <c r="D513" s="3">
        <v>79.900000000000006</v>
      </c>
      <c r="E513" s="2">
        <v>9</v>
      </c>
    </row>
    <row r="514" spans="1:5">
      <c r="A514" s="1">
        <v>37534</v>
      </c>
      <c r="B514" s="1">
        <v>39082</v>
      </c>
      <c r="C514" s="2">
        <f t="shared" si="11"/>
        <v>4.2381930184804926</v>
      </c>
      <c r="D514" s="3">
        <v>79.900000000000006</v>
      </c>
      <c r="E514" s="2">
        <v>9.6999999999999993</v>
      </c>
    </row>
    <row r="515" spans="1:5">
      <c r="A515" s="1">
        <v>37695</v>
      </c>
      <c r="B515" s="1">
        <v>39082</v>
      </c>
      <c r="C515" s="2">
        <f t="shared" ref="C515:C578" si="12">(B515-A515)/365.25</f>
        <v>3.7973990417522243</v>
      </c>
      <c r="D515" s="3">
        <v>79.900000000000006</v>
      </c>
      <c r="E515" s="2">
        <v>9.6</v>
      </c>
    </row>
    <row r="516" spans="1:5">
      <c r="A516" s="1">
        <v>37848</v>
      </c>
      <c r="B516" s="1">
        <v>39082</v>
      </c>
      <c r="C516" s="2">
        <f t="shared" si="12"/>
        <v>3.378507871321013</v>
      </c>
      <c r="D516" s="3">
        <v>79.900000000000006</v>
      </c>
      <c r="E516" s="2">
        <v>8.4</v>
      </c>
    </row>
    <row r="517" spans="1:5">
      <c r="A517" s="1">
        <v>38306</v>
      </c>
      <c r="B517" s="1">
        <v>39082</v>
      </c>
      <c r="C517" s="2">
        <f t="shared" si="12"/>
        <v>2.1245722108145104</v>
      </c>
      <c r="D517" s="3">
        <v>80</v>
      </c>
      <c r="E517" s="2">
        <v>10.7</v>
      </c>
    </row>
    <row r="518" spans="1:5">
      <c r="A518" s="1">
        <v>37474</v>
      </c>
      <c r="B518" s="1">
        <v>39082</v>
      </c>
      <c r="C518" s="2">
        <f t="shared" si="12"/>
        <v>4.4024640657084193</v>
      </c>
      <c r="D518" s="3">
        <v>80</v>
      </c>
      <c r="E518" s="2">
        <v>11.7</v>
      </c>
    </row>
    <row r="519" spans="1:5">
      <c r="A519" s="1">
        <v>37616</v>
      </c>
      <c r="B519" s="1">
        <v>39082</v>
      </c>
      <c r="C519" s="2">
        <f t="shared" si="12"/>
        <v>4.0136892539356603</v>
      </c>
      <c r="D519" s="3">
        <v>80</v>
      </c>
      <c r="E519" s="2">
        <v>10.1</v>
      </c>
    </row>
    <row r="520" spans="1:5">
      <c r="A520" s="1">
        <v>38236</v>
      </c>
      <c r="B520" s="1">
        <v>39082</v>
      </c>
      <c r="C520" s="2">
        <f t="shared" si="12"/>
        <v>2.3162217659137578</v>
      </c>
      <c r="D520" s="3">
        <v>80.099999999999994</v>
      </c>
      <c r="E520" s="2">
        <v>9.5</v>
      </c>
    </row>
    <row r="521" spans="1:5">
      <c r="A521" s="1">
        <v>38011</v>
      </c>
      <c r="B521" s="1">
        <v>39082</v>
      </c>
      <c r="C521" s="2">
        <f t="shared" si="12"/>
        <v>2.9322381930184807</v>
      </c>
      <c r="D521" s="3">
        <v>80.099999999999994</v>
      </c>
      <c r="E521" s="2">
        <v>9.4</v>
      </c>
    </row>
    <row r="522" spans="1:5">
      <c r="A522" s="1">
        <v>38329</v>
      </c>
      <c r="B522" s="1">
        <v>39082</v>
      </c>
      <c r="C522" s="2">
        <f t="shared" si="12"/>
        <v>2.0616016427104724</v>
      </c>
      <c r="D522" s="3">
        <v>80.099999999999994</v>
      </c>
      <c r="E522" s="2">
        <v>11</v>
      </c>
    </row>
    <row r="523" spans="1:5">
      <c r="A523" s="1">
        <v>37369</v>
      </c>
      <c r="B523" s="1">
        <v>39082</v>
      </c>
      <c r="C523" s="2">
        <f t="shared" si="12"/>
        <v>4.6899383983572891</v>
      </c>
      <c r="D523" s="3">
        <v>80.099999999999994</v>
      </c>
      <c r="E523" s="2">
        <v>9.1</v>
      </c>
    </row>
    <row r="524" spans="1:5">
      <c r="A524" s="1">
        <v>38188</v>
      </c>
      <c r="B524" s="1">
        <v>39082</v>
      </c>
      <c r="C524" s="2">
        <f t="shared" si="12"/>
        <v>2.4476386036960984</v>
      </c>
      <c r="D524" s="3">
        <v>80.099999999999994</v>
      </c>
      <c r="E524" s="2">
        <v>10</v>
      </c>
    </row>
    <row r="525" spans="1:5">
      <c r="A525" s="1">
        <v>37920</v>
      </c>
      <c r="B525" s="1">
        <v>39082</v>
      </c>
      <c r="C525" s="2">
        <f t="shared" si="12"/>
        <v>3.1813826146475015</v>
      </c>
      <c r="D525" s="3">
        <v>80.2</v>
      </c>
      <c r="E525" s="2">
        <v>9.8000000000000007</v>
      </c>
    </row>
    <row r="526" spans="1:5">
      <c r="A526" s="1">
        <v>38347</v>
      </c>
      <c r="B526" s="1">
        <v>39082</v>
      </c>
      <c r="C526" s="2">
        <f t="shared" si="12"/>
        <v>2.0123203285420943</v>
      </c>
      <c r="D526" s="3">
        <v>80.2</v>
      </c>
      <c r="E526" s="2">
        <v>10.1</v>
      </c>
    </row>
    <row r="527" spans="1:5">
      <c r="A527" s="1">
        <v>38053</v>
      </c>
      <c r="B527" s="1">
        <v>39082</v>
      </c>
      <c r="C527" s="2">
        <f t="shared" si="12"/>
        <v>2.817248459958932</v>
      </c>
      <c r="D527" s="3">
        <v>80.2</v>
      </c>
      <c r="E527" s="2">
        <v>10.1</v>
      </c>
    </row>
    <row r="528" spans="1:5">
      <c r="A528" s="1">
        <v>37688</v>
      </c>
      <c r="B528" s="1">
        <v>39082</v>
      </c>
      <c r="C528" s="2">
        <f t="shared" si="12"/>
        <v>3.8165639972621492</v>
      </c>
      <c r="D528" s="3">
        <v>80.2</v>
      </c>
      <c r="E528" s="2">
        <v>8.8000000000000007</v>
      </c>
    </row>
    <row r="529" spans="1:5">
      <c r="A529" s="1">
        <v>37751</v>
      </c>
      <c r="B529" s="1">
        <v>39082</v>
      </c>
      <c r="C529" s="2">
        <f t="shared" si="12"/>
        <v>3.6440793976728267</v>
      </c>
      <c r="D529" s="3">
        <v>80.2</v>
      </c>
      <c r="E529" s="2">
        <v>9.1</v>
      </c>
    </row>
    <row r="530" spans="1:5">
      <c r="A530" s="1">
        <v>37548</v>
      </c>
      <c r="B530" s="1">
        <v>39082</v>
      </c>
      <c r="C530" s="2">
        <f t="shared" si="12"/>
        <v>4.1998631074606436</v>
      </c>
      <c r="D530" s="3">
        <v>80.2</v>
      </c>
      <c r="E530" s="2">
        <v>8.9</v>
      </c>
    </row>
    <row r="531" spans="1:5">
      <c r="A531" s="1">
        <v>37325</v>
      </c>
      <c r="B531" s="1">
        <v>39082</v>
      </c>
      <c r="C531" s="2">
        <f t="shared" si="12"/>
        <v>4.8104038329911019</v>
      </c>
      <c r="D531" s="3">
        <v>80.2</v>
      </c>
      <c r="E531" s="2">
        <v>9.9</v>
      </c>
    </row>
    <row r="532" spans="1:5">
      <c r="A532" s="1">
        <v>38144</v>
      </c>
      <c r="B532" s="1">
        <v>39082</v>
      </c>
      <c r="C532" s="2">
        <f t="shared" si="12"/>
        <v>2.5681040383299112</v>
      </c>
      <c r="D532" s="3">
        <v>80.2</v>
      </c>
      <c r="E532" s="2">
        <v>9.9</v>
      </c>
    </row>
    <row r="533" spans="1:5">
      <c r="A533" s="1">
        <v>37492</v>
      </c>
      <c r="B533" s="1">
        <v>39082</v>
      </c>
      <c r="C533" s="2">
        <f t="shared" si="12"/>
        <v>4.3531827515400412</v>
      </c>
      <c r="D533" s="3">
        <v>80.3</v>
      </c>
      <c r="E533" s="2">
        <v>9.4</v>
      </c>
    </row>
    <row r="534" spans="1:5">
      <c r="A534" s="1">
        <v>38200</v>
      </c>
      <c r="B534" s="1">
        <v>39082</v>
      </c>
      <c r="C534" s="2">
        <f t="shared" si="12"/>
        <v>2.4147843942505132</v>
      </c>
      <c r="D534" s="3">
        <v>80.3</v>
      </c>
      <c r="E534" s="2">
        <v>10.8</v>
      </c>
    </row>
    <row r="535" spans="1:5">
      <c r="A535" s="1">
        <v>37695</v>
      </c>
      <c r="B535" s="1">
        <v>39082</v>
      </c>
      <c r="C535" s="2">
        <f t="shared" si="12"/>
        <v>3.7973990417522243</v>
      </c>
      <c r="D535" s="3">
        <v>80.3</v>
      </c>
      <c r="E535" s="2">
        <v>9.8000000000000007</v>
      </c>
    </row>
    <row r="536" spans="1:5">
      <c r="A536" s="1">
        <v>38047</v>
      </c>
      <c r="B536" s="1">
        <v>39082</v>
      </c>
      <c r="C536" s="2">
        <f t="shared" si="12"/>
        <v>2.8336755646817249</v>
      </c>
      <c r="D536" s="3">
        <v>80.3</v>
      </c>
      <c r="E536" s="2">
        <v>10.9</v>
      </c>
    </row>
    <row r="537" spans="1:5">
      <c r="A537" s="1">
        <v>38261</v>
      </c>
      <c r="B537" s="1">
        <v>39082</v>
      </c>
      <c r="C537" s="2">
        <f t="shared" si="12"/>
        <v>2.2477754962354553</v>
      </c>
      <c r="D537" s="3">
        <v>80.3</v>
      </c>
      <c r="E537" s="2">
        <v>9.9</v>
      </c>
    </row>
    <row r="538" spans="1:5">
      <c r="A538" s="1">
        <v>37947</v>
      </c>
      <c r="B538" s="1">
        <v>39082</v>
      </c>
      <c r="C538" s="2">
        <f t="shared" si="12"/>
        <v>3.1074606433949348</v>
      </c>
      <c r="D538" s="3">
        <v>80.3</v>
      </c>
      <c r="E538" s="2">
        <v>10.3</v>
      </c>
    </row>
    <row r="539" spans="1:5">
      <c r="A539" s="1">
        <v>38269</v>
      </c>
      <c r="B539" s="1">
        <v>39082</v>
      </c>
      <c r="C539" s="2">
        <f t="shared" si="12"/>
        <v>2.2258726899383983</v>
      </c>
      <c r="D539" s="3">
        <v>80.3</v>
      </c>
      <c r="E539" s="2">
        <v>9.4</v>
      </c>
    </row>
    <row r="540" spans="1:5">
      <c r="A540" s="1">
        <v>37646</v>
      </c>
      <c r="B540" s="1">
        <v>39082</v>
      </c>
      <c r="C540" s="2">
        <f t="shared" si="12"/>
        <v>3.9315537303216974</v>
      </c>
      <c r="D540" s="3">
        <v>80.400000000000006</v>
      </c>
      <c r="E540" s="2">
        <v>9.1999999999999993</v>
      </c>
    </row>
    <row r="541" spans="1:5">
      <c r="A541" s="1">
        <v>37695</v>
      </c>
      <c r="B541" s="1">
        <v>39082</v>
      </c>
      <c r="C541" s="2">
        <f t="shared" si="12"/>
        <v>3.7973990417522243</v>
      </c>
      <c r="D541" s="3">
        <v>80.400000000000006</v>
      </c>
      <c r="E541" s="2">
        <v>9.1999999999999993</v>
      </c>
    </row>
    <row r="542" spans="1:5">
      <c r="A542" s="1">
        <v>38301</v>
      </c>
      <c r="B542" s="1">
        <v>39082</v>
      </c>
      <c r="C542" s="2">
        <f t="shared" si="12"/>
        <v>2.1382614647501712</v>
      </c>
      <c r="D542" s="3">
        <v>80.5</v>
      </c>
      <c r="E542" s="2">
        <v>11.6</v>
      </c>
    </row>
    <row r="543" spans="1:5">
      <c r="A543" s="1">
        <v>38049</v>
      </c>
      <c r="B543" s="1">
        <v>39082</v>
      </c>
      <c r="C543" s="2">
        <f t="shared" si="12"/>
        <v>2.8281998631074607</v>
      </c>
      <c r="D543" s="3">
        <v>80.599999999999994</v>
      </c>
      <c r="E543" s="2">
        <v>9.9</v>
      </c>
    </row>
    <row r="544" spans="1:5">
      <c r="A544" s="1">
        <v>37732</v>
      </c>
      <c r="B544" s="1">
        <v>39082</v>
      </c>
      <c r="C544" s="2">
        <f t="shared" si="12"/>
        <v>3.6960985626283369</v>
      </c>
      <c r="D544" s="3">
        <v>80.599999999999994</v>
      </c>
      <c r="E544" s="2">
        <v>9.6</v>
      </c>
    </row>
    <row r="545" spans="1:5">
      <c r="A545" s="1">
        <v>37058</v>
      </c>
      <c r="B545" s="1">
        <v>39082</v>
      </c>
      <c r="C545" s="2">
        <f t="shared" si="12"/>
        <v>5.5414099931553729</v>
      </c>
      <c r="D545" s="3">
        <v>80.599999999999994</v>
      </c>
      <c r="E545" s="2">
        <v>11.7</v>
      </c>
    </row>
    <row r="546" spans="1:5">
      <c r="A546" s="1">
        <v>37806</v>
      </c>
      <c r="B546" s="1">
        <v>39082</v>
      </c>
      <c r="C546" s="2">
        <f t="shared" si="12"/>
        <v>3.4934976043805612</v>
      </c>
      <c r="D546" s="3">
        <v>80.599999999999994</v>
      </c>
      <c r="E546" s="2">
        <v>7.6</v>
      </c>
    </row>
    <row r="547" spans="1:5">
      <c r="A547" s="1">
        <v>37926</v>
      </c>
      <c r="B547" s="1">
        <v>39082</v>
      </c>
      <c r="C547" s="2">
        <f t="shared" si="12"/>
        <v>3.1649555099247091</v>
      </c>
      <c r="D547" s="3">
        <v>80.7</v>
      </c>
      <c r="E547" s="2">
        <v>10.9</v>
      </c>
    </row>
    <row r="548" spans="1:5">
      <c r="A548" s="1">
        <v>38322</v>
      </c>
      <c r="B548" s="1">
        <v>39082</v>
      </c>
      <c r="C548" s="2">
        <f t="shared" si="12"/>
        <v>2.0807665982203969</v>
      </c>
      <c r="D548" s="3">
        <v>80.7</v>
      </c>
      <c r="E548" s="2">
        <v>9.9</v>
      </c>
    </row>
    <row r="549" spans="1:5">
      <c r="A549" s="1">
        <v>38030</v>
      </c>
      <c r="B549" s="1">
        <v>39082</v>
      </c>
      <c r="C549" s="2">
        <f t="shared" si="12"/>
        <v>2.8802190280629705</v>
      </c>
      <c r="D549" s="3">
        <v>80.8</v>
      </c>
      <c r="E549" s="2">
        <v>10.1</v>
      </c>
    </row>
    <row r="550" spans="1:5">
      <c r="A550" s="1">
        <v>37626</v>
      </c>
      <c r="B550" s="1">
        <v>39082</v>
      </c>
      <c r="C550" s="2">
        <f t="shared" si="12"/>
        <v>3.9863107460643397</v>
      </c>
      <c r="D550" s="3">
        <v>80.8</v>
      </c>
      <c r="E550" s="2">
        <v>10.8</v>
      </c>
    </row>
    <row r="551" spans="1:5">
      <c r="A551" s="1">
        <v>37987</v>
      </c>
      <c r="B551" s="1">
        <v>39082</v>
      </c>
      <c r="C551" s="2">
        <f t="shared" si="12"/>
        <v>2.9979466119096507</v>
      </c>
      <c r="D551" s="3">
        <v>80.8</v>
      </c>
      <c r="E551" s="2">
        <v>9.1999999999999993</v>
      </c>
    </row>
    <row r="552" spans="1:5">
      <c r="A552" s="1">
        <v>37213</v>
      </c>
      <c r="B552" s="1">
        <v>39082</v>
      </c>
      <c r="C552" s="2">
        <f t="shared" si="12"/>
        <v>5.117043121149897</v>
      </c>
      <c r="D552" s="3">
        <v>81</v>
      </c>
      <c r="E552" s="2">
        <v>11.9</v>
      </c>
    </row>
    <row r="553" spans="1:5">
      <c r="A553" s="1">
        <v>37627</v>
      </c>
      <c r="B553" s="1">
        <v>39082</v>
      </c>
      <c r="C553" s="2">
        <f t="shared" si="12"/>
        <v>3.9835728952772076</v>
      </c>
      <c r="D553" s="3">
        <v>81</v>
      </c>
      <c r="E553" s="2">
        <v>10.1</v>
      </c>
    </row>
    <row r="554" spans="1:5">
      <c r="A554" s="1">
        <v>38108</v>
      </c>
      <c r="B554" s="1">
        <v>39082</v>
      </c>
      <c r="C554" s="2">
        <f t="shared" si="12"/>
        <v>2.6666666666666665</v>
      </c>
      <c r="D554" s="3">
        <v>81</v>
      </c>
      <c r="E554" s="2">
        <v>11.6</v>
      </c>
    </row>
    <row r="555" spans="1:5">
      <c r="A555" s="1">
        <v>38272</v>
      </c>
      <c r="B555" s="1">
        <v>39082</v>
      </c>
      <c r="C555" s="2">
        <f t="shared" si="12"/>
        <v>2.2176591375770021</v>
      </c>
      <c r="D555" s="3">
        <v>81</v>
      </c>
      <c r="E555" s="2">
        <v>10.6</v>
      </c>
    </row>
    <row r="556" spans="1:5">
      <c r="A556" s="1">
        <v>37447</v>
      </c>
      <c r="B556" s="1">
        <v>39082</v>
      </c>
      <c r="C556" s="2">
        <f t="shared" si="12"/>
        <v>4.476386036960986</v>
      </c>
      <c r="D556" s="3">
        <v>81</v>
      </c>
      <c r="E556" s="2">
        <v>10.8</v>
      </c>
    </row>
    <row r="557" spans="1:5">
      <c r="A557" s="1">
        <v>37273</v>
      </c>
      <c r="B557" s="1">
        <v>39082</v>
      </c>
      <c r="C557" s="2">
        <f t="shared" si="12"/>
        <v>4.9527720739219712</v>
      </c>
      <c r="D557" s="3">
        <v>81</v>
      </c>
      <c r="E557" s="2">
        <v>11.4</v>
      </c>
    </row>
    <row r="558" spans="1:5">
      <c r="A558" s="1">
        <v>38073</v>
      </c>
      <c r="B558" s="1">
        <v>39082</v>
      </c>
      <c r="C558" s="2">
        <f t="shared" si="12"/>
        <v>2.7624914442162902</v>
      </c>
      <c r="D558" s="3">
        <v>81</v>
      </c>
      <c r="E558" s="2">
        <v>11.6</v>
      </c>
    </row>
    <row r="559" spans="1:5">
      <c r="A559" s="1">
        <v>37727</v>
      </c>
      <c r="B559" s="1">
        <v>39082</v>
      </c>
      <c r="C559" s="2">
        <f t="shared" si="12"/>
        <v>3.7097878165639973</v>
      </c>
      <c r="D559" s="3">
        <v>81.099999999999994</v>
      </c>
      <c r="E559" s="2">
        <v>10.3</v>
      </c>
    </row>
    <row r="560" spans="1:5">
      <c r="A560" s="1">
        <v>38053</v>
      </c>
      <c r="B560" s="1">
        <v>39082</v>
      </c>
      <c r="C560" s="2">
        <f t="shared" si="12"/>
        <v>2.817248459958932</v>
      </c>
      <c r="D560" s="3">
        <v>81.099999999999994</v>
      </c>
      <c r="E560" s="2">
        <v>10.4</v>
      </c>
    </row>
    <row r="561" spans="1:5">
      <c r="A561" s="1">
        <v>37719</v>
      </c>
      <c r="B561" s="1">
        <v>39082</v>
      </c>
      <c r="C561" s="2">
        <f t="shared" si="12"/>
        <v>3.7316906228610542</v>
      </c>
      <c r="D561" s="3">
        <v>81.2</v>
      </c>
      <c r="E561" s="2">
        <v>8.5</v>
      </c>
    </row>
    <row r="562" spans="1:5">
      <c r="A562" s="1">
        <v>38261</v>
      </c>
      <c r="B562" s="1">
        <v>39082</v>
      </c>
      <c r="C562" s="2">
        <f t="shared" si="12"/>
        <v>2.2477754962354553</v>
      </c>
      <c r="D562" s="3">
        <v>81.2</v>
      </c>
      <c r="E562" s="2">
        <v>12.2</v>
      </c>
    </row>
    <row r="563" spans="1:5">
      <c r="A563" s="1">
        <v>37606</v>
      </c>
      <c r="B563" s="1">
        <v>39082</v>
      </c>
      <c r="C563" s="2">
        <f t="shared" si="12"/>
        <v>4.0410677618069819</v>
      </c>
      <c r="D563" s="3">
        <v>81.2</v>
      </c>
      <c r="E563" s="2">
        <v>8.5</v>
      </c>
    </row>
    <row r="564" spans="1:5">
      <c r="A564" s="1">
        <v>37543</v>
      </c>
      <c r="B564" s="1">
        <v>39082</v>
      </c>
      <c r="C564" s="2">
        <f t="shared" si="12"/>
        <v>4.213552361396304</v>
      </c>
      <c r="D564" s="3">
        <v>81.2</v>
      </c>
      <c r="E564" s="2">
        <v>10.199999999999999</v>
      </c>
    </row>
    <row r="565" spans="1:5">
      <c r="A565" s="1">
        <v>37666</v>
      </c>
      <c r="B565" s="1">
        <v>39082</v>
      </c>
      <c r="C565" s="2">
        <f t="shared" si="12"/>
        <v>3.8767967145790556</v>
      </c>
      <c r="D565" s="3">
        <v>81.3</v>
      </c>
      <c r="E565" s="2">
        <v>9.6999999999999993</v>
      </c>
    </row>
    <row r="566" spans="1:5">
      <c r="A566" s="1">
        <v>37297</v>
      </c>
      <c r="B566" s="1">
        <v>39082</v>
      </c>
      <c r="C566" s="2">
        <f t="shared" si="12"/>
        <v>4.8870636550308006</v>
      </c>
      <c r="D566" s="3">
        <v>81.400000000000006</v>
      </c>
      <c r="E566" s="2">
        <v>9.8000000000000007</v>
      </c>
    </row>
    <row r="567" spans="1:5">
      <c r="A567" s="1">
        <v>37800</v>
      </c>
      <c r="B567" s="1">
        <v>39082</v>
      </c>
      <c r="C567" s="2">
        <f t="shared" si="12"/>
        <v>3.5099247091033541</v>
      </c>
      <c r="D567" s="3">
        <v>81.400000000000006</v>
      </c>
      <c r="E567" s="2">
        <v>9.6</v>
      </c>
    </row>
    <row r="568" spans="1:5">
      <c r="A568" s="1">
        <v>38315</v>
      </c>
      <c r="B568" s="1">
        <v>39082</v>
      </c>
      <c r="C568" s="2">
        <f t="shared" si="12"/>
        <v>2.0999315537303218</v>
      </c>
      <c r="D568" s="3">
        <v>81.400000000000006</v>
      </c>
      <c r="E568" s="2">
        <v>10.4</v>
      </c>
    </row>
    <row r="569" spans="1:5">
      <c r="A569" s="1">
        <v>37891</v>
      </c>
      <c r="B569" s="1">
        <v>39082</v>
      </c>
      <c r="C569" s="2">
        <f t="shared" si="12"/>
        <v>3.2607802874743328</v>
      </c>
      <c r="D569" s="3">
        <v>81.5</v>
      </c>
      <c r="E569" s="2">
        <v>10.1</v>
      </c>
    </row>
    <row r="570" spans="1:5">
      <c r="A570" s="1">
        <v>37533</v>
      </c>
      <c r="B570" s="1">
        <v>39082</v>
      </c>
      <c r="C570" s="2">
        <f t="shared" si="12"/>
        <v>4.2409308692676246</v>
      </c>
      <c r="D570" s="3">
        <v>81.5</v>
      </c>
      <c r="E570" s="2">
        <v>10.3</v>
      </c>
    </row>
    <row r="571" spans="1:5">
      <c r="A571" s="1">
        <v>38231</v>
      </c>
      <c r="B571" s="1">
        <v>39082</v>
      </c>
      <c r="C571" s="2">
        <f t="shared" si="12"/>
        <v>2.3299110198494182</v>
      </c>
      <c r="D571" s="3">
        <v>81.5</v>
      </c>
      <c r="E571" s="2">
        <v>10.7</v>
      </c>
    </row>
    <row r="572" spans="1:5">
      <c r="A572" s="1">
        <v>37618</v>
      </c>
      <c r="B572" s="1">
        <v>39082</v>
      </c>
      <c r="C572" s="2">
        <f t="shared" si="12"/>
        <v>4.0082135523613962</v>
      </c>
      <c r="D572" s="3">
        <v>81.5</v>
      </c>
      <c r="E572" s="2">
        <v>9.8000000000000007</v>
      </c>
    </row>
    <row r="573" spans="1:5">
      <c r="A573" s="1">
        <v>37062</v>
      </c>
      <c r="B573" s="1">
        <v>39082</v>
      </c>
      <c r="C573" s="2">
        <f t="shared" si="12"/>
        <v>5.5304585900068446</v>
      </c>
      <c r="D573" s="3">
        <v>81.599999999999994</v>
      </c>
      <c r="E573" s="2">
        <v>8.6</v>
      </c>
    </row>
    <row r="574" spans="1:5">
      <c r="A574" s="1">
        <v>37364</v>
      </c>
      <c r="B574" s="1">
        <v>39082</v>
      </c>
      <c r="C574" s="2">
        <f t="shared" si="12"/>
        <v>4.7036276522929503</v>
      </c>
      <c r="D574" s="3">
        <v>81.599999999999994</v>
      </c>
      <c r="E574" s="2">
        <v>10.6</v>
      </c>
    </row>
    <row r="575" spans="1:5">
      <c r="A575" s="1">
        <v>37758</v>
      </c>
      <c r="B575" s="1">
        <v>39082</v>
      </c>
      <c r="C575" s="2">
        <f t="shared" si="12"/>
        <v>3.6249144421629023</v>
      </c>
      <c r="D575" s="3">
        <v>81.7</v>
      </c>
      <c r="E575" s="2">
        <v>11</v>
      </c>
    </row>
    <row r="576" spans="1:5">
      <c r="A576" s="1">
        <v>37744</v>
      </c>
      <c r="B576" s="1">
        <v>39082</v>
      </c>
      <c r="C576" s="2">
        <f t="shared" si="12"/>
        <v>3.6632443531827517</v>
      </c>
      <c r="D576" s="3">
        <v>81.7</v>
      </c>
      <c r="E576" s="2">
        <v>9.6</v>
      </c>
    </row>
    <row r="577" spans="1:5">
      <c r="A577" s="1">
        <v>38127</v>
      </c>
      <c r="B577" s="1">
        <v>39082</v>
      </c>
      <c r="C577" s="2">
        <f t="shared" si="12"/>
        <v>2.6146475017111568</v>
      </c>
      <c r="D577" s="3">
        <v>81.900000000000006</v>
      </c>
      <c r="E577" s="2">
        <v>10.199999999999999</v>
      </c>
    </row>
    <row r="578" spans="1:5">
      <c r="A578" s="1">
        <v>38234</v>
      </c>
      <c r="B578" s="1">
        <v>39082</v>
      </c>
      <c r="C578" s="2">
        <f t="shared" si="12"/>
        <v>2.321697467488022</v>
      </c>
      <c r="D578" s="3">
        <v>81.900000000000006</v>
      </c>
      <c r="E578" s="2">
        <v>9.6999999999999993</v>
      </c>
    </row>
    <row r="579" spans="1:5">
      <c r="A579" s="1">
        <v>37777</v>
      </c>
      <c r="B579" s="1">
        <v>39082</v>
      </c>
      <c r="C579" s="2">
        <f t="shared" ref="C579:C642" si="13">(B579-A579)/365.25</f>
        <v>3.5728952772073921</v>
      </c>
      <c r="D579" s="3">
        <v>82</v>
      </c>
      <c r="E579" s="2">
        <v>10.3</v>
      </c>
    </row>
    <row r="580" spans="1:5">
      <c r="A580" s="1">
        <v>37632</v>
      </c>
      <c r="B580" s="1">
        <v>39082</v>
      </c>
      <c r="C580" s="2">
        <f t="shared" si="13"/>
        <v>3.9698836413415468</v>
      </c>
      <c r="D580" s="3">
        <v>82</v>
      </c>
      <c r="E580" s="2">
        <v>10.1</v>
      </c>
    </row>
    <row r="581" spans="1:5">
      <c r="A581" s="1">
        <v>36982</v>
      </c>
      <c r="B581" s="1">
        <v>39082</v>
      </c>
      <c r="C581" s="2">
        <f t="shared" si="13"/>
        <v>5.7494866529774127</v>
      </c>
      <c r="D581" s="3">
        <v>82</v>
      </c>
      <c r="E581" s="2">
        <v>10.199999999999999</v>
      </c>
    </row>
    <row r="582" spans="1:5">
      <c r="A582" s="1">
        <v>38032</v>
      </c>
      <c r="B582" s="1">
        <v>39082</v>
      </c>
      <c r="C582" s="2">
        <f t="shared" si="13"/>
        <v>2.8747433264887063</v>
      </c>
      <c r="D582" s="3">
        <v>82.1</v>
      </c>
      <c r="E582" s="2">
        <v>10.9</v>
      </c>
    </row>
    <row r="583" spans="1:5">
      <c r="A583" s="1">
        <v>37600</v>
      </c>
      <c r="B583" s="1">
        <v>39082</v>
      </c>
      <c r="C583" s="2">
        <f t="shared" si="13"/>
        <v>4.0574948665297743</v>
      </c>
      <c r="D583" s="3">
        <v>82.1</v>
      </c>
      <c r="E583" s="2">
        <v>10.7</v>
      </c>
    </row>
    <row r="584" spans="1:5">
      <c r="A584" s="1">
        <v>37323</v>
      </c>
      <c r="B584" s="1">
        <v>39082</v>
      </c>
      <c r="C584" s="2">
        <f t="shared" si="13"/>
        <v>4.815879534565366</v>
      </c>
      <c r="D584" s="3">
        <v>82.2</v>
      </c>
      <c r="E584" s="2">
        <v>11</v>
      </c>
    </row>
    <row r="585" spans="1:5">
      <c r="A585" s="1">
        <v>37488</v>
      </c>
      <c r="B585" s="1">
        <v>39082</v>
      </c>
      <c r="C585" s="2">
        <f t="shared" si="13"/>
        <v>4.3641341546885695</v>
      </c>
      <c r="D585" s="3">
        <v>82.2</v>
      </c>
      <c r="E585" s="2">
        <v>9.6999999999999993</v>
      </c>
    </row>
    <row r="586" spans="1:5">
      <c r="A586" s="1">
        <v>37950</v>
      </c>
      <c r="B586" s="1">
        <v>39082</v>
      </c>
      <c r="C586" s="2">
        <f t="shared" si="13"/>
        <v>3.0992470910335386</v>
      </c>
      <c r="D586" s="3">
        <v>82.2</v>
      </c>
      <c r="E586" s="2">
        <v>10</v>
      </c>
    </row>
    <row r="587" spans="1:5">
      <c r="A587" s="1">
        <v>38289</v>
      </c>
      <c r="B587" s="1">
        <v>39082</v>
      </c>
      <c r="C587" s="2">
        <f t="shared" si="13"/>
        <v>2.1711156741957565</v>
      </c>
      <c r="D587" s="3">
        <v>82.2</v>
      </c>
      <c r="E587" s="2">
        <v>12.1</v>
      </c>
    </row>
    <row r="588" spans="1:5">
      <c r="A588" s="1">
        <v>37829</v>
      </c>
      <c r="B588" s="1">
        <v>39082</v>
      </c>
      <c r="C588" s="2">
        <f t="shared" si="13"/>
        <v>3.4305270362765228</v>
      </c>
      <c r="D588" s="3">
        <v>82.2</v>
      </c>
      <c r="E588" s="2">
        <v>11.5</v>
      </c>
    </row>
    <row r="589" spans="1:5">
      <c r="A589" s="1">
        <v>38322</v>
      </c>
      <c r="B589" s="1">
        <v>39082</v>
      </c>
      <c r="C589" s="2">
        <f t="shared" si="13"/>
        <v>2.0807665982203969</v>
      </c>
      <c r="D589" s="3">
        <v>82.2</v>
      </c>
      <c r="E589" s="2">
        <v>11.8</v>
      </c>
    </row>
    <row r="590" spans="1:5">
      <c r="A590" s="1">
        <v>38047</v>
      </c>
      <c r="B590" s="1">
        <v>39082</v>
      </c>
      <c r="C590" s="2">
        <f t="shared" si="13"/>
        <v>2.8336755646817249</v>
      </c>
      <c r="D590" s="3">
        <v>82.2</v>
      </c>
      <c r="E590" s="2">
        <v>11.4</v>
      </c>
    </row>
    <row r="591" spans="1:5">
      <c r="A591" s="1">
        <v>38284</v>
      </c>
      <c r="B591" s="1">
        <v>39082</v>
      </c>
      <c r="C591" s="2">
        <f t="shared" si="13"/>
        <v>2.1848049281314168</v>
      </c>
      <c r="D591" s="3">
        <v>82.2</v>
      </c>
      <c r="E591" s="2">
        <v>10.199999999999999</v>
      </c>
    </row>
    <row r="592" spans="1:5">
      <c r="A592" s="1">
        <v>37715</v>
      </c>
      <c r="B592" s="1">
        <v>39082</v>
      </c>
      <c r="C592" s="2">
        <f t="shared" si="13"/>
        <v>3.7426420260095825</v>
      </c>
      <c r="D592" s="3">
        <v>82.3</v>
      </c>
      <c r="E592" s="2">
        <v>10.4</v>
      </c>
    </row>
    <row r="593" spans="1:5">
      <c r="A593" s="1">
        <v>37295</v>
      </c>
      <c r="B593" s="1">
        <v>39082</v>
      </c>
      <c r="C593" s="2">
        <f t="shared" si="13"/>
        <v>4.8925393566050648</v>
      </c>
      <c r="D593" s="3">
        <v>82.3</v>
      </c>
      <c r="E593" s="2">
        <v>10.9</v>
      </c>
    </row>
    <row r="594" spans="1:5">
      <c r="A594" s="1">
        <v>37266</v>
      </c>
      <c r="B594" s="1">
        <v>39082</v>
      </c>
      <c r="C594" s="2">
        <f t="shared" si="13"/>
        <v>4.9719370294318956</v>
      </c>
      <c r="D594" s="3">
        <v>82.3</v>
      </c>
      <c r="E594" s="2">
        <v>10.9</v>
      </c>
    </row>
    <row r="595" spans="1:5">
      <c r="A595" s="1">
        <v>37775</v>
      </c>
      <c r="B595" s="1">
        <v>39082</v>
      </c>
      <c r="C595" s="2">
        <f t="shared" si="13"/>
        <v>3.5783709787816562</v>
      </c>
      <c r="D595" s="3">
        <v>82.4</v>
      </c>
      <c r="E595" s="2">
        <v>10.1</v>
      </c>
    </row>
    <row r="596" spans="1:5">
      <c r="A596" s="1">
        <v>37330</v>
      </c>
      <c r="B596" s="1">
        <v>39082</v>
      </c>
      <c r="C596" s="2">
        <f t="shared" si="13"/>
        <v>4.7967145790554415</v>
      </c>
      <c r="D596" s="3">
        <v>82.4</v>
      </c>
      <c r="E596" s="2">
        <v>9.9</v>
      </c>
    </row>
    <row r="597" spans="1:5">
      <c r="A597" s="1">
        <v>37610</v>
      </c>
      <c r="B597" s="1">
        <v>39082</v>
      </c>
      <c r="C597" s="2">
        <f t="shared" si="13"/>
        <v>4.0301163586584527</v>
      </c>
      <c r="D597" s="3">
        <v>82.5</v>
      </c>
      <c r="E597" s="2">
        <v>11.9</v>
      </c>
    </row>
    <row r="598" spans="1:5">
      <c r="A598" s="1">
        <v>38336</v>
      </c>
      <c r="B598" s="1">
        <v>39082</v>
      </c>
      <c r="C598" s="2">
        <f t="shared" si="13"/>
        <v>2.0424366872005475</v>
      </c>
      <c r="D598" s="3">
        <v>82.5</v>
      </c>
      <c r="E598" s="2">
        <v>11</v>
      </c>
    </row>
    <row r="599" spans="1:5">
      <c r="A599" s="1">
        <v>38061</v>
      </c>
      <c r="B599" s="1">
        <v>39082</v>
      </c>
      <c r="C599" s="2">
        <f t="shared" si="13"/>
        <v>2.7953456536618755</v>
      </c>
      <c r="D599" s="3">
        <v>82.5</v>
      </c>
      <c r="E599" s="2">
        <v>10.9</v>
      </c>
    </row>
    <row r="600" spans="1:5">
      <c r="A600" s="1">
        <v>37530</v>
      </c>
      <c r="B600" s="1">
        <v>39082</v>
      </c>
      <c r="C600" s="2">
        <f t="shared" si="13"/>
        <v>4.2491444216290208</v>
      </c>
      <c r="D600" s="3">
        <v>82.5</v>
      </c>
      <c r="E600" s="2">
        <v>11.2</v>
      </c>
    </row>
    <row r="601" spans="1:5">
      <c r="A601" s="1">
        <v>37748</v>
      </c>
      <c r="B601" s="1">
        <v>39082</v>
      </c>
      <c r="C601" s="2">
        <f t="shared" si="13"/>
        <v>3.6522929500342229</v>
      </c>
      <c r="D601" s="3">
        <v>82.5</v>
      </c>
      <c r="E601" s="2">
        <v>10.6</v>
      </c>
    </row>
    <row r="602" spans="1:5">
      <c r="A602" s="1">
        <v>37531</v>
      </c>
      <c r="B602" s="1">
        <v>39082</v>
      </c>
      <c r="C602" s="2">
        <f t="shared" si="13"/>
        <v>4.2464065708418888</v>
      </c>
      <c r="D602" s="3">
        <v>82.6</v>
      </c>
      <c r="E602" s="2">
        <v>11.5</v>
      </c>
    </row>
    <row r="603" spans="1:5">
      <c r="A603" s="1">
        <v>37694</v>
      </c>
      <c r="B603" s="1">
        <v>39082</v>
      </c>
      <c r="C603" s="2">
        <f t="shared" si="13"/>
        <v>3.8001368925393568</v>
      </c>
      <c r="D603" s="3">
        <v>82.6</v>
      </c>
      <c r="E603" s="2">
        <v>9.4</v>
      </c>
    </row>
    <row r="604" spans="1:5">
      <c r="A604" s="1">
        <v>37444</v>
      </c>
      <c r="B604" s="1">
        <v>39082</v>
      </c>
      <c r="C604" s="2">
        <f t="shared" si="13"/>
        <v>4.4845995893223822</v>
      </c>
      <c r="D604" s="3">
        <v>82.6</v>
      </c>
      <c r="E604" s="2">
        <v>8.9</v>
      </c>
    </row>
    <row r="605" spans="1:5">
      <c r="A605" s="1">
        <v>37301</v>
      </c>
      <c r="B605" s="1">
        <v>39082</v>
      </c>
      <c r="C605" s="2">
        <f t="shared" si="13"/>
        <v>4.8761122518822724</v>
      </c>
      <c r="D605" s="3">
        <v>82.7</v>
      </c>
      <c r="E605" s="2">
        <v>12.7</v>
      </c>
    </row>
    <row r="606" spans="1:5">
      <c r="A606" s="1">
        <v>37305</v>
      </c>
      <c r="B606" s="1">
        <v>39082</v>
      </c>
      <c r="C606" s="2">
        <f t="shared" si="13"/>
        <v>4.8651608487337441</v>
      </c>
      <c r="D606" s="3">
        <v>82.8</v>
      </c>
      <c r="E606" s="2">
        <v>11.6</v>
      </c>
    </row>
    <row r="607" spans="1:5">
      <c r="A607" s="1">
        <v>37695</v>
      </c>
      <c r="B607" s="1">
        <v>39082</v>
      </c>
      <c r="C607" s="2">
        <f t="shared" si="13"/>
        <v>3.7973990417522243</v>
      </c>
      <c r="D607" s="3">
        <v>82.8</v>
      </c>
      <c r="E607" s="2">
        <v>10.6</v>
      </c>
    </row>
    <row r="608" spans="1:5">
      <c r="A608" s="1">
        <v>38007</v>
      </c>
      <c r="B608" s="1">
        <v>39082</v>
      </c>
      <c r="C608" s="2">
        <f t="shared" si="13"/>
        <v>2.9431895961670089</v>
      </c>
      <c r="D608" s="3">
        <v>82.8</v>
      </c>
      <c r="E608" s="2">
        <v>10.1</v>
      </c>
    </row>
    <row r="609" spans="1:5">
      <c r="A609" s="1">
        <v>37834</v>
      </c>
      <c r="B609" s="1">
        <v>39082</v>
      </c>
      <c r="C609" s="2">
        <f t="shared" si="13"/>
        <v>3.4168377823408624</v>
      </c>
      <c r="D609" s="3">
        <v>82.8</v>
      </c>
      <c r="E609" s="2">
        <v>11.4</v>
      </c>
    </row>
    <row r="610" spans="1:5">
      <c r="A610" s="1">
        <v>38311</v>
      </c>
      <c r="B610" s="1">
        <v>39082</v>
      </c>
      <c r="C610" s="2">
        <f t="shared" si="13"/>
        <v>2.1108829568788501</v>
      </c>
      <c r="D610" s="3">
        <v>82.8</v>
      </c>
      <c r="E610" s="2">
        <v>10.199999999999999</v>
      </c>
    </row>
    <row r="611" spans="1:5">
      <c r="A611" s="1">
        <v>37174</v>
      </c>
      <c r="B611" s="1">
        <v>39082</v>
      </c>
      <c r="C611" s="2">
        <f t="shared" si="13"/>
        <v>5.2238193018480494</v>
      </c>
      <c r="D611" s="3">
        <v>82.9</v>
      </c>
      <c r="E611" s="2">
        <v>10.1</v>
      </c>
    </row>
    <row r="612" spans="1:5">
      <c r="A612" s="1">
        <v>37310</v>
      </c>
      <c r="B612" s="1">
        <v>39082</v>
      </c>
      <c r="C612" s="2">
        <f t="shared" si="13"/>
        <v>4.8514715947980838</v>
      </c>
      <c r="D612" s="3">
        <v>82.9</v>
      </c>
      <c r="E612" s="2">
        <v>9.6</v>
      </c>
    </row>
    <row r="613" spans="1:5">
      <c r="A613" s="1">
        <v>37248</v>
      </c>
      <c r="B613" s="1">
        <v>39082</v>
      </c>
      <c r="C613" s="2">
        <f t="shared" si="13"/>
        <v>5.0212183436002737</v>
      </c>
      <c r="D613" s="3">
        <v>82.9</v>
      </c>
      <c r="E613" s="2">
        <v>11.5</v>
      </c>
    </row>
    <row r="614" spans="1:5">
      <c r="A614" s="1">
        <v>38231</v>
      </c>
      <c r="B614" s="1">
        <v>39082</v>
      </c>
      <c r="C614" s="2">
        <f t="shared" si="13"/>
        <v>2.3299110198494182</v>
      </c>
      <c r="D614" s="3">
        <v>82.9</v>
      </c>
      <c r="E614" s="2">
        <v>11</v>
      </c>
    </row>
    <row r="615" spans="1:5">
      <c r="A615" s="1">
        <v>37349</v>
      </c>
      <c r="B615" s="1">
        <v>39082</v>
      </c>
      <c r="C615" s="2">
        <f t="shared" si="13"/>
        <v>4.7446954140999313</v>
      </c>
      <c r="D615" s="3">
        <v>82.9</v>
      </c>
      <c r="E615" s="2">
        <v>11</v>
      </c>
    </row>
    <row r="616" spans="1:5">
      <c r="A616" s="1">
        <v>37519</v>
      </c>
      <c r="B616" s="1">
        <v>39082</v>
      </c>
      <c r="C616" s="2">
        <f t="shared" si="13"/>
        <v>4.2792607802874745</v>
      </c>
      <c r="D616" s="3">
        <v>83</v>
      </c>
      <c r="E616" s="2">
        <v>10.3</v>
      </c>
    </row>
    <row r="617" spans="1:5">
      <c r="A617" s="1">
        <v>37717</v>
      </c>
      <c r="B617" s="1">
        <v>39082</v>
      </c>
      <c r="C617" s="2">
        <f t="shared" si="13"/>
        <v>3.7371663244353184</v>
      </c>
      <c r="D617" s="3">
        <v>83</v>
      </c>
      <c r="E617" s="2">
        <v>10.4</v>
      </c>
    </row>
    <row r="618" spans="1:5">
      <c r="A618" s="1">
        <v>37585</v>
      </c>
      <c r="B618" s="1">
        <v>39082</v>
      </c>
      <c r="C618" s="2">
        <f t="shared" si="13"/>
        <v>4.0985626283367553</v>
      </c>
      <c r="D618" s="3">
        <v>83</v>
      </c>
      <c r="E618" s="2">
        <v>8.6999999999999993</v>
      </c>
    </row>
    <row r="619" spans="1:5">
      <c r="A619" s="1">
        <v>37704</v>
      </c>
      <c r="B619" s="1">
        <v>39082</v>
      </c>
      <c r="C619" s="2">
        <f t="shared" si="13"/>
        <v>3.7727583846680357</v>
      </c>
      <c r="D619" s="3">
        <v>83</v>
      </c>
      <c r="E619" s="2">
        <v>10</v>
      </c>
    </row>
    <row r="620" spans="1:5">
      <c r="A620" s="1">
        <v>37636</v>
      </c>
      <c r="B620" s="1">
        <v>39082</v>
      </c>
      <c r="C620" s="2">
        <f t="shared" si="13"/>
        <v>3.9589322381930185</v>
      </c>
      <c r="D620" s="3">
        <v>83</v>
      </c>
      <c r="E620" s="2">
        <v>10.3</v>
      </c>
    </row>
    <row r="621" spans="1:5">
      <c r="A621" s="1">
        <v>37600</v>
      </c>
      <c r="B621" s="1">
        <v>39082</v>
      </c>
      <c r="C621" s="2">
        <f t="shared" si="13"/>
        <v>4.0574948665297743</v>
      </c>
      <c r="D621" s="3">
        <v>83</v>
      </c>
      <c r="E621" s="2">
        <v>10.4</v>
      </c>
    </row>
    <row r="622" spans="1:5">
      <c r="A622" s="1">
        <v>38346</v>
      </c>
      <c r="B622" s="1">
        <v>39082</v>
      </c>
      <c r="C622" s="2">
        <f t="shared" si="13"/>
        <v>2.0150581793292264</v>
      </c>
      <c r="D622" s="3">
        <v>83</v>
      </c>
      <c r="E622" s="2">
        <v>11.9</v>
      </c>
    </row>
    <row r="623" spans="1:5">
      <c r="A623" s="1">
        <v>37737</v>
      </c>
      <c r="B623" s="1">
        <v>39082</v>
      </c>
      <c r="C623" s="2">
        <f t="shared" si="13"/>
        <v>3.6824093086926761</v>
      </c>
      <c r="D623" s="3">
        <v>83.1</v>
      </c>
      <c r="E623" s="2">
        <v>11.2</v>
      </c>
    </row>
    <row r="624" spans="1:5">
      <c r="A624" s="1">
        <v>37629</v>
      </c>
      <c r="B624" s="1">
        <v>39082</v>
      </c>
      <c r="C624" s="2">
        <f t="shared" si="13"/>
        <v>3.978097193702943</v>
      </c>
      <c r="D624" s="3">
        <v>83.1</v>
      </c>
      <c r="E624" s="2">
        <v>9.3000000000000007</v>
      </c>
    </row>
    <row r="625" spans="1:5">
      <c r="A625" s="1">
        <v>36971</v>
      </c>
      <c r="B625" s="1">
        <v>39082</v>
      </c>
      <c r="C625" s="2">
        <f t="shared" si="13"/>
        <v>5.7796030116358654</v>
      </c>
      <c r="D625" s="3">
        <v>83.1</v>
      </c>
      <c r="E625" s="2">
        <v>10</v>
      </c>
    </row>
    <row r="626" spans="1:5">
      <c r="A626" s="1">
        <v>38043</v>
      </c>
      <c r="B626" s="1">
        <v>39082</v>
      </c>
      <c r="C626" s="2">
        <f t="shared" si="13"/>
        <v>2.8446269678302532</v>
      </c>
      <c r="D626" s="3">
        <v>83.2</v>
      </c>
      <c r="E626" s="2">
        <v>9.6</v>
      </c>
    </row>
    <row r="627" spans="1:5">
      <c r="A627" s="1">
        <v>37165</v>
      </c>
      <c r="B627" s="1">
        <v>39082</v>
      </c>
      <c r="C627" s="2">
        <f t="shared" si="13"/>
        <v>5.248459958932238</v>
      </c>
      <c r="D627" s="3">
        <v>83.2</v>
      </c>
      <c r="E627" s="2">
        <v>11.4</v>
      </c>
    </row>
    <row r="628" spans="1:5">
      <c r="A628" s="1">
        <v>37824</v>
      </c>
      <c r="B628" s="1">
        <v>39082</v>
      </c>
      <c r="C628" s="2">
        <f t="shared" si="13"/>
        <v>3.4442162902121836</v>
      </c>
      <c r="D628" s="3">
        <v>83.2</v>
      </c>
      <c r="E628" s="2">
        <v>11.5</v>
      </c>
    </row>
    <row r="629" spans="1:5">
      <c r="A629" s="1">
        <v>38307</v>
      </c>
      <c r="B629" s="1">
        <v>39082</v>
      </c>
      <c r="C629" s="2">
        <f t="shared" si="13"/>
        <v>2.1218343600273784</v>
      </c>
      <c r="D629" s="3">
        <v>83.2</v>
      </c>
      <c r="E629" s="2">
        <v>11</v>
      </c>
    </row>
    <row r="630" spans="1:5">
      <c r="A630" s="1">
        <v>38318</v>
      </c>
      <c r="B630" s="1">
        <v>39082</v>
      </c>
      <c r="C630" s="2">
        <f t="shared" si="13"/>
        <v>2.0917180013689256</v>
      </c>
      <c r="D630" s="3">
        <v>83.3</v>
      </c>
      <c r="E630" s="2">
        <v>11.8</v>
      </c>
    </row>
    <row r="631" spans="1:5">
      <c r="A631" s="1">
        <v>38300</v>
      </c>
      <c r="B631" s="1">
        <v>39082</v>
      </c>
      <c r="C631" s="2">
        <f t="shared" si="13"/>
        <v>2.1409993155373033</v>
      </c>
      <c r="D631" s="3">
        <v>83.3</v>
      </c>
      <c r="E631" s="2">
        <v>10.9</v>
      </c>
    </row>
    <row r="632" spans="1:5">
      <c r="A632" s="1">
        <v>38191</v>
      </c>
      <c r="B632" s="1">
        <v>39082</v>
      </c>
      <c r="C632" s="2">
        <f t="shared" si="13"/>
        <v>2.4394250513347022</v>
      </c>
      <c r="D632" s="3">
        <v>83.3</v>
      </c>
      <c r="E632" s="2">
        <v>9.9</v>
      </c>
    </row>
    <row r="633" spans="1:5">
      <c r="A633" s="1">
        <v>38332</v>
      </c>
      <c r="B633" s="1">
        <v>39082</v>
      </c>
      <c r="C633" s="2">
        <f t="shared" si="13"/>
        <v>2.0533880903490758</v>
      </c>
      <c r="D633" s="3">
        <v>83.4</v>
      </c>
      <c r="E633" s="2">
        <v>9.9</v>
      </c>
    </row>
    <row r="634" spans="1:5">
      <c r="A634" s="1">
        <v>37431</v>
      </c>
      <c r="B634" s="1">
        <v>39082</v>
      </c>
      <c r="C634" s="2">
        <f t="shared" si="13"/>
        <v>4.5201916495550991</v>
      </c>
      <c r="D634" s="3">
        <v>83.4</v>
      </c>
      <c r="E634" s="2">
        <v>11</v>
      </c>
    </row>
    <row r="635" spans="1:5">
      <c r="A635" s="1">
        <v>37488</v>
      </c>
      <c r="B635" s="1">
        <v>39082</v>
      </c>
      <c r="C635" s="2">
        <f t="shared" si="13"/>
        <v>4.3641341546885695</v>
      </c>
      <c r="D635" s="3">
        <v>83.5</v>
      </c>
      <c r="E635" s="2">
        <v>9.8000000000000007</v>
      </c>
    </row>
    <row r="636" spans="1:5">
      <c r="A636" s="1">
        <v>38101</v>
      </c>
      <c r="B636" s="1">
        <v>39082</v>
      </c>
      <c r="C636" s="2">
        <f t="shared" si="13"/>
        <v>2.6858316221765914</v>
      </c>
      <c r="D636" s="3">
        <v>83.5</v>
      </c>
      <c r="E636" s="2">
        <v>13.1</v>
      </c>
    </row>
    <row r="637" spans="1:5">
      <c r="A637" s="1">
        <v>38004</v>
      </c>
      <c r="B637" s="1">
        <v>39082</v>
      </c>
      <c r="C637" s="2">
        <f t="shared" si="13"/>
        <v>2.9514031485284051</v>
      </c>
      <c r="D637" s="3">
        <v>83.5</v>
      </c>
      <c r="E637" s="2">
        <v>11</v>
      </c>
    </row>
    <row r="638" spans="1:5">
      <c r="A638" s="1">
        <v>37450</v>
      </c>
      <c r="B638" s="1">
        <v>39082</v>
      </c>
      <c r="C638" s="2">
        <f t="shared" si="13"/>
        <v>4.4681724845995889</v>
      </c>
      <c r="D638" s="3">
        <v>83.5</v>
      </c>
      <c r="E638" s="2">
        <v>11.4</v>
      </c>
    </row>
    <row r="639" spans="1:5">
      <c r="A639" s="1">
        <v>37988</v>
      </c>
      <c r="B639" s="1">
        <v>39082</v>
      </c>
      <c r="C639" s="2">
        <f t="shared" si="13"/>
        <v>2.9952087611225187</v>
      </c>
      <c r="D639" s="3">
        <v>83.5</v>
      </c>
      <c r="E639" s="2">
        <v>11.7</v>
      </c>
    </row>
    <row r="640" spans="1:5">
      <c r="A640" s="1">
        <v>37603</v>
      </c>
      <c r="B640" s="1">
        <v>39082</v>
      </c>
      <c r="C640" s="2">
        <f t="shared" si="13"/>
        <v>4.0492813141683781</v>
      </c>
      <c r="D640" s="3">
        <v>83.6</v>
      </c>
      <c r="E640" s="2">
        <v>11.4</v>
      </c>
    </row>
    <row r="641" spans="1:5">
      <c r="A641" s="1">
        <v>38329</v>
      </c>
      <c r="B641" s="1">
        <v>39082</v>
      </c>
      <c r="C641" s="2">
        <f t="shared" si="13"/>
        <v>2.0616016427104724</v>
      </c>
      <c r="D641" s="3">
        <v>83.6</v>
      </c>
      <c r="E641" s="2">
        <v>10.8</v>
      </c>
    </row>
    <row r="642" spans="1:5">
      <c r="A642" s="1">
        <v>37751</v>
      </c>
      <c r="B642" s="1">
        <v>39082</v>
      </c>
      <c r="C642" s="2">
        <f t="shared" si="13"/>
        <v>3.6440793976728267</v>
      </c>
      <c r="D642" s="3">
        <v>83.6</v>
      </c>
      <c r="E642" s="2">
        <v>10.9</v>
      </c>
    </row>
    <row r="643" spans="1:5">
      <c r="A643" s="1">
        <v>38079</v>
      </c>
      <c r="B643" s="1">
        <v>39082</v>
      </c>
      <c r="C643" s="2">
        <f t="shared" ref="C643:C706" si="14">(B643-A643)/365.25</f>
        <v>2.7460643394934978</v>
      </c>
      <c r="D643" s="3">
        <v>83.6</v>
      </c>
      <c r="E643" s="2">
        <v>11.6</v>
      </c>
    </row>
    <row r="644" spans="1:5">
      <c r="A644" s="1">
        <v>38314</v>
      </c>
      <c r="B644" s="1">
        <v>39082</v>
      </c>
      <c r="C644" s="2">
        <f t="shared" si="14"/>
        <v>2.1026694045174539</v>
      </c>
      <c r="D644" s="3">
        <v>83.7</v>
      </c>
      <c r="E644" s="2">
        <v>12.6</v>
      </c>
    </row>
    <row r="645" spans="1:5">
      <c r="A645" s="1">
        <v>37987</v>
      </c>
      <c r="B645" s="1">
        <v>39082</v>
      </c>
      <c r="C645" s="2">
        <f t="shared" si="14"/>
        <v>2.9979466119096507</v>
      </c>
      <c r="D645" s="3">
        <v>83.7</v>
      </c>
      <c r="E645" s="2">
        <v>12.2</v>
      </c>
    </row>
    <row r="646" spans="1:5">
      <c r="A646" s="1">
        <v>38256</v>
      </c>
      <c r="B646" s="1">
        <v>39082</v>
      </c>
      <c r="C646" s="2">
        <f t="shared" si="14"/>
        <v>2.2614647501711156</v>
      </c>
      <c r="D646" s="3">
        <v>83.7</v>
      </c>
      <c r="E646" s="2">
        <v>11.3</v>
      </c>
    </row>
    <row r="647" spans="1:5">
      <c r="A647" s="1">
        <v>37438</v>
      </c>
      <c r="B647" s="1">
        <v>39082</v>
      </c>
      <c r="C647" s="2">
        <f t="shared" si="14"/>
        <v>4.5010266940451746</v>
      </c>
      <c r="D647" s="3">
        <v>83.8</v>
      </c>
      <c r="E647" s="2">
        <v>10.5</v>
      </c>
    </row>
    <row r="648" spans="1:5">
      <c r="A648" s="1">
        <v>37725</v>
      </c>
      <c r="B648" s="1">
        <v>39082</v>
      </c>
      <c r="C648" s="2">
        <f t="shared" si="14"/>
        <v>3.7152635181382614</v>
      </c>
      <c r="D648" s="3">
        <v>83.9</v>
      </c>
      <c r="E648" s="2">
        <v>11.5</v>
      </c>
    </row>
    <row r="649" spans="1:5">
      <c r="A649" s="1">
        <v>38150</v>
      </c>
      <c r="B649" s="1">
        <v>39082</v>
      </c>
      <c r="C649" s="2">
        <f t="shared" si="14"/>
        <v>2.5516769336071183</v>
      </c>
      <c r="D649" s="3">
        <v>83.9</v>
      </c>
      <c r="E649" s="2">
        <v>10.6</v>
      </c>
    </row>
    <row r="650" spans="1:5">
      <c r="A650" s="1">
        <v>37706</v>
      </c>
      <c r="B650" s="1">
        <v>39082</v>
      </c>
      <c r="C650" s="2">
        <f t="shared" si="14"/>
        <v>3.7672826830937716</v>
      </c>
      <c r="D650" s="3">
        <v>83.9</v>
      </c>
      <c r="E650" s="2">
        <v>10.3</v>
      </c>
    </row>
    <row r="651" spans="1:5">
      <c r="A651" s="1">
        <v>37654</v>
      </c>
      <c r="B651" s="1">
        <v>39082</v>
      </c>
      <c r="C651" s="2">
        <f t="shared" si="14"/>
        <v>3.9096509240246409</v>
      </c>
      <c r="D651" s="3">
        <v>84</v>
      </c>
      <c r="E651" s="2">
        <v>10.9</v>
      </c>
    </row>
    <row r="652" spans="1:5">
      <c r="A652" s="1">
        <v>37514</v>
      </c>
      <c r="B652" s="1">
        <v>39082</v>
      </c>
      <c r="C652" s="2">
        <f t="shared" si="14"/>
        <v>4.2929500342231348</v>
      </c>
      <c r="D652" s="3">
        <v>84</v>
      </c>
      <c r="E652" s="2">
        <v>13.8</v>
      </c>
    </row>
    <row r="653" spans="1:5">
      <c r="A653" s="1">
        <v>37403</v>
      </c>
      <c r="B653" s="1">
        <v>39082</v>
      </c>
      <c r="C653" s="2">
        <f t="shared" si="14"/>
        <v>4.5968514715947979</v>
      </c>
      <c r="D653" s="3">
        <v>84</v>
      </c>
      <c r="E653" s="2">
        <v>12.7</v>
      </c>
    </row>
    <row r="654" spans="1:5">
      <c r="A654" s="1">
        <v>37769</v>
      </c>
      <c r="B654" s="1">
        <v>39082</v>
      </c>
      <c r="C654" s="2">
        <f t="shared" si="14"/>
        <v>3.5947980835044491</v>
      </c>
      <c r="D654" s="3">
        <v>84.1</v>
      </c>
      <c r="E654" s="2">
        <v>10.3</v>
      </c>
    </row>
    <row r="655" spans="1:5">
      <c r="A655" s="1">
        <v>38231</v>
      </c>
      <c r="B655" s="1">
        <v>39082</v>
      </c>
      <c r="C655" s="2">
        <f t="shared" si="14"/>
        <v>2.3299110198494182</v>
      </c>
      <c r="D655" s="3">
        <v>84.1</v>
      </c>
      <c r="E655" s="2">
        <v>11.8</v>
      </c>
    </row>
    <row r="656" spans="1:5">
      <c r="A656" s="1">
        <v>38231</v>
      </c>
      <c r="B656" s="1">
        <v>39082</v>
      </c>
      <c r="C656" s="2">
        <f t="shared" si="14"/>
        <v>2.3299110198494182</v>
      </c>
      <c r="D656" s="3">
        <v>84.2</v>
      </c>
      <c r="E656" s="2">
        <v>10.9</v>
      </c>
    </row>
    <row r="657" spans="1:5">
      <c r="A657" s="1">
        <v>38281</v>
      </c>
      <c r="B657" s="1">
        <v>39082</v>
      </c>
      <c r="C657" s="2">
        <f t="shared" si="14"/>
        <v>2.193018480492813</v>
      </c>
      <c r="D657" s="3">
        <v>84.2</v>
      </c>
      <c r="E657" s="2">
        <v>12</v>
      </c>
    </row>
    <row r="658" spans="1:5">
      <c r="A658" s="1">
        <v>37627</v>
      </c>
      <c r="B658" s="1">
        <v>39082</v>
      </c>
      <c r="C658" s="2">
        <f t="shared" si="14"/>
        <v>3.9835728952772076</v>
      </c>
      <c r="D658" s="3">
        <v>84.2</v>
      </c>
      <c r="E658" s="2">
        <v>10.6</v>
      </c>
    </row>
    <row r="659" spans="1:5">
      <c r="A659" s="1">
        <v>37652</v>
      </c>
      <c r="B659" s="1">
        <v>39082</v>
      </c>
      <c r="C659" s="2">
        <f t="shared" si="14"/>
        <v>3.915126625598905</v>
      </c>
      <c r="D659" s="3">
        <v>84.3</v>
      </c>
      <c r="E659" s="2">
        <v>10.9</v>
      </c>
    </row>
    <row r="660" spans="1:5">
      <c r="A660" s="1">
        <v>38322</v>
      </c>
      <c r="B660" s="1">
        <v>39082</v>
      </c>
      <c r="C660" s="2">
        <f t="shared" si="14"/>
        <v>2.0807665982203969</v>
      </c>
      <c r="D660" s="3">
        <v>84.3</v>
      </c>
      <c r="E660" s="2">
        <v>11.8</v>
      </c>
    </row>
    <row r="661" spans="1:5">
      <c r="A661" s="1">
        <v>38150</v>
      </c>
      <c r="B661" s="1">
        <v>39082</v>
      </c>
      <c r="C661" s="2">
        <f t="shared" si="14"/>
        <v>2.5516769336071183</v>
      </c>
      <c r="D661" s="3">
        <v>84.3</v>
      </c>
      <c r="E661" s="2">
        <v>10.6</v>
      </c>
    </row>
    <row r="662" spans="1:5">
      <c r="A662" s="1">
        <v>36952</v>
      </c>
      <c r="B662" s="1">
        <v>39082</v>
      </c>
      <c r="C662" s="2">
        <f t="shared" si="14"/>
        <v>5.8316221765913756</v>
      </c>
      <c r="D662" s="3">
        <v>84.3</v>
      </c>
      <c r="E662" s="2">
        <v>11.5</v>
      </c>
    </row>
    <row r="663" spans="1:5">
      <c r="A663" s="1">
        <v>37989</v>
      </c>
      <c r="B663" s="1">
        <v>39082</v>
      </c>
      <c r="C663" s="2">
        <f t="shared" si="14"/>
        <v>2.9924709103353866</v>
      </c>
      <c r="D663" s="3">
        <v>84.4</v>
      </c>
      <c r="E663" s="2">
        <v>11.2</v>
      </c>
    </row>
    <row r="664" spans="1:5">
      <c r="A664" s="1">
        <v>37501</v>
      </c>
      <c r="B664" s="1">
        <v>39082</v>
      </c>
      <c r="C664" s="2">
        <f t="shared" si="14"/>
        <v>4.3285420944558526</v>
      </c>
      <c r="D664" s="3">
        <v>84.5</v>
      </c>
      <c r="E664" s="2">
        <v>11.3</v>
      </c>
    </row>
    <row r="665" spans="1:5">
      <c r="A665" s="1">
        <v>37756</v>
      </c>
      <c r="B665" s="1">
        <v>39082</v>
      </c>
      <c r="C665" s="2">
        <f t="shared" si="14"/>
        <v>3.6303901437371664</v>
      </c>
      <c r="D665" s="3">
        <v>84.5</v>
      </c>
      <c r="E665" s="2">
        <v>10.7</v>
      </c>
    </row>
    <row r="666" spans="1:5">
      <c r="A666" s="1">
        <v>38160</v>
      </c>
      <c r="B666" s="1">
        <v>39082</v>
      </c>
      <c r="C666" s="2">
        <f t="shared" si="14"/>
        <v>2.5242984257357972</v>
      </c>
      <c r="D666" s="3">
        <v>84.5</v>
      </c>
      <c r="E666" s="2">
        <v>11.6</v>
      </c>
    </row>
    <row r="667" spans="1:5">
      <c r="A667" s="1">
        <v>37347</v>
      </c>
      <c r="B667" s="1">
        <v>39082</v>
      </c>
      <c r="C667" s="2">
        <f t="shared" si="14"/>
        <v>4.7501711156741955</v>
      </c>
      <c r="D667" s="3">
        <v>84.5</v>
      </c>
      <c r="E667" s="2">
        <v>10.8</v>
      </c>
    </row>
    <row r="668" spans="1:5">
      <c r="A668" s="1">
        <v>37445</v>
      </c>
      <c r="B668" s="1">
        <v>39082</v>
      </c>
      <c r="C668" s="2">
        <f t="shared" si="14"/>
        <v>4.4818617385352502</v>
      </c>
      <c r="D668" s="3">
        <v>84.5</v>
      </c>
      <c r="E668" s="2">
        <v>11</v>
      </c>
    </row>
    <row r="669" spans="1:5">
      <c r="A669" s="1">
        <v>37473</v>
      </c>
      <c r="B669" s="1">
        <v>39082</v>
      </c>
      <c r="C669" s="2">
        <f t="shared" si="14"/>
        <v>4.4052019164955514</v>
      </c>
      <c r="D669" s="3">
        <v>84.6</v>
      </c>
      <c r="E669" s="2">
        <v>11.1</v>
      </c>
    </row>
    <row r="670" spans="1:5">
      <c r="A670" s="1">
        <v>37546</v>
      </c>
      <c r="B670" s="1">
        <v>39082</v>
      </c>
      <c r="C670" s="2">
        <f t="shared" si="14"/>
        <v>4.2053388090349078</v>
      </c>
      <c r="D670" s="3">
        <v>84.6</v>
      </c>
      <c r="E670" s="2">
        <v>9.9</v>
      </c>
    </row>
    <row r="671" spans="1:5">
      <c r="A671" s="1">
        <v>38263</v>
      </c>
      <c r="B671" s="1">
        <v>39082</v>
      </c>
      <c r="C671" s="2">
        <f t="shared" si="14"/>
        <v>2.2422997946611911</v>
      </c>
      <c r="D671" s="3">
        <v>84.7</v>
      </c>
      <c r="E671" s="2">
        <v>9.6</v>
      </c>
    </row>
    <row r="672" spans="1:5">
      <c r="A672" s="1">
        <v>38292</v>
      </c>
      <c r="B672" s="1">
        <v>39082</v>
      </c>
      <c r="C672" s="2">
        <f t="shared" si="14"/>
        <v>2.1629021218343598</v>
      </c>
      <c r="D672" s="3">
        <v>84.7</v>
      </c>
      <c r="E672" s="2">
        <v>12.7</v>
      </c>
    </row>
    <row r="673" spans="1:5">
      <c r="A673" s="1">
        <v>37519</v>
      </c>
      <c r="B673" s="1">
        <v>39082</v>
      </c>
      <c r="C673" s="2">
        <f t="shared" si="14"/>
        <v>4.2792607802874745</v>
      </c>
      <c r="D673" s="3">
        <v>84.7</v>
      </c>
      <c r="E673" s="2">
        <v>11.2</v>
      </c>
    </row>
    <row r="674" spans="1:5">
      <c r="A674" s="1">
        <v>37539</v>
      </c>
      <c r="B674" s="1">
        <v>39082</v>
      </c>
      <c r="C674" s="2">
        <f t="shared" si="14"/>
        <v>4.2245037645448322</v>
      </c>
      <c r="D674" s="3">
        <v>84.8</v>
      </c>
      <c r="E674" s="2">
        <v>10.7</v>
      </c>
    </row>
    <row r="675" spans="1:5">
      <c r="A675" s="1">
        <v>37534</v>
      </c>
      <c r="B675" s="1">
        <v>39082</v>
      </c>
      <c r="C675" s="2">
        <f t="shared" si="14"/>
        <v>4.2381930184804926</v>
      </c>
      <c r="D675" s="3">
        <v>84.8</v>
      </c>
      <c r="E675" s="2">
        <v>12.4</v>
      </c>
    </row>
    <row r="676" spans="1:5">
      <c r="A676" s="1">
        <v>37163</v>
      </c>
      <c r="B676" s="1">
        <v>39082</v>
      </c>
      <c r="C676" s="2">
        <f t="shared" si="14"/>
        <v>5.2539356605065022</v>
      </c>
      <c r="D676" s="3">
        <v>85</v>
      </c>
      <c r="E676" s="2">
        <v>12.4</v>
      </c>
    </row>
    <row r="677" spans="1:5">
      <c r="A677" s="1">
        <v>37165</v>
      </c>
      <c r="B677" s="1">
        <v>39082</v>
      </c>
      <c r="C677" s="2">
        <f t="shared" si="14"/>
        <v>5.248459958932238</v>
      </c>
      <c r="D677" s="3">
        <v>85</v>
      </c>
      <c r="E677" s="2">
        <v>11.6</v>
      </c>
    </row>
    <row r="678" spans="1:5">
      <c r="A678" s="1">
        <v>37565</v>
      </c>
      <c r="B678" s="1">
        <v>39082</v>
      </c>
      <c r="C678" s="2">
        <f t="shared" si="14"/>
        <v>4.1533196440793976</v>
      </c>
      <c r="D678" s="3">
        <v>85</v>
      </c>
      <c r="E678" s="2">
        <v>10.8</v>
      </c>
    </row>
    <row r="679" spans="1:5">
      <c r="A679" s="1">
        <v>37565</v>
      </c>
      <c r="B679" s="1">
        <v>39082</v>
      </c>
      <c r="C679" s="2">
        <f t="shared" si="14"/>
        <v>4.1533196440793976</v>
      </c>
      <c r="D679" s="3">
        <v>85</v>
      </c>
      <c r="E679" s="2">
        <v>10.6</v>
      </c>
    </row>
    <row r="680" spans="1:5">
      <c r="A680" s="1">
        <v>38240</v>
      </c>
      <c r="B680" s="1">
        <v>39082</v>
      </c>
      <c r="C680" s="2">
        <f t="shared" si="14"/>
        <v>2.3052703627652291</v>
      </c>
      <c r="D680" s="3">
        <v>85</v>
      </c>
      <c r="E680" s="2">
        <v>10.3</v>
      </c>
    </row>
    <row r="681" spans="1:5">
      <c r="A681" s="1">
        <v>37389</v>
      </c>
      <c r="B681" s="1">
        <v>39082</v>
      </c>
      <c r="C681" s="2">
        <f t="shared" si="14"/>
        <v>4.6351813826146477</v>
      </c>
      <c r="D681" s="3">
        <v>85.1</v>
      </c>
      <c r="E681" s="2">
        <v>10.3</v>
      </c>
    </row>
    <row r="682" spans="1:5">
      <c r="A682" s="1">
        <v>37483</v>
      </c>
      <c r="B682" s="1">
        <v>39082</v>
      </c>
      <c r="C682" s="2">
        <f t="shared" si="14"/>
        <v>4.3778234086242298</v>
      </c>
      <c r="D682" s="3">
        <v>85.1</v>
      </c>
      <c r="E682" s="2">
        <v>11.6</v>
      </c>
    </row>
    <row r="683" spans="1:5">
      <c r="A683" s="1">
        <v>37347</v>
      </c>
      <c r="B683" s="1">
        <v>39082</v>
      </c>
      <c r="C683" s="2">
        <f t="shared" si="14"/>
        <v>4.7501711156741955</v>
      </c>
      <c r="D683" s="3">
        <v>85.1</v>
      </c>
      <c r="E683" s="2">
        <v>11.5</v>
      </c>
    </row>
    <row r="684" spans="1:5">
      <c r="A684" s="1">
        <v>38349</v>
      </c>
      <c r="B684" s="1">
        <v>39082</v>
      </c>
      <c r="C684" s="2">
        <f t="shared" si="14"/>
        <v>2.0068446269678302</v>
      </c>
      <c r="D684" s="3">
        <v>85.1</v>
      </c>
      <c r="E684" s="2">
        <v>9.6</v>
      </c>
    </row>
    <row r="685" spans="1:5">
      <c r="A685" s="1">
        <v>37363</v>
      </c>
      <c r="B685" s="1">
        <v>39082</v>
      </c>
      <c r="C685" s="2">
        <f t="shared" si="14"/>
        <v>4.7063655030800824</v>
      </c>
      <c r="D685" s="3">
        <v>85.2</v>
      </c>
      <c r="E685" s="2">
        <v>11.6</v>
      </c>
    </row>
    <row r="686" spans="1:5">
      <c r="A686" s="1">
        <v>37529</v>
      </c>
      <c r="B686" s="1">
        <v>39082</v>
      </c>
      <c r="C686" s="2">
        <f t="shared" si="14"/>
        <v>4.2518822724161529</v>
      </c>
      <c r="D686" s="3">
        <v>85.2</v>
      </c>
      <c r="E686" s="2">
        <v>9.8000000000000007</v>
      </c>
    </row>
    <row r="687" spans="1:5">
      <c r="A687" s="1">
        <v>37768</v>
      </c>
      <c r="B687" s="1">
        <v>39082</v>
      </c>
      <c r="C687" s="2">
        <f t="shared" si="14"/>
        <v>3.5975359342915811</v>
      </c>
      <c r="D687" s="3">
        <v>85.2</v>
      </c>
      <c r="E687" s="2">
        <v>12.4</v>
      </c>
    </row>
    <row r="688" spans="1:5">
      <c r="A688" s="1">
        <v>37307</v>
      </c>
      <c r="B688" s="1">
        <v>39082</v>
      </c>
      <c r="C688" s="2">
        <f t="shared" si="14"/>
        <v>4.85968514715948</v>
      </c>
      <c r="D688" s="3">
        <v>85.3</v>
      </c>
      <c r="E688" s="2">
        <v>12</v>
      </c>
    </row>
    <row r="689" spans="1:5">
      <c r="A689" s="1">
        <v>37737</v>
      </c>
      <c r="B689" s="1">
        <v>39082</v>
      </c>
      <c r="C689" s="2">
        <f t="shared" si="14"/>
        <v>3.6824093086926761</v>
      </c>
      <c r="D689" s="3">
        <v>85.4</v>
      </c>
      <c r="E689" s="2">
        <v>12.7</v>
      </c>
    </row>
    <row r="690" spans="1:5">
      <c r="A690" s="1">
        <v>37509</v>
      </c>
      <c r="B690" s="1">
        <v>39082</v>
      </c>
      <c r="C690" s="2">
        <f t="shared" si="14"/>
        <v>4.3066392881587952</v>
      </c>
      <c r="D690" s="3">
        <v>85.4</v>
      </c>
      <c r="E690" s="2">
        <v>11.6</v>
      </c>
    </row>
    <row r="691" spans="1:5">
      <c r="A691" s="1">
        <v>38093</v>
      </c>
      <c r="B691" s="1">
        <v>39082</v>
      </c>
      <c r="C691" s="2">
        <f t="shared" si="14"/>
        <v>2.707734428473648</v>
      </c>
      <c r="D691" s="3">
        <v>85.4</v>
      </c>
      <c r="E691" s="2">
        <v>13.1</v>
      </c>
    </row>
    <row r="692" spans="1:5">
      <c r="A692" s="1">
        <v>38278</v>
      </c>
      <c r="B692" s="1">
        <v>39082</v>
      </c>
      <c r="C692" s="2">
        <f t="shared" si="14"/>
        <v>2.2012320328542097</v>
      </c>
      <c r="D692" s="3">
        <v>85.5</v>
      </c>
      <c r="E692" s="2">
        <v>12</v>
      </c>
    </row>
    <row r="693" spans="1:5">
      <c r="A693" s="1">
        <v>37147</v>
      </c>
      <c r="B693" s="1">
        <v>39082</v>
      </c>
      <c r="C693" s="2">
        <f t="shared" si="14"/>
        <v>5.2977412731006162</v>
      </c>
      <c r="D693" s="3">
        <v>85.5</v>
      </c>
      <c r="E693" s="2">
        <v>13.8</v>
      </c>
    </row>
    <row r="694" spans="1:5">
      <c r="A694" s="1">
        <v>37097</v>
      </c>
      <c r="B694" s="1">
        <v>39082</v>
      </c>
      <c r="C694" s="2">
        <f t="shared" si="14"/>
        <v>5.4346338124572213</v>
      </c>
      <c r="D694" s="3">
        <v>85.5</v>
      </c>
      <c r="E694" s="2">
        <v>10.9</v>
      </c>
    </row>
    <row r="695" spans="1:5">
      <c r="A695" s="1">
        <v>37444</v>
      </c>
      <c r="B695" s="1">
        <v>39082</v>
      </c>
      <c r="C695" s="2">
        <f t="shared" si="14"/>
        <v>4.4845995893223822</v>
      </c>
      <c r="D695" s="3">
        <v>85.5</v>
      </c>
      <c r="E695" s="2">
        <v>10.4</v>
      </c>
    </row>
    <row r="696" spans="1:5">
      <c r="A696" s="1">
        <v>38225</v>
      </c>
      <c r="B696" s="1">
        <v>39082</v>
      </c>
      <c r="C696" s="2">
        <f t="shared" si="14"/>
        <v>2.346338124572211</v>
      </c>
      <c r="D696" s="3">
        <v>85.6</v>
      </c>
      <c r="E696" s="2">
        <v>10.8</v>
      </c>
    </row>
    <row r="697" spans="1:5">
      <c r="A697" s="1">
        <v>38276</v>
      </c>
      <c r="B697" s="1">
        <v>39082</v>
      </c>
      <c r="C697" s="2">
        <f t="shared" si="14"/>
        <v>2.2067077344284738</v>
      </c>
      <c r="D697" s="3">
        <v>85.6</v>
      </c>
      <c r="E697" s="2">
        <v>12.7</v>
      </c>
    </row>
    <row r="698" spans="1:5">
      <c r="A698" s="1">
        <v>38047</v>
      </c>
      <c r="B698" s="1">
        <v>39082</v>
      </c>
      <c r="C698" s="2">
        <f t="shared" si="14"/>
        <v>2.8336755646817249</v>
      </c>
      <c r="D698" s="3">
        <v>85.6</v>
      </c>
      <c r="E698" s="2">
        <v>12.6</v>
      </c>
    </row>
    <row r="699" spans="1:5">
      <c r="A699" s="1">
        <v>38261</v>
      </c>
      <c r="B699" s="1">
        <v>39082</v>
      </c>
      <c r="C699" s="2">
        <f t="shared" si="14"/>
        <v>2.2477754962354553</v>
      </c>
      <c r="D699" s="3">
        <v>85.6</v>
      </c>
      <c r="E699" s="2">
        <v>11.2</v>
      </c>
    </row>
    <row r="700" spans="1:5">
      <c r="A700" s="1">
        <v>37525</v>
      </c>
      <c r="B700" s="1">
        <v>39082</v>
      </c>
      <c r="C700" s="2">
        <f t="shared" si="14"/>
        <v>4.2628336755646821</v>
      </c>
      <c r="D700" s="3">
        <v>85.7</v>
      </c>
      <c r="E700" s="2">
        <v>11.1</v>
      </c>
    </row>
    <row r="701" spans="1:5">
      <c r="A701" s="1">
        <v>37602</v>
      </c>
      <c r="B701" s="1">
        <v>39082</v>
      </c>
      <c r="C701" s="2">
        <f t="shared" si="14"/>
        <v>4.0520191649555102</v>
      </c>
      <c r="D701" s="3">
        <v>85.7</v>
      </c>
      <c r="E701" s="2">
        <v>11.2</v>
      </c>
    </row>
    <row r="702" spans="1:5">
      <c r="A702" s="1">
        <v>38086</v>
      </c>
      <c r="B702" s="1">
        <v>39082</v>
      </c>
      <c r="C702" s="2">
        <f t="shared" si="14"/>
        <v>2.7268993839835729</v>
      </c>
      <c r="D702" s="3">
        <v>85.7</v>
      </c>
      <c r="E702" s="2">
        <v>11.2</v>
      </c>
    </row>
    <row r="703" spans="1:5">
      <c r="A703" s="1">
        <v>38266</v>
      </c>
      <c r="B703" s="1">
        <v>39082</v>
      </c>
      <c r="C703" s="2">
        <f t="shared" si="14"/>
        <v>2.2340862422997945</v>
      </c>
      <c r="D703" s="3">
        <v>85.7</v>
      </c>
      <c r="E703" s="2">
        <v>11.3</v>
      </c>
    </row>
    <row r="704" spans="1:5">
      <c r="A704" s="1">
        <v>37514</v>
      </c>
      <c r="B704" s="1">
        <v>39082</v>
      </c>
      <c r="C704" s="2">
        <f t="shared" si="14"/>
        <v>4.2929500342231348</v>
      </c>
      <c r="D704" s="3">
        <v>85.8</v>
      </c>
      <c r="E704" s="2">
        <v>11.3</v>
      </c>
    </row>
    <row r="705" spans="1:5">
      <c r="A705" s="1">
        <v>37463</v>
      </c>
      <c r="B705" s="1">
        <v>39082</v>
      </c>
      <c r="C705" s="2">
        <f t="shared" si="14"/>
        <v>4.4325804243668721</v>
      </c>
      <c r="D705" s="3">
        <v>85.9</v>
      </c>
      <c r="E705" s="2">
        <v>11.3</v>
      </c>
    </row>
    <row r="706" spans="1:5">
      <c r="A706" s="1">
        <v>37549</v>
      </c>
      <c r="B706" s="1">
        <v>39082</v>
      </c>
      <c r="C706" s="2">
        <f t="shared" si="14"/>
        <v>4.1971252566735116</v>
      </c>
      <c r="D706" s="3">
        <v>85.9</v>
      </c>
      <c r="E706" s="2">
        <v>9.5</v>
      </c>
    </row>
    <row r="707" spans="1:5">
      <c r="A707" s="1">
        <v>37541</v>
      </c>
      <c r="B707" s="1">
        <v>39082</v>
      </c>
      <c r="C707" s="2">
        <f t="shared" ref="C707:C770" si="15">(B707-A707)/365.25</f>
        <v>4.2190280629705681</v>
      </c>
      <c r="D707" s="3">
        <v>86</v>
      </c>
      <c r="E707" s="2">
        <v>11.7</v>
      </c>
    </row>
    <row r="708" spans="1:5">
      <c r="A708" s="1">
        <v>37154</v>
      </c>
      <c r="B708" s="1">
        <v>39082</v>
      </c>
      <c r="C708" s="2">
        <f t="shared" si="15"/>
        <v>5.2785763175906917</v>
      </c>
      <c r="D708" s="3">
        <v>86</v>
      </c>
      <c r="E708" s="2">
        <v>9.8000000000000007</v>
      </c>
    </row>
    <row r="709" spans="1:5">
      <c r="A709" s="1">
        <v>37302</v>
      </c>
      <c r="B709" s="1">
        <v>39082</v>
      </c>
      <c r="C709" s="2">
        <f t="shared" si="15"/>
        <v>4.8733744010951403</v>
      </c>
      <c r="D709" s="3">
        <v>86</v>
      </c>
      <c r="E709" s="2">
        <v>9.1</v>
      </c>
    </row>
    <row r="710" spans="1:5">
      <c r="A710" s="1">
        <v>38047</v>
      </c>
      <c r="B710" s="1">
        <v>39082</v>
      </c>
      <c r="C710" s="2">
        <f t="shared" si="15"/>
        <v>2.8336755646817249</v>
      </c>
      <c r="D710" s="3">
        <v>86</v>
      </c>
      <c r="E710" s="2">
        <v>12</v>
      </c>
    </row>
    <row r="711" spans="1:5">
      <c r="A711" s="1">
        <v>37279</v>
      </c>
      <c r="B711" s="1">
        <v>39082</v>
      </c>
      <c r="C711" s="2">
        <f t="shared" si="15"/>
        <v>4.9363449691991788</v>
      </c>
      <c r="D711" s="3">
        <v>86</v>
      </c>
      <c r="E711" s="2">
        <v>10.7</v>
      </c>
    </row>
    <row r="712" spans="1:5">
      <c r="A712" s="1">
        <v>37537</v>
      </c>
      <c r="B712" s="1">
        <v>39082</v>
      </c>
      <c r="C712" s="2">
        <f t="shared" si="15"/>
        <v>4.2299794661190964</v>
      </c>
      <c r="D712" s="3">
        <v>86</v>
      </c>
      <c r="E712" s="2">
        <v>10.8</v>
      </c>
    </row>
    <row r="713" spans="1:5">
      <c r="A713" s="1">
        <v>37427</v>
      </c>
      <c r="B713" s="1">
        <v>39082</v>
      </c>
      <c r="C713" s="2">
        <f t="shared" si="15"/>
        <v>4.5311430527036274</v>
      </c>
      <c r="D713" s="3">
        <v>86</v>
      </c>
      <c r="E713" s="2">
        <v>11.6</v>
      </c>
    </row>
    <row r="714" spans="1:5">
      <c r="A714" s="1">
        <v>38231</v>
      </c>
      <c r="B714" s="1">
        <v>39082</v>
      </c>
      <c r="C714" s="2">
        <f t="shared" si="15"/>
        <v>2.3299110198494182</v>
      </c>
      <c r="D714" s="3">
        <v>86.1</v>
      </c>
      <c r="E714" s="2">
        <v>11.4</v>
      </c>
    </row>
    <row r="715" spans="1:5">
      <c r="A715" s="1">
        <v>38172</v>
      </c>
      <c r="B715" s="1">
        <v>39082</v>
      </c>
      <c r="C715" s="2">
        <f t="shared" si="15"/>
        <v>2.4914442162902124</v>
      </c>
      <c r="D715" s="3">
        <v>86.1</v>
      </c>
      <c r="E715" s="2">
        <v>10.3</v>
      </c>
    </row>
    <row r="716" spans="1:5">
      <c r="A716" s="1">
        <v>36661</v>
      </c>
      <c r="B716" s="1">
        <v>39082</v>
      </c>
      <c r="C716" s="2">
        <f t="shared" si="15"/>
        <v>6.6283367556468171</v>
      </c>
      <c r="D716" s="3">
        <v>86.2</v>
      </c>
      <c r="E716" s="2">
        <v>13.6</v>
      </c>
    </row>
    <row r="717" spans="1:5">
      <c r="A717" s="1">
        <v>37679</v>
      </c>
      <c r="B717" s="1">
        <v>39082</v>
      </c>
      <c r="C717" s="2">
        <f t="shared" si="15"/>
        <v>3.8412046543463383</v>
      </c>
      <c r="D717" s="3">
        <v>86.2</v>
      </c>
      <c r="E717" s="2">
        <v>10.3</v>
      </c>
    </row>
    <row r="718" spans="1:5">
      <c r="A718" s="1">
        <v>37250</v>
      </c>
      <c r="B718" s="1">
        <v>39082</v>
      </c>
      <c r="C718" s="2">
        <f t="shared" si="15"/>
        <v>5.0157426420260096</v>
      </c>
      <c r="D718" s="3">
        <v>86.2</v>
      </c>
      <c r="E718" s="2">
        <v>10.7</v>
      </c>
    </row>
    <row r="719" spans="1:5">
      <c r="A719" s="1">
        <v>37413</v>
      </c>
      <c r="B719" s="1">
        <v>39082</v>
      </c>
      <c r="C719" s="2">
        <f t="shared" si="15"/>
        <v>4.5694729637234772</v>
      </c>
      <c r="D719" s="3">
        <v>86.3</v>
      </c>
      <c r="E719" s="2">
        <v>10.3</v>
      </c>
    </row>
    <row r="720" spans="1:5">
      <c r="A720" s="1">
        <v>37396</v>
      </c>
      <c r="B720" s="1">
        <v>39082</v>
      </c>
      <c r="C720" s="2">
        <f t="shared" si="15"/>
        <v>4.6160164271047224</v>
      </c>
      <c r="D720" s="3">
        <v>86.4</v>
      </c>
      <c r="E720" s="2">
        <v>11</v>
      </c>
    </row>
    <row r="721" spans="1:5">
      <c r="A721" s="1">
        <v>38275</v>
      </c>
      <c r="B721" s="1">
        <v>39082</v>
      </c>
      <c r="C721" s="2">
        <f t="shared" si="15"/>
        <v>2.2094455852156059</v>
      </c>
      <c r="D721" s="3">
        <v>86.6</v>
      </c>
      <c r="E721" s="2">
        <v>12.9</v>
      </c>
    </row>
    <row r="722" spans="1:5">
      <c r="A722" s="1">
        <v>38020</v>
      </c>
      <c r="B722" s="1">
        <v>39082</v>
      </c>
      <c r="C722" s="2">
        <f t="shared" si="15"/>
        <v>2.9075975359342916</v>
      </c>
      <c r="D722" s="3">
        <v>86.6</v>
      </c>
      <c r="E722" s="2">
        <v>10.4</v>
      </c>
    </row>
    <row r="723" spans="1:5">
      <c r="A723" s="1">
        <v>37662</v>
      </c>
      <c r="B723" s="1">
        <v>39082</v>
      </c>
      <c r="C723" s="2">
        <f t="shared" si="15"/>
        <v>3.8877481177275839</v>
      </c>
      <c r="D723" s="3">
        <v>86.6</v>
      </c>
      <c r="E723" s="2">
        <v>12</v>
      </c>
    </row>
    <row r="724" spans="1:5">
      <c r="A724" s="1">
        <v>38264</v>
      </c>
      <c r="B724" s="1">
        <v>39082</v>
      </c>
      <c r="C724" s="2">
        <f t="shared" si="15"/>
        <v>2.239561943874059</v>
      </c>
      <c r="D724" s="3">
        <v>86.7</v>
      </c>
      <c r="E724" s="2">
        <v>10.6</v>
      </c>
    </row>
    <row r="725" spans="1:5">
      <c r="A725" s="1">
        <v>37504</v>
      </c>
      <c r="B725" s="1">
        <v>39082</v>
      </c>
      <c r="C725" s="2">
        <f t="shared" si="15"/>
        <v>4.3203285420944555</v>
      </c>
      <c r="D725" s="3">
        <v>86.7</v>
      </c>
      <c r="E725" s="2">
        <v>11.7</v>
      </c>
    </row>
    <row r="726" spans="1:5">
      <c r="A726" s="1">
        <v>37145</v>
      </c>
      <c r="B726" s="1">
        <v>39082</v>
      </c>
      <c r="C726" s="2">
        <f t="shared" si="15"/>
        <v>5.3032169746748803</v>
      </c>
      <c r="D726" s="3">
        <v>86.7</v>
      </c>
      <c r="E726" s="2">
        <v>12.8</v>
      </c>
    </row>
    <row r="727" spans="1:5">
      <c r="A727" s="1">
        <v>37458</v>
      </c>
      <c r="B727" s="1">
        <v>39082</v>
      </c>
      <c r="C727" s="2">
        <f t="shared" si="15"/>
        <v>4.4462696783025324</v>
      </c>
      <c r="D727" s="3">
        <v>86.7</v>
      </c>
      <c r="E727" s="2">
        <v>12.9</v>
      </c>
    </row>
    <row r="728" spans="1:5">
      <c r="A728" s="1">
        <v>38252</v>
      </c>
      <c r="B728" s="1">
        <v>39082</v>
      </c>
      <c r="C728" s="2">
        <f t="shared" si="15"/>
        <v>2.2724161533196439</v>
      </c>
      <c r="D728" s="3">
        <v>86.8</v>
      </c>
      <c r="E728" s="2">
        <v>11.4</v>
      </c>
    </row>
    <row r="729" spans="1:5">
      <c r="A729" s="1">
        <v>37238</v>
      </c>
      <c r="B729" s="1">
        <v>39082</v>
      </c>
      <c r="C729" s="2">
        <f t="shared" si="15"/>
        <v>5.0485968514715944</v>
      </c>
      <c r="D729" s="3">
        <v>86.8</v>
      </c>
      <c r="E729" s="2">
        <v>12.4</v>
      </c>
    </row>
    <row r="730" spans="1:5">
      <c r="A730" s="1">
        <v>37024</v>
      </c>
      <c r="B730" s="1">
        <v>39082</v>
      </c>
      <c r="C730" s="2">
        <f t="shared" si="15"/>
        <v>5.6344969199178641</v>
      </c>
      <c r="D730" s="3">
        <v>86.8</v>
      </c>
      <c r="E730" s="2">
        <v>11.1</v>
      </c>
    </row>
    <row r="731" spans="1:5">
      <c r="A731" s="1">
        <v>37530</v>
      </c>
      <c r="B731" s="1">
        <v>39082</v>
      </c>
      <c r="C731" s="2">
        <f t="shared" si="15"/>
        <v>4.2491444216290208</v>
      </c>
      <c r="D731" s="3">
        <v>86.8</v>
      </c>
      <c r="E731" s="2">
        <v>11</v>
      </c>
    </row>
    <row r="732" spans="1:5">
      <c r="A732" s="1">
        <v>37995</v>
      </c>
      <c r="B732" s="1">
        <v>39082</v>
      </c>
      <c r="C732" s="2">
        <f t="shared" si="15"/>
        <v>2.9760438056125942</v>
      </c>
      <c r="D732" s="3">
        <v>86.8</v>
      </c>
      <c r="E732" s="2">
        <v>13.1</v>
      </c>
    </row>
    <row r="733" spans="1:5">
      <c r="A733" s="1">
        <v>38183</v>
      </c>
      <c r="B733" s="1">
        <v>39082</v>
      </c>
      <c r="C733" s="2">
        <f t="shared" si="15"/>
        <v>2.4613278576317592</v>
      </c>
      <c r="D733" s="3">
        <v>86.9</v>
      </c>
      <c r="E733" s="2">
        <v>13.8</v>
      </c>
    </row>
    <row r="734" spans="1:5">
      <c r="A734" s="1">
        <v>38066</v>
      </c>
      <c r="B734" s="1">
        <v>39082</v>
      </c>
      <c r="C734" s="2">
        <f t="shared" si="15"/>
        <v>2.7816563997262147</v>
      </c>
      <c r="D734" s="3">
        <v>86.9</v>
      </c>
      <c r="E734" s="2">
        <v>11</v>
      </c>
    </row>
    <row r="735" spans="1:5">
      <c r="A735" s="1">
        <v>37449</v>
      </c>
      <c r="B735" s="1">
        <v>39082</v>
      </c>
      <c r="C735" s="2">
        <f t="shared" si="15"/>
        <v>4.470910335386721</v>
      </c>
      <c r="D735" s="3">
        <v>87</v>
      </c>
      <c r="E735" s="2">
        <v>13</v>
      </c>
    </row>
    <row r="736" spans="1:5">
      <c r="A736" s="1">
        <v>36951</v>
      </c>
      <c r="B736" s="1">
        <v>39082</v>
      </c>
      <c r="C736" s="2">
        <f t="shared" si="15"/>
        <v>5.8343600273785077</v>
      </c>
      <c r="D736" s="3">
        <v>87</v>
      </c>
      <c r="E736" s="2">
        <v>11.5</v>
      </c>
    </row>
    <row r="737" spans="1:5">
      <c r="A737" s="1">
        <v>38051</v>
      </c>
      <c r="B737" s="1">
        <v>39082</v>
      </c>
      <c r="C737" s="2">
        <f t="shared" si="15"/>
        <v>2.8227241615331966</v>
      </c>
      <c r="D737" s="3">
        <v>87</v>
      </c>
      <c r="E737" s="2">
        <v>13.3</v>
      </c>
    </row>
    <row r="738" spans="1:5">
      <c r="A738" s="1">
        <v>37106</v>
      </c>
      <c r="B738" s="1">
        <v>39082</v>
      </c>
      <c r="C738" s="2">
        <f t="shared" si="15"/>
        <v>5.4099931553730318</v>
      </c>
      <c r="D738" s="3">
        <v>87</v>
      </c>
      <c r="E738" s="2">
        <v>11.6</v>
      </c>
    </row>
    <row r="739" spans="1:5">
      <c r="A739" s="1">
        <v>37199</v>
      </c>
      <c r="B739" s="1">
        <v>39082</v>
      </c>
      <c r="C739" s="2">
        <f t="shared" si="15"/>
        <v>5.1553730321697468</v>
      </c>
      <c r="D739" s="3">
        <v>87</v>
      </c>
      <c r="E739" s="2">
        <v>11.3</v>
      </c>
    </row>
    <row r="740" spans="1:5">
      <c r="A740" s="1">
        <v>37622</v>
      </c>
      <c r="B740" s="1">
        <v>39082</v>
      </c>
      <c r="C740" s="2">
        <f t="shared" si="15"/>
        <v>3.9972621492128679</v>
      </c>
      <c r="D740" s="3">
        <v>87</v>
      </c>
      <c r="E740" s="2">
        <v>10.199999999999999</v>
      </c>
    </row>
    <row r="741" spans="1:5">
      <c r="A741" s="1">
        <v>38249</v>
      </c>
      <c r="B741" s="1">
        <v>39082</v>
      </c>
      <c r="C741" s="2">
        <f t="shared" si="15"/>
        <v>2.2806297056810405</v>
      </c>
      <c r="D741" s="3">
        <v>87.1</v>
      </c>
      <c r="E741" s="2">
        <v>11.8</v>
      </c>
    </row>
    <row r="742" spans="1:5">
      <c r="A742" s="1">
        <v>37316</v>
      </c>
      <c r="B742" s="1">
        <v>39082</v>
      </c>
      <c r="C742" s="2">
        <f t="shared" si="15"/>
        <v>4.8350444900752905</v>
      </c>
      <c r="D742" s="3">
        <v>87.1</v>
      </c>
      <c r="E742" s="2">
        <v>11.1</v>
      </c>
    </row>
    <row r="743" spans="1:5">
      <c r="A743" s="1">
        <v>37289</v>
      </c>
      <c r="B743" s="1">
        <v>39082</v>
      </c>
      <c r="C743" s="2">
        <f t="shared" si="15"/>
        <v>4.9089664613278572</v>
      </c>
      <c r="D743" s="3">
        <v>87.2</v>
      </c>
      <c r="E743" s="2">
        <v>12.2</v>
      </c>
    </row>
    <row r="744" spans="1:5">
      <c r="A744" s="1">
        <v>37174</v>
      </c>
      <c r="B744" s="1">
        <v>39082</v>
      </c>
      <c r="C744" s="2">
        <f t="shared" si="15"/>
        <v>5.2238193018480494</v>
      </c>
      <c r="D744" s="3">
        <v>87.3</v>
      </c>
      <c r="E744" s="2">
        <v>11.3</v>
      </c>
    </row>
    <row r="745" spans="1:5">
      <c r="A745" s="1">
        <v>37357</v>
      </c>
      <c r="B745" s="1">
        <v>39082</v>
      </c>
      <c r="C745" s="2">
        <f t="shared" si="15"/>
        <v>4.7227926078028748</v>
      </c>
      <c r="D745" s="3">
        <v>87.3</v>
      </c>
      <c r="E745" s="2">
        <v>10.9</v>
      </c>
    </row>
    <row r="746" spans="1:5">
      <c r="A746" s="1">
        <v>37493</v>
      </c>
      <c r="B746" s="1">
        <v>39082</v>
      </c>
      <c r="C746" s="2">
        <f t="shared" si="15"/>
        <v>4.3504449007529091</v>
      </c>
      <c r="D746" s="3">
        <v>87.3</v>
      </c>
      <c r="E746" s="2">
        <v>10.9</v>
      </c>
    </row>
    <row r="747" spans="1:5">
      <c r="A747" s="1">
        <v>37314</v>
      </c>
      <c r="B747" s="1">
        <v>39082</v>
      </c>
      <c r="C747" s="2">
        <f t="shared" si="15"/>
        <v>4.8405201916495555</v>
      </c>
      <c r="D747" s="3">
        <v>87.3</v>
      </c>
      <c r="E747" s="2">
        <v>11.7</v>
      </c>
    </row>
    <row r="748" spans="1:5">
      <c r="A748" s="1">
        <v>37360</v>
      </c>
      <c r="B748" s="1">
        <v>39082</v>
      </c>
      <c r="C748" s="2">
        <f t="shared" si="15"/>
        <v>4.7145790554414786</v>
      </c>
      <c r="D748" s="3">
        <v>87.3</v>
      </c>
      <c r="E748" s="2">
        <v>11.5</v>
      </c>
    </row>
    <row r="749" spans="1:5">
      <c r="A749" s="1">
        <v>37550</v>
      </c>
      <c r="B749" s="1">
        <v>39082</v>
      </c>
      <c r="C749" s="2">
        <f t="shared" si="15"/>
        <v>4.1943874058863795</v>
      </c>
      <c r="D749" s="3">
        <v>87.4</v>
      </c>
      <c r="E749" s="2">
        <v>13</v>
      </c>
    </row>
    <row r="750" spans="1:5">
      <c r="A750" s="1">
        <v>37423</v>
      </c>
      <c r="B750" s="1">
        <v>39082</v>
      </c>
      <c r="C750" s="2">
        <f t="shared" si="15"/>
        <v>4.5420944558521557</v>
      </c>
      <c r="D750" s="3">
        <v>87.4</v>
      </c>
      <c r="E750" s="2">
        <v>11.8</v>
      </c>
    </row>
    <row r="751" spans="1:5">
      <c r="A751" s="1">
        <v>38275</v>
      </c>
      <c r="B751" s="1">
        <v>39082</v>
      </c>
      <c r="C751" s="2">
        <f t="shared" si="15"/>
        <v>2.2094455852156059</v>
      </c>
      <c r="D751" s="3">
        <v>87.4</v>
      </c>
      <c r="E751" s="2">
        <v>11.8</v>
      </c>
    </row>
    <row r="752" spans="1:5">
      <c r="A752" s="1">
        <v>37535</v>
      </c>
      <c r="B752" s="1">
        <v>39082</v>
      </c>
      <c r="C752" s="2">
        <f t="shared" si="15"/>
        <v>4.2354551676933605</v>
      </c>
      <c r="D752" s="3">
        <v>87.5</v>
      </c>
      <c r="E752" s="2">
        <v>12.2</v>
      </c>
    </row>
    <row r="753" spans="1:5">
      <c r="A753" s="1">
        <v>37544</v>
      </c>
      <c r="B753" s="1">
        <v>39082</v>
      </c>
      <c r="C753" s="2">
        <f t="shared" si="15"/>
        <v>4.2108145106091719</v>
      </c>
      <c r="D753" s="3">
        <v>87.5</v>
      </c>
      <c r="E753" s="2">
        <v>15</v>
      </c>
    </row>
    <row r="754" spans="1:5">
      <c r="A754" s="1">
        <v>38002</v>
      </c>
      <c r="B754" s="1">
        <v>39082</v>
      </c>
      <c r="C754" s="2">
        <f t="shared" si="15"/>
        <v>2.9568788501026693</v>
      </c>
      <c r="D754" s="3">
        <v>87.6</v>
      </c>
      <c r="E754" s="2">
        <v>11.9</v>
      </c>
    </row>
    <row r="755" spans="1:5">
      <c r="A755" s="1">
        <v>37196</v>
      </c>
      <c r="B755" s="1">
        <v>39082</v>
      </c>
      <c r="C755" s="2">
        <f t="shared" si="15"/>
        <v>5.1635865845311431</v>
      </c>
      <c r="D755" s="3">
        <v>87.6</v>
      </c>
      <c r="E755" s="2">
        <v>11.3</v>
      </c>
    </row>
    <row r="756" spans="1:5">
      <c r="A756" s="1">
        <v>37184</v>
      </c>
      <c r="B756" s="1">
        <v>39082</v>
      </c>
      <c r="C756" s="2">
        <f t="shared" si="15"/>
        <v>5.1964407939767279</v>
      </c>
      <c r="D756" s="3">
        <v>87.7</v>
      </c>
      <c r="E756" s="2">
        <v>9.9</v>
      </c>
    </row>
    <row r="757" spans="1:5">
      <c r="A757" s="1">
        <v>38307</v>
      </c>
      <c r="B757" s="1">
        <v>39082</v>
      </c>
      <c r="C757" s="2">
        <f t="shared" si="15"/>
        <v>2.1218343600273784</v>
      </c>
      <c r="D757" s="3">
        <v>87.7</v>
      </c>
      <c r="E757" s="2">
        <v>10.8</v>
      </c>
    </row>
    <row r="758" spans="1:5">
      <c r="A758" s="1">
        <v>37447</v>
      </c>
      <c r="B758" s="1">
        <v>39082</v>
      </c>
      <c r="C758" s="2">
        <f t="shared" si="15"/>
        <v>4.476386036960986</v>
      </c>
      <c r="D758" s="3">
        <v>87.7</v>
      </c>
      <c r="E758" s="2">
        <v>12.2</v>
      </c>
    </row>
    <row r="759" spans="1:5">
      <c r="A759" s="1">
        <v>38261</v>
      </c>
      <c r="B759" s="1">
        <v>39082</v>
      </c>
      <c r="C759" s="2">
        <f t="shared" si="15"/>
        <v>2.2477754962354553</v>
      </c>
      <c r="D759" s="3">
        <v>87.7</v>
      </c>
      <c r="E759" s="2">
        <v>12.4</v>
      </c>
    </row>
    <row r="760" spans="1:5">
      <c r="A760" s="1">
        <v>37277</v>
      </c>
      <c r="B760" s="1">
        <v>39082</v>
      </c>
      <c r="C760" s="2">
        <f t="shared" si="15"/>
        <v>4.9418206707734429</v>
      </c>
      <c r="D760" s="3">
        <v>87.7</v>
      </c>
      <c r="E760" s="2">
        <v>14.1</v>
      </c>
    </row>
    <row r="761" spans="1:5">
      <c r="A761" s="1">
        <v>38265</v>
      </c>
      <c r="B761" s="1">
        <v>39082</v>
      </c>
      <c r="C761" s="2">
        <f t="shared" si="15"/>
        <v>2.236824093086927</v>
      </c>
      <c r="D761" s="3">
        <v>87.8</v>
      </c>
      <c r="E761" s="2">
        <v>12.4</v>
      </c>
    </row>
    <row r="762" spans="1:5">
      <c r="A762" s="1">
        <v>38261</v>
      </c>
      <c r="B762" s="1">
        <v>39082</v>
      </c>
      <c r="C762" s="2">
        <f t="shared" si="15"/>
        <v>2.2477754962354553</v>
      </c>
      <c r="D762" s="3">
        <v>87.8</v>
      </c>
      <c r="E762" s="2">
        <v>11.7</v>
      </c>
    </row>
    <row r="763" spans="1:5">
      <c r="A763" s="1">
        <v>38169</v>
      </c>
      <c r="B763" s="1">
        <v>39082</v>
      </c>
      <c r="C763" s="2">
        <f t="shared" si="15"/>
        <v>2.4996577686516086</v>
      </c>
      <c r="D763" s="3">
        <v>88</v>
      </c>
      <c r="E763" s="2">
        <v>12.6</v>
      </c>
    </row>
    <row r="764" spans="1:5">
      <c r="A764" s="1">
        <v>37463</v>
      </c>
      <c r="B764" s="1">
        <v>39082</v>
      </c>
      <c r="C764" s="2">
        <f t="shared" si="15"/>
        <v>4.4325804243668721</v>
      </c>
      <c r="D764" s="3">
        <v>88</v>
      </c>
      <c r="E764" s="2">
        <v>10.6</v>
      </c>
    </row>
    <row r="765" spans="1:5">
      <c r="A765" s="1">
        <v>37283</v>
      </c>
      <c r="B765" s="1">
        <v>39082</v>
      </c>
      <c r="C765" s="2">
        <f t="shared" si="15"/>
        <v>4.9253935660506505</v>
      </c>
      <c r="D765" s="3">
        <v>88.1</v>
      </c>
      <c r="E765" s="2">
        <v>13.1</v>
      </c>
    </row>
    <row r="766" spans="1:5">
      <c r="A766" s="1">
        <v>38209</v>
      </c>
      <c r="B766" s="1">
        <v>39082</v>
      </c>
      <c r="C766" s="2">
        <f t="shared" si="15"/>
        <v>2.3901437371663246</v>
      </c>
      <c r="D766" s="3">
        <v>88.2</v>
      </c>
      <c r="E766" s="2">
        <v>12</v>
      </c>
    </row>
    <row r="767" spans="1:5">
      <c r="A767" s="1">
        <v>38125</v>
      </c>
      <c r="B767" s="1">
        <v>39082</v>
      </c>
      <c r="C767" s="2">
        <f t="shared" si="15"/>
        <v>2.6201232032854209</v>
      </c>
      <c r="D767" s="3">
        <v>88.2</v>
      </c>
      <c r="E767" s="2">
        <v>11.7</v>
      </c>
    </row>
    <row r="768" spans="1:5">
      <c r="A768" s="1">
        <v>37184</v>
      </c>
      <c r="B768" s="1">
        <v>39082</v>
      </c>
      <c r="C768" s="2">
        <f t="shared" si="15"/>
        <v>5.1964407939767279</v>
      </c>
      <c r="D768" s="3">
        <v>88.2</v>
      </c>
      <c r="E768" s="2">
        <v>12.9</v>
      </c>
    </row>
    <row r="769" spans="1:5">
      <c r="A769" s="1">
        <v>38078</v>
      </c>
      <c r="B769" s="1">
        <v>39082</v>
      </c>
      <c r="C769" s="2">
        <f t="shared" si="15"/>
        <v>2.7488021902806299</v>
      </c>
      <c r="D769" s="3">
        <v>88.2</v>
      </c>
      <c r="E769" s="2">
        <v>14.3</v>
      </c>
    </row>
    <row r="770" spans="1:5">
      <c r="A770" s="1">
        <v>37527</v>
      </c>
      <c r="B770" s="1">
        <v>39082</v>
      </c>
      <c r="C770" s="2">
        <f t="shared" si="15"/>
        <v>4.2573579739904179</v>
      </c>
      <c r="D770" s="3">
        <v>88.3</v>
      </c>
      <c r="E770" s="2">
        <v>12.9</v>
      </c>
    </row>
    <row r="771" spans="1:5">
      <c r="A771" s="1">
        <v>38003</v>
      </c>
      <c r="B771" s="1">
        <v>39082</v>
      </c>
      <c r="C771" s="2">
        <f t="shared" ref="C771:C834" si="16">(B771-A771)/365.25</f>
        <v>2.9541409993155372</v>
      </c>
      <c r="D771" s="3">
        <v>88.4</v>
      </c>
      <c r="E771" s="2">
        <v>11.4</v>
      </c>
    </row>
    <row r="772" spans="1:5">
      <c r="A772" s="1">
        <v>38310</v>
      </c>
      <c r="B772" s="1">
        <v>39082</v>
      </c>
      <c r="C772" s="2">
        <f t="shared" si="16"/>
        <v>2.1136208076659821</v>
      </c>
      <c r="D772" s="3">
        <v>88.4</v>
      </c>
      <c r="E772" s="2">
        <v>11.8</v>
      </c>
    </row>
    <row r="773" spans="1:5">
      <c r="A773" s="1">
        <v>37368</v>
      </c>
      <c r="B773" s="1">
        <v>39082</v>
      </c>
      <c r="C773" s="2">
        <f t="shared" si="16"/>
        <v>4.6926762491444221</v>
      </c>
      <c r="D773" s="3">
        <v>88.5</v>
      </c>
      <c r="E773" s="2">
        <v>11.7</v>
      </c>
    </row>
    <row r="774" spans="1:5">
      <c r="A774" s="1">
        <v>37135</v>
      </c>
      <c r="B774" s="1">
        <v>39082</v>
      </c>
      <c r="C774" s="2">
        <f t="shared" si="16"/>
        <v>5.330595482546201</v>
      </c>
      <c r="D774" s="3">
        <v>88.5</v>
      </c>
      <c r="E774" s="2">
        <v>12.4</v>
      </c>
    </row>
    <row r="775" spans="1:5">
      <c r="A775" s="1">
        <v>38134</v>
      </c>
      <c r="B775" s="1">
        <v>39082</v>
      </c>
      <c r="C775" s="2">
        <f t="shared" si="16"/>
        <v>2.5954825462012319</v>
      </c>
      <c r="D775" s="3">
        <v>88.5</v>
      </c>
      <c r="E775" s="2">
        <v>11.9</v>
      </c>
    </row>
    <row r="776" spans="1:5">
      <c r="A776" s="1">
        <v>37443</v>
      </c>
      <c r="B776" s="1">
        <v>39082</v>
      </c>
      <c r="C776" s="2">
        <f t="shared" si="16"/>
        <v>4.4873374401095143</v>
      </c>
      <c r="D776" s="3">
        <v>88.5</v>
      </c>
      <c r="E776" s="2">
        <v>10.8</v>
      </c>
    </row>
    <row r="777" spans="1:5">
      <c r="A777" s="1">
        <v>38047</v>
      </c>
      <c r="B777" s="1">
        <v>39082</v>
      </c>
      <c r="C777" s="2">
        <f t="shared" si="16"/>
        <v>2.8336755646817249</v>
      </c>
      <c r="D777" s="3">
        <v>88.5</v>
      </c>
      <c r="E777" s="2">
        <v>12.1</v>
      </c>
    </row>
    <row r="778" spans="1:5">
      <c r="A778" s="1">
        <v>37364</v>
      </c>
      <c r="B778" s="1">
        <v>39082</v>
      </c>
      <c r="C778" s="2">
        <f t="shared" si="16"/>
        <v>4.7036276522929503</v>
      </c>
      <c r="D778" s="3">
        <v>88.6</v>
      </c>
      <c r="E778" s="2">
        <v>10.4</v>
      </c>
    </row>
    <row r="779" spans="1:5">
      <c r="A779" s="1">
        <v>37290</v>
      </c>
      <c r="B779" s="1">
        <v>39082</v>
      </c>
      <c r="C779" s="2">
        <f t="shared" si="16"/>
        <v>4.9062286105407251</v>
      </c>
      <c r="D779" s="3">
        <v>88.6</v>
      </c>
      <c r="E779" s="2">
        <v>12.5</v>
      </c>
    </row>
    <row r="780" spans="1:5">
      <c r="A780" s="1">
        <v>37065</v>
      </c>
      <c r="B780" s="1">
        <v>39082</v>
      </c>
      <c r="C780" s="2">
        <f t="shared" si="16"/>
        <v>5.5222450376454484</v>
      </c>
      <c r="D780" s="3">
        <v>88.6</v>
      </c>
      <c r="E780" s="2">
        <v>10.6</v>
      </c>
    </row>
    <row r="781" spans="1:5">
      <c r="A781" s="1">
        <v>38261</v>
      </c>
      <c r="B781" s="1">
        <v>39082</v>
      </c>
      <c r="C781" s="2">
        <f t="shared" si="16"/>
        <v>2.2477754962354553</v>
      </c>
      <c r="D781" s="3">
        <v>88.6</v>
      </c>
      <c r="E781" s="2">
        <v>12</v>
      </c>
    </row>
    <row r="782" spans="1:5">
      <c r="A782" s="1">
        <v>38195</v>
      </c>
      <c r="B782" s="1">
        <v>39082</v>
      </c>
      <c r="C782" s="2">
        <f t="shared" si="16"/>
        <v>2.4284736481861739</v>
      </c>
      <c r="D782" s="3">
        <v>88.6</v>
      </c>
      <c r="E782" s="2">
        <v>12.9</v>
      </c>
    </row>
    <row r="783" spans="1:5">
      <c r="A783" s="1">
        <v>38050</v>
      </c>
      <c r="B783" s="1">
        <v>39082</v>
      </c>
      <c r="C783" s="2">
        <f t="shared" si="16"/>
        <v>2.8254620123203287</v>
      </c>
      <c r="D783" s="3">
        <v>88.6</v>
      </c>
      <c r="E783" s="2">
        <v>12.2</v>
      </c>
    </row>
    <row r="784" spans="1:5">
      <c r="A784" s="1">
        <v>37178</v>
      </c>
      <c r="B784" s="1">
        <v>39082</v>
      </c>
      <c r="C784" s="2">
        <f t="shared" si="16"/>
        <v>5.2128678986995212</v>
      </c>
      <c r="D784" s="3">
        <v>88.7</v>
      </c>
      <c r="E784" s="2">
        <v>10.9</v>
      </c>
    </row>
    <row r="785" spans="1:5">
      <c r="A785" s="1">
        <v>38209</v>
      </c>
      <c r="B785" s="1">
        <v>39082</v>
      </c>
      <c r="C785" s="2">
        <f t="shared" si="16"/>
        <v>2.3901437371663246</v>
      </c>
      <c r="D785" s="3">
        <v>88.7</v>
      </c>
      <c r="E785" s="2">
        <v>12.6</v>
      </c>
    </row>
    <row r="786" spans="1:5">
      <c r="A786" s="1">
        <v>37315</v>
      </c>
      <c r="B786" s="1">
        <v>39082</v>
      </c>
      <c r="C786" s="2">
        <f t="shared" si="16"/>
        <v>4.8377823408624234</v>
      </c>
      <c r="D786" s="3">
        <v>88.7</v>
      </c>
      <c r="E786" s="2">
        <v>12.2</v>
      </c>
    </row>
    <row r="787" spans="1:5">
      <c r="A787" s="1">
        <v>37312</v>
      </c>
      <c r="B787" s="1">
        <v>39082</v>
      </c>
      <c r="C787" s="2">
        <f t="shared" si="16"/>
        <v>4.8459958932238196</v>
      </c>
      <c r="D787" s="3">
        <v>88.8</v>
      </c>
      <c r="E787" s="2">
        <v>11.4</v>
      </c>
    </row>
    <row r="788" spans="1:5">
      <c r="A788" s="1">
        <v>38261</v>
      </c>
      <c r="B788" s="1">
        <v>39082</v>
      </c>
      <c r="C788" s="2">
        <f t="shared" si="16"/>
        <v>2.2477754962354553</v>
      </c>
      <c r="D788" s="3">
        <v>88.8</v>
      </c>
      <c r="E788" s="2">
        <v>13.1</v>
      </c>
    </row>
    <row r="789" spans="1:5">
      <c r="A789" s="1">
        <v>36813</v>
      </c>
      <c r="B789" s="1">
        <v>39082</v>
      </c>
      <c r="C789" s="2">
        <f t="shared" si="16"/>
        <v>6.2121834360027375</v>
      </c>
      <c r="D789" s="3">
        <v>88.9</v>
      </c>
      <c r="E789" s="2">
        <v>12.3</v>
      </c>
    </row>
    <row r="790" spans="1:5">
      <c r="A790" s="1">
        <v>37549</v>
      </c>
      <c r="B790" s="1">
        <v>39082</v>
      </c>
      <c r="C790" s="2">
        <f t="shared" si="16"/>
        <v>4.1971252566735116</v>
      </c>
      <c r="D790" s="3">
        <v>88.9</v>
      </c>
      <c r="E790" s="2">
        <v>12.3</v>
      </c>
    </row>
    <row r="791" spans="1:5">
      <c r="A791" s="1">
        <v>37170</v>
      </c>
      <c r="B791" s="1">
        <v>39082</v>
      </c>
      <c r="C791" s="2">
        <f t="shared" si="16"/>
        <v>5.2347707049965777</v>
      </c>
      <c r="D791" s="3">
        <v>88.9</v>
      </c>
      <c r="E791" s="2">
        <v>12.5</v>
      </c>
    </row>
    <row r="792" spans="1:5">
      <c r="A792" s="1">
        <v>37671</v>
      </c>
      <c r="B792" s="1">
        <v>39082</v>
      </c>
      <c r="C792" s="2">
        <f t="shared" si="16"/>
        <v>3.8631074606433948</v>
      </c>
      <c r="D792" s="3">
        <v>88.9</v>
      </c>
      <c r="E792" s="2">
        <v>11.5</v>
      </c>
    </row>
    <row r="793" spans="1:5">
      <c r="A793" s="1">
        <v>37262</v>
      </c>
      <c r="B793" s="1">
        <v>39082</v>
      </c>
      <c r="C793" s="2">
        <f t="shared" si="16"/>
        <v>4.9828884325804248</v>
      </c>
      <c r="D793" s="3">
        <v>89</v>
      </c>
      <c r="E793" s="2">
        <v>11.8</v>
      </c>
    </row>
    <row r="794" spans="1:5">
      <c r="A794" s="1">
        <v>38079</v>
      </c>
      <c r="B794" s="1">
        <v>39082</v>
      </c>
      <c r="C794" s="2">
        <f t="shared" si="16"/>
        <v>2.7460643394934978</v>
      </c>
      <c r="D794" s="3">
        <v>89</v>
      </c>
      <c r="E794" s="2">
        <v>13.8</v>
      </c>
    </row>
    <row r="795" spans="1:5">
      <c r="A795" s="1">
        <v>37478</v>
      </c>
      <c r="B795" s="1">
        <v>39082</v>
      </c>
      <c r="C795" s="2">
        <f t="shared" si="16"/>
        <v>4.3915126625598901</v>
      </c>
      <c r="D795" s="3">
        <v>89</v>
      </c>
      <c r="E795" s="2">
        <v>10.4</v>
      </c>
    </row>
    <row r="796" spans="1:5">
      <c r="A796" s="1">
        <v>37330</v>
      </c>
      <c r="B796" s="1">
        <v>39082</v>
      </c>
      <c r="C796" s="2">
        <f t="shared" si="16"/>
        <v>4.7967145790554415</v>
      </c>
      <c r="D796" s="3">
        <v>89</v>
      </c>
      <c r="E796" s="2">
        <v>11.4</v>
      </c>
    </row>
    <row r="797" spans="1:5">
      <c r="A797" s="1">
        <v>37226</v>
      </c>
      <c r="B797" s="1">
        <v>39082</v>
      </c>
      <c r="C797" s="2">
        <f t="shared" si="16"/>
        <v>5.0814510609171801</v>
      </c>
      <c r="D797" s="3">
        <v>89</v>
      </c>
      <c r="E797" s="2">
        <v>12</v>
      </c>
    </row>
    <row r="798" spans="1:5">
      <c r="A798" s="1">
        <v>37200</v>
      </c>
      <c r="B798" s="1">
        <v>39082</v>
      </c>
      <c r="C798" s="2">
        <f t="shared" si="16"/>
        <v>5.1526351813826148</v>
      </c>
      <c r="D798" s="3">
        <v>89</v>
      </c>
      <c r="E798" s="2">
        <v>12.2</v>
      </c>
    </row>
    <row r="799" spans="1:5">
      <c r="A799" s="1">
        <v>38289</v>
      </c>
      <c r="B799" s="1">
        <v>39082</v>
      </c>
      <c r="C799" s="2">
        <f t="shared" si="16"/>
        <v>2.1711156741957565</v>
      </c>
      <c r="D799" s="3">
        <v>89.1</v>
      </c>
      <c r="E799" s="2">
        <v>11.5</v>
      </c>
    </row>
    <row r="800" spans="1:5">
      <c r="A800" s="1">
        <v>37313</v>
      </c>
      <c r="B800" s="1">
        <v>39082</v>
      </c>
      <c r="C800" s="2">
        <f t="shared" si="16"/>
        <v>4.8432580424366876</v>
      </c>
      <c r="D800" s="3">
        <v>89.1</v>
      </c>
      <c r="E800" s="2">
        <v>11.9</v>
      </c>
    </row>
    <row r="801" spans="1:5">
      <c r="A801" s="1">
        <v>37590</v>
      </c>
      <c r="B801" s="1">
        <v>39082</v>
      </c>
      <c r="C801" s="2">
        <f t="shared" si="16"/>
        <v>4.084873374401095</v>
      </c>
      <c r="D801" s="3">
        <v>89.2</v>
      </c>
      <c r="E801" s="2">
        <v>11.9</v>
      </c>
    </row>
    <row r="802" spans="1:5">
      <c r="A802" s="1">
        <v>36985</v>
      </c>
      <c r="B802" s="1">
        <v>39082</v>
      </c>
      <c r="C802" s="2">
        <f t="shared" si="16"/>
        <v>5.7412731006160165</v>
      </c>
      <c r="D802" s="3">
        <v>89.2</v>
      </c>
      <c r="E802" s="2">
        <v>11.6</v>
      </c>
    </row>
    <row r="803" spans="1:5">
      <c r="A803" s="1">
        <v>36811</v>
      </c>
      <c r="B803" s="1">
        <v>39082</v>
      </c>
      <c r="C803" s="2">
        <f t="shared" si="16"/>
        <v>6.2176591375770016</v>
      </c>
      <c r="D803" s="3">
        <v>89.4</v>
      </c>
      <c r="E803" s="2">
        <v>11.7</v>
      </c>
    </row>
    <row r="804" spans="1:5">
      <c r="A804" s="1">
        <v>36756</v>
      </c>
      <c r="B804" s="1">
        <v>39082</v>
      </c>
      <c r="C804" s="2">
        <f t="shared" si="16"/>
        <v>6.368240930869268</v>
      </c>
      <c r="D804" s="3">
        <v>89.4</v>
      </c>
      <c r="E804" s="2">
        <v>11.5</v>
      </c>
    </row>
    <row r="805" spans="1:5">
      <c r="A805" s="1">
        <v>37267</v>
      </c>
      <c r="B805" s="1">
        <v>39082</v>
      </c>
      <c r="C805" s="2">
        <f t="shared" si="16"/>
        <v>4.9691991786447636</v>
      </c>
      <c r="D805" s="3">
        <v>89.4</v>
      </c>
      <c r="E805" s="2">
        <v>11.6</v>
      </c>
    </row>
    <row r="806" spans="1:5">
      <c r="A806" s="1">
        <v>37203</v>
      </c>
      <c r="B806" s="1">
        <v>39082</v>
      </c>
      <c r="C806" s="2">
        <f t="shared" si="16"/>
        <v>5.1444216290212186</v>
      </c>
      <c r="D806" s="3">
        <v>89.5</v>
      </c>
      <c r="E806" s="2">
        <v>12.7</v>
      </c>
    </row>
    <row r="807" spans="1:5">
      <c r="A807" s="1">
        <v>38011</v>
      </c>
      <c r="B807" s="1">
        <v>39082</v>
      </c>
      <c r="C807" s="2">
        <f t="shared" si="16"/>
        <v>2.9322381930184807</v>
      </c>
      <c r="D807" s="3">
        <v>89.5</v>
      </c>
      <c r="E807" s="2">
        <v>11.7</v>
      </c>
    </row>
    <row r="808" spans="1:5">
      <c r="A808" s="1">
        <v>37175</v>
      </c>
      <c r="B808" s="1">
        <v>39082</v>
      </c>
      <c r="C808" s="2">
        <f t="shared" si="16"/>
        <v>5.2210814510609174</v>
      </c>
      <c r="D808" s="3">
        <v>89.6</v>
      </c>
      <c r="E808" s="2">
        <v>11.4</v>
      </c>
    </row>
    <row r="809" spans="1:5">
      <c r="A809" s="1">
        <v>38057</v>
      </c>
      <c r="B809" s="1">
        <v>39082</v>
      </c>
      <c r="C809" s="2">
        <f t="shared" si="16"/>
        <v>2.8062970568104038</v>
      </c>
      <c r="D809" s="3">
        <v>89.6</v>
      </c>
      <c r="E809" s="2">
        <v>11.9</v>
      </c>
    </row>
    <row r="810" spans="1:5">
      <c r="A810" s="1">
        <v>37206</v>
      </c>
      <c r="B810" s="1">
        <v>39082</v>
      </c>
      <c r="C810" s="2">
        <f t="shared" si="16"/>
        <v>5.1362080766598224</v>
      </c>
      <c r="D810" s="3">
        <v>89.6</v>
      </c>
      <c r="E810" s="2">
        <v>12.5</v>
      </c>
    </row>
    <row r="811" spans="1:5">
      <c r="A811" s="1">
        <v>37287</v>
      </c>
      <c r="B811" s="1">
        <v>39082</v>
      </c>
      <c r="C811" s="2">
        <f t="shared" si="16"/>
        <v>4.9144421629021222</v>
      </c>
      <c r="D811" s="3">
        <v>89.6</v>
      </c>
      <c r="E811" s="2">
        <v>10.8</v>
      </c>
    </row>
    <row r="812" spans="1:5">
      <c r="A812" s="1">
        <v>38043</v>
      </c>
      <c r="B812" s="1">
        <v>39082</v>
      </c>
      <c r="C812" s="2">
        <f t="shared" si="16"/>
        <v>2.8446269678302532</v>
      </c>
      <c r="D812" s="3">
        <v>89.8</v>
      </c>
      <c r="E812" s="2">
        <v>12.7</v>
      </c>
    </row>
    <row r="813" spans="1:5">
      <c r="A813" s="1">
        <v>37066</v>
      </c>
      <c r="B813" s="1">
        <v>39082</v>
      </c>
      <c r="C813" s="2">
        <f t="shared" si="16"/>
        <v>5.5195071868583163</v>
      </c>
      <c r="D813" s="3">
        <v>89.8</v>
      </c>
      <c r="E813" s="2">
        <v>10.9</v>
      </c>
    </row>
    <row r="814" spans="1:5">
      <c r="A814" s="1">
        <v>37433</v>
      </c>
      <c r="B814" s="1">
        <v>39082</v>
      </c>
      <c r="C814" s="2">
        <f t="shared" si="16"/>
        <v>4.514715947980835</v>
      </c>
      <c r="D814" s="3">
        <v>89.8</v>
      </c>
      <c r="E814" s="2">
        <v>11.5</v>
      </c>
    </row>
    <row r="815" spans="1:5">
      <c r="A815" s="1">
        <v>37089</v>
      </c>
      <c r="B815" s="1">
        <v>39082</v>
      </c>
      <c r="C815" s="2">
        <f t="shared" si="16"/>
        <v>5.4565366187542779</v>
      </c>
      <c r="D815" s="3">
        <v>89.9</v>
      </c>
      <c r="E815" s="2">
        <v>11.5</v>
      </c>
    </row>
    <row r="816" spans="1:5">
      <c r="A816" s="1">
        <v>38125</v>
      </c>
      <c r="B816" s="1">
        <v>39082</v>
      </c>
      <c r="C816" s="2">
        <f t="shared" si="16"/>
        <v>2.6201232032854209</v>
      </c>
      <c r="D816" s="3">
        <v>89.9</v>
      </c>
      <c r="E816" s="2">
        <v>11</v>
      </c>
    </row>
    <row r="817" spans="1:5">
      <c r="A817" s="1">
        <v>37378</v>
      </c>
      <c r="B817" s="1">
        <v>39082</v>
      </c>
      <c r="C817" s="2">
        <f t="shared" si="16"/>
        <v>4.6652977412731005</v>
      </c>
      <c r="D817" s="3">
        <v>89.9</v>
      </c>
      <c r="E817" s="2">
        <v>11.7</v>
      </c>
    </row>
    <row r="818" spans="1:5">
      <c r="A818" s="1">
        <v>37580</v>
      </c>
      <c r="B818" s="1">
        <v>39082</v>
      </c>
      <c r="C818" s="2">
        <f t="shared" si="16"/>
        <v>4.1122518822724166</v>
      </c>
      <c r="D818" s="3">
        <v>90</v>
      </c>
      <c r="E818" s="2">
        <v>11.1</v>
      </c>
    </row>
    <row r="819" spans="1:5">
      <c r="A819" s="1">
        <v>36945</v>
      </c>
      <c r="B819" s="1">
        <v>39082</v>
      </c>
      <c r="C819" s="2">
        <f t="shared" si="16"/>
        <v>5.8507871321013001</v>
      </c>
      <c r="D819" s="3">
        <v>90.1</v>
      </c>
      <c r="E819" s="2">
        <v>12.3</v>
      </c>
    </row>
    <row r="820" spans="1:5">
      <c r="A820" s="1">
        <v>37038</v>
      </c>
      <c r="B820" s="1">
        <v>39082</v>
      </c>
      <c r="C820" s="2">
        <f t="shared" si="16"/>
        <v>5.5961670088980151</v>
      </c>
      <c r="D820" s="3">
        <v>90.1</v>
      </c>
      <c r="E820" s="2">
        <v>11.6</v>
      </c>
    </row>
    <row r="821" spans="1:5">
      <c r="A821" s="1">
        <v>37322</v>
      </c>
      <c r="B821" s="1">
        <v>39082</v>
      </c>
      <c r="C821" s="2">
        <f t="shared" si="16"/>
        <v>4.8186173853524981</v>
      </c>
      <c r="D821" s="3">
        <v>90.2</v>
      </c>
      <c r="E821" s="2">
        <v>11.5</v>
      </c>
    </row>
    <row r="822" spans="1:5">
      <c r="A822" s="1">
        <v>37139</v>
      </c>
      <c r="B822" s="1">
        <v>39082</v>
      </c>
      <c r="C822" s="2">
        <f t="shared" si="16"/>
        <v>5.3196440793976727</v>
      </c>
      <c r="D822" s="3">
        <v>90.2</v>
      </c>
      <c r="E822" s="2">
        <v>11.8</v>
      </c>
    </row>
    <row r="823" spans="1:5">
      <c r="A823" s="1">
        <v>36973</v>
      </c>
      <c r="B823" s="1">
        <v>39082</v>
      </c>
      <c r="C823" s="2">
        <f t="shared" si="16"/>
        <v>5.7741273100616013</v>
      </c>
      <c r="D823" s="3">
        <v>90.2</v>
      </c>
      <c r="E823" s="2">
        <v>12.4</v>
      </c>
    </row>
    <row r="824" spans="1:5">
      <c r="A824" s="1">
        <v>38032</v>
      </c>
      <c r="B824" s="1">
        <v>39082</v>
      </c>
      <c r="C824" s="2">
        <f t="shared" si="16"/>
        <v>2.8747433264887063</v>
      </c>
      <c r="D824" s="3">
        <v>90.3</v>
      </c>
      <c r="E824" s="2">
        <v>12.5</v>
      </c>
    </row>
    <row r="825" spans="1:5">
      <c r="A825" s="1">
        <v>37419</v>
      </c>
      <c r="B825" s="1">
        <v>39082</v>
      </c>
      <c r="C825" s="2">
        <f t="shared" si="16"/>
        <v>4.5530458590006848</v>
      </c>
      <c r="D825" s="3">
        <v>90.3</v>
      </c>
      <c r="E825" s="2">
        <v>11.2</v>
      </c>
    </row>
    <row r="826" spans="1:5">
      <c r="A826" s="1">
        <v>38226</v>
      </c>
      <c r="B826" s="1">
        <v>39082</v>
      </c>
      <c r="C826" s="2">
        <f t="shared" si="16"/>
        <v>2.3436002737850785</v>
      </c>
      <c r="D826" s="3">
        <v>90.4</v>
      </c>
      <c r="E826" s="2">
        <v>11.9</v>
      </c>
    </row>
    <row r="827" spans="1:5">
      <c r="A827" s="1">
        <v>38101</v>
      </c>
      <c r="B827" s="1">
        <v>39082</v>
      </c>
      <c r="C827" s="2">
        <f t="shared" si="16"/>
        <v>2.6858316221765914</v>
      </c>
      <c r="D827" s="3">
        <v>90.4</v>
      </c>
      <c r="E827" s="2">
        <v>12.5</v>
      </c>
    </row>
    <row r="828" spans="1:5">
      <c r="A828" s="1">
        <v>37412</v>
      </c>
      <c r="B828" s="1">
        <v>39082</v>
      </c>
      <c r="C828" s="2">
        <f t="shared" si="16"/>
        <v>4.5722108145106093</v>
      </c>
      <c r="D828" s="3">
        <v>90.5</v>
      </c>
      <c r="E828" s="2">
        <v>11.7</v>
      </c>
    </row>
    <row r="829" spans="1:5">
      <c r="A829" s="1">
        <v>37257</v>
      </c>
      <c r="B829" s="1">
        <v>39082</v>
      </c>
      <c r="C829" s="2">
        <f t="shared" si="16"/>
        <v>4.9965776865160851</v>
      </c>
      <c r="D829" s="3">
        <v>90.6</v>
      </c>
      <c r="E829" s="2">
        <v>12.9</v>
      </c>
    </row>
    <row r="830" spans="1:5">
      <c r="A830" s="1">
        <v>37338</v>
      </c>
      <c r="B830" s="1">
        <v>39082</v>
      </c>
      <c r="C830" s="2">
        <f t="shared" si="16"/>
        <v>4.774811772758385</v>
      </c>
      <c r="D830" s="3">
        <v>90.7</v>
      </c>
      <c r="E830" s="2">
        <v>11.3</v>
      </c>
    </row>
    <row r="831" spans="1:5">
      <c r="A831" s="1">
        <v>37309</v>
      </c>
      <c r="B831" s="1">
        <v>39082</v>
      </c>
      <c r="C831" s="2">
        <f t="shared" si="16"/>
        <v>4.8542094455852158</v>
      </c>
      <c r="D831" s="3">
        <v>90.9</v>
      </c>
      <c r="E831" s="2">
        <v>12.7</v>
      </c>
    </row>
    <row r="832" spans="1:5">
      <c r="A832" s="1">
        <v>38179</v>
      </c>
      <c r="B832" s="1">
        <v>39082</v>
      </c>
      <c r="C832" s="2">
        <f t="shared" si="16"/>
        <v>2.4722792607802875</v>
      </c>
      <c r="D832" s="3">
        <v>90.9</v>
      </c>
      <c r="E832" s="2">
        <v>12.5</v>
      </c>
    </row>
    <row r="833" spans="1:5">
      <c r="A833" s="1">
        <v>37076</v>
      </c>
      <c r="B833" s="1">
        <v>39082</v>
      </c>
      <c r="C833" s="2">
        <f t="shared" si="16"/>
        <v>5.4921286789869956</v>
      </c>
      <c r="D833" s="3">
        <v>91</v>
      </c>
      <c r="E833" s="2">
        <v>12.5</v>
      </c>
    </row>
    <row r="834" spans="1:5">
      <c r="A834" s="1">
        <v>38297</v>
      </c>
      <c r="B834" s="1">
        <v>39082</v>
      </c>
      <c r="C834" s="2">
        <f t="shared" si="16"/>
        <v>2.1492128678986995</v>
      </c>
      <c r="D834" s="3">
        <v>91</v>
      </c>
      <c r="E834" s="2">
        <v>14</v>
      </c>
    </row>
    <row r="835" spans="1:5">
      <c r="A835" s="1">
        <v>38313</v>
      </c>
      <c r="B835" s="1">
        <v>39082</v>
      </c>
      <c r="C835" s="2">
        <f t="shared" ref="C835:C898" si="17">(B835-A835)/365.25</f>
        <v>2.1054072553045859</v>
      </c>
      <c r="D835" s="3">
        <v>91</v>
      </c>
      <c r="E835" s="2">
        <v>12.4</v>
      </c>
    </row>
    <row r="836" spans="1:5">
      <c r="A836" s="1">
        <v>37154</v>
      </c>
      <c r="B836" s="1">
        <v>39082</v>
      </c>
      <c r="C836" s="2">
        <f t="shared" si="17"/>
        <v>5.2785763175906917</v>
      </c>
      <c r="D836" s="3">
        <v>91.1</v>
      </c>
      <c r="E836" s="2">
        <v>11.8</v>
      </c>
    </row>
    <row r="837" spans="1:5">
      <c r="A837" s="1">
        <v>37520</v>
      </c>
      <c r="B837" s="1">
        <v>39082</v>
      </c>
      <c r="C837" s="2">
        <f t="shared" si="17"/>
        <v>4.2765229295003424</v>
      </c>
      <c r="D837" s="3">
        <v>91.2</v>
      </c>
      <c r="E837" s="2">
        <v>13.3</v>
      </c>
    </row>
    <row r="838" spans="1:5">
      <c r="A838" s="1">
        <v>37449</v>
      </c>
      <c r="B838" s="1">
        <v>39082</v>
      </c>
      <c r="C838" s="2">
        <f t="shared" si="17"/>
        <v>4.470910335386721</v>
      </c>
      <c r="D838" s="3">
        <v>91.2</v>
      </c>
      <c r="E838" s="2">
        <v>11.6</v>
      </c>
    </row>
    <row r="839" spans="1:5">
      <c r="A839" s="1">
        <v>38335</v>
      </c>
      <c r="B839" s="1">
        <v>39082</v>
      </c>
      <c r="C839" s="2">
        <f t="shared" si="17"/>
        <v>2.0451745379876796</v>
      </c>
      <c r="D839" s="3">
        <v>91.2</v>
      </c>
      <c r="E839" s="2">
        <v>12.2</v>
      </c>
    </row>
    <row r="840" spans="1:5">
      <c r="A840" s="1">
        <v>38032</v>
      </c>
      <c r="B840" s="1">
        <v>39082</v>
      </c>
      <c r="C840" s="2">
        <f t="shared" si="17"/>
        <v>2.8747433264887063</v>
      </c>
      <c r="D840" s="3">
        <v>91.2</v>
      </c>
      <c r="E840" s="2">
        <v>11.3</v>
      </c>
    </row>
    <row r="841" spans="1:5">
      <c r="A841" s="1">
        <v>36875</v>
      </c>
      <c r="B841" s="1">
        <v>39082</v>
      </c>
      <c r="C841" s="2">
        <f t="shared" si="17"/>
        <v>6.0424366872005475</v>
      </c>
      <c r="D841" s="3">
        <v>91.2</v>
      </c>
      <c r="E841" s="2">
        <v>10.8</v>
      </c>
    </row>
    <row r="842" spans="1:5">
      <c r="A842" s="1">
        <v>37118</v>
      </c>
      <c r="B842" s="1">
        <v>39082</v>
      </c>
      <c r="C842" s="2">
        <f t="shared" si="17"/>
        <v>5.377138945927447</v>
      </c>
      <c r="D842" s="3">
        <v>91.2</v>
      </c>
      <c r="E842" s="2">
        <v>12.6</v>
      </c>
    </row>
    <row r="843" spans="1:5">
      <c r="A843" s="1">
        <v>37434</v>
      </c>
      <c r="B843" s="1">
        <v>39082</v>
      </c>
      <c r="C843" s="2">
        <f t="shared" si="17"/>
        <v>4.5119780971937029</v>
      </c>
      <c r="D843" s="3">
        <v>91.3</v>
      </c>
      <c r="E843" s="2">
        <v>11.9</v>
      </c>
    </row>
    <row r="844" spans="1:5">
      <c r="A844" s="1">
        <v>38213</v>
      </c>
      <c r="B844" s="1">
        <v>39082</v>
      </c>
      <c r="C844" s="2">
        <f t="shared" si="17"/>
        <v>2.3791923340177958</v>
      </c>
      <c r="D844" s="3">
        <v>91.4</v>
      </c>
      <c r="E844" s="2">
        <v>12.9</v>
      </c>
    </row>
    <row r="845" spans="1:5">
      <c r="A845" s="1">
        <v>37036</v>
      </c>
      <c r="B845" s="1">
        <v>39082</v>
      </c>
      <c r="C845" s="2">
        <f t="shared" si="17"/>
        <v>5.6016427104722792</v>
      </c>
      <c r="D845" s="3">
        <v>91.5</v>
      </c>
      <c r="E845" s="2">
        <v>13</v>
      </c>
    </row>
    <row r="846" spans="1:5">
      <c r="A846" s="1">
        <v>38299</v>
      </c>
      <c r="B846" s="1">
        <v>39082</v>
      </c>
      <c r="C846" s="2">
        <f t="shared" si="17"/>
        <v>2.1437371663244353</v>
      </c>
      <c r="D846" s="3">
        <v>91.5</v>
      </c>
      <c r="E846" s="2">
        <v>12.7</v>
      </c>
    </row>
    <row r="847" spans="1:5">
      <c r="A847" s="1">
        <v>36978</v>
      </c>
      <c r="B847" s="1">
        <v>39082</v>
      </c>
      <c r="C847" s="2">
        <f t="shared" si="17"/>
        <v>5.760438056125941</v>
      </c>
      <c r="D847" s="3">
        <v>91.6</v>
      </c>
      <c r="E847" s="2">
        <v>12.3</v>
      </c>
    </row>
    <row r="848" spans="1:5">
      <c r="A848" s="1">
        <v>37035</v>
      </c>
      <c r="B848" s="1">
        <v>39082</v>
      </c>
      <c r="C848" s="2">
        <f t="shared" si="17"/>
        <v>5.6043805612594113</v>
      </c>
      <c r="D848" s="3">
        <v>91.6</v>
      </c>
      <c r="E848" s="2">
        <v>11.9</v>
      </c>
    </row>
    <row r="849" spans="1:5">
      <c r="A849" s="1">
        <v>38303</v>
      </c>
      <c r="B849" s="1">
        <v>39082</v>
      </c>
      <c r="C849" s="2">
        <f t="shared" si="17"/>
        <v>2.1327857631759071</v>
      </c>
      <c r="D849" s="3">
        <v>91.6</v>
      </c>
      <c r="E849" s="2">
        <v>10.5</v>
      </c>
    </row>
    <row r="850" spans="1:5">
      <c r="A850" s="1">
        <v>38047</v>
      </c>
      <c r="B850" s="1">
        <v>39082</v>
      </c>
      <c r="C850" s="2">
        <f t="shared" si="17"/>
        <v>2.8336755646817249</v>
      </c>
      <c r="D850" s="3">
        <v>91.6</v>
      </c>
      <c r="E850" s="2">
        <v>13.3</v>
      </c>
    </row>
    <row r="851" spans="1:5">
      <c r="A851" s="1">
        <v>37064</v>
      </c>
      <c r="B851" s="1">
        <v>39082</v>
      </c>
      <c r="C851" s="2">
        <f t="shared" si="17"/>
        <v>5.5249828884325805</v>
      </c>
      <c r="D851" s="3">
        <v>91.7</v>
      </c>
      <c r="E851" s="2">
        <v>13.7</v>
      </c>
    </row>
    <row r="852" spans="1:5">
      <c r="A852" s="1">
        <v>38081</v>
      </c>
      <c r="B852" s="1">
        <v>39082</v>
      </c>
      <c r="C852" s="2">
        <f t="shared" si="17"/>
        <v>2.7405886379192332</v>
      </c>
      <c r="D852" s="3">
        <v>91.7</v>
      </c>
      <c r="E852" s="2">
        <v>13.3</v>
      </c>
    </row>
    <row r="853" spans="1:5">
      <c r="A853" s="1">
        <v>38045</v>
      </c>
      <c r="B853" s="1">
        <v>39082</v>
      </c>
      <c r="C853" s="2">
        <f t="shared" si="17"/>
        <v>2.839151266255989</v>
      </c>
      <c r="D853" s="3">
        <v>91.7</v>
      </c>
      <c r="E853" s="2">
        <v>14.1</v>
      </c>
    </row>
    <row r="854" spans="1:5">
      <c r="A854" s="1">
        <v>38344</v>
      </c>
      <c r="B854" s="1">
        <v>39082</v>
      </c>
      <c r="C854" s="2">
        <f t="shared" si="17"/>
        <v>2.020533880903491</v>
      </c>
      <c r="D854" s="3">
        <v>91.8</v>
      </c>
      <c r="E854" s="2">
        <v>12.2</v>
      </c>
    </row>
    <row r="855" spans="1:5">
      <c r="A855" s="1">
        <v>37270</v>
      </c>
      <c r="B855" s="1">
        <v>39082</v>
      </c>
      <c r="C855" s="2">
        <f t="shared" si="17"/>
        <v>4.9609856262833674</v>
      </c>
      <c r="D855" s="3">
        <v>91.8</v>
      </c>
      <c r="E855" s="2">
        <v>12.4</v>
      </c>
    </row>
    <row r="856" spans="1:5">
      <c r="A856" s="1">
        <v>37030</v>
      </c>
      <c r="B856" s="1">
        <v>39082</v>
      </c>
      <c r="C856" s="2">
        <f t="shared" si="17"/>
        <v>5.6180698151950716</v>
      </c>
      <c r="D856" s="3">
        <v>91.9</v>
      </c>
      <c r="E856" s="2">
        <v>13.4</v>
      </c>
    </row>
    <row r="857" spans="1:5">
      <c r="A857" s="1">
        <v>38047</v>
      </c>
      <c r="B857" s="1">
        <v>39082</v>
      </c>
      <c r="C857" s="2">
        <f t="shared" si="17"/>
        <v>2.8336755646817249</v>
      </c>
      <c r="D857" s="3">
        <v>91.9</v>
      </c>
      <c r="E857" s="2">
        <v>13.3</v>
      </c>
    </row>
    <row r="858" spans="1:5">
      <c r="A858" s="1">
        <v>37070</v>
      </c>
      <c r="B858" s="1">
        <v>39082</v>
      </c>
      <c r="C858" s="2">
        <f t="shared" si="17"/>
        <v>5.508555783709788</v>
      </c>
      <c r="D858" s="3">
        <v>91.9</v>
      </c>
      <c r="E858" s="2">
        <v>12.8</v>
      </c>
    </row>
    <row r="859" spans="1:5">
      <c r="A859" s="1">
        <v>36800</v>
      </c>
      <c r="B859" s="1">
        <v>39082</v>
      </c>
      <c r="C859" s="2">
        <f t="shared" si="17"/>
        <v>6.2477754962354553</v>
      </c>
      <c r="D859" s="3">
        <v>91.9</v>
      </c>
      <c r="E859" s="2">
        <v>15.1</v>
      </c>
    </row>
    <row r="860" spans="1:5">
      <c r="A860" s="1">
        <v>36968</v>
      </c>
      <c r="B860" s="1">
        <v>39082</v>
      </c>
      <c r="C860" s="2">
        <f t="shared" si="17"/>
        <v>5.7878165639972625</v>
      </c>
      <c r="D860" s="3">
        <v>92</v>
      </c>
      <c r="E860" s="2">
        <v>11.6</v>
      </c>
    </row>
    <row r="861" spans="1:5">
      <c r="A861" s="1">
        <v>36771</v>
      </c>
      <c r="B861" s="1">
        <v>39082</v>
      </c>
      <c r="C861" s="2">
        <f t="shared" si="17"/>
        <v>6.3271731690622861</v>
      </c>
      <c r="D861" s="3">
        <v>92</v>
      </c>
      <c r="E861" s="2">
        <v>11.1</v>
      </c>
    </row>
    <row r="862" spans="1:5">
      <c r="A862" s="1">
        <v>37041</v>
      </c>
      <c r="B862" s="1">
        <v>39082</v>
      </c>
      <c r="C862" s="2">
        <f t="shared" si="17"/>
        <v>5.5879534565366189</v>
      </c>
      <c r="D862" s="3">
        <v>92.1</v>
      </c>
      <c r="E862" s="2">
        <v>12.1</v>
      </c>
    </row>
    <row r="863" spans="1:5">
      <c r="A863" s="1">
        <v>37008</v>
      </c>
      <c r="B863" s="1">
        <v>39082</v>
      </c>
      <c r="C863" s="2">
        <f t="shared" si="17"/>
        <v>5.678302532511978</v>
      </c>
      <c r="D863" s="3">
        <v>92.1</v>
      </c>
      <c r="E863" s="2">
        <v>12.1</v>
      </c>
    </row>
    <row r="864" spans="1:5">
      <c r="A864" s="1">
        <v>37787</v>
      </c>
      <c r="B864" s="1">
        <v>39082</v>
      </c>
      <c r="C864" s="2">
        <f t="shared" si="17"/>
        <v>3.5455167693360714</v>
      </c>
      <c r="D864" s="3">
        <v>92.1</v>
      </c>
      <c r="E864" s="2">
        <v>12.1</v>
      </c>
    </row>
    <row r="865" spans="1:5">
      <c r="A865" s="1">
        <v>38233</v>
      </c>
      <c r="B865" s="1">
        <v>39082</v>
      </c>
      <c r="C865" s="2">
        <f t="shared" si="17"/>
        <v>2.324435318275154</v>
      </c>
      <c r="D865" s="3">
        <v>92.1</v>
      </c>
      <c r="E865" s="2">
        <v>13.2</v>
      </c>
    </row>
    <row r="866" spans="1:5">
      <c r="A866" s="1">
        <v>37126</v>
      </c>
      <c r="B866" s="1">
        <v>39082</v>
      </c>
      <c r="C866" s="2">
        <f t="shared" si="17"/>
        <v>5.3552361396303905</v>
      </c>
      <c r="D866" s="3">
        <v>92.2</v>
      </c>
      <c r="E866" s="2">
        <v>12.5</v>
      </c>
    </row>
    <row r="867" spans="1:5">
      <c r="A867" s="1">
        <v>38111</v>
      </c>
      <c r="B867" s="1">
        <v>39082</v>
      </c>
      <c r="C867" s="2">
        <f t="shared" si="17"/>
        <v>2.6584531143052703</v>
      </c>
      <c r="D867" s="3">
        <v>92.2</v>
      </c>
      <c r="E867" s="2">
        <v>12</v>
      </c>
    </row>
    <row r="868" spans="1:5">
      <c r="A868" s="1">
        <v>36982</v>
      </c>
      <c r="B868" s="1">
        <v>39082</v>
      </c>
      <c r="C868" s="2">
        <f t="shared" si="17"/>
        <v>5.7494866529774127</v>
      </c>
      <c r="D868" s="3">
        <v>92.2</v>
      </c>
      <c r="E868" s="2">
        <v>13</v>
      </c>
    </row>
    <row r="869" spans="1:5">
      <c r="A869" s="1">
        <v>37067</v>
      </c>
      <c r="B869" s="1">
        <v>39082</v>
      </c>
      <c r="C869" s="2">
        <f t="shared" si="17"/>
        <v>5.5167693360711842</v>
      </c>
      <c r="D869" s="3">
        <v>92.3</v>
      </c>
      <c r="E869" s="2">
        <v>14</v>
      </c>
    </row>
    <row r="870" spans="1:5">
      <c r="A870" s="1">
        <v>36740</v>
      </c>
      <c r="B870" s="1">
        <v>39082</v>
      </c>
      <c r="C870" s="2">
        <f t="shared" si="17"/>
        <v>6.4120465434633811</v>
      </c>
      <c r="D870" s="3">
        <v>92.3</v>
      </c>
      <c r="E870" s="2">
        <v>11.2</v>
      </c>
    </row>
    <row r="871" spans="1:5">
      <c r="A871" s="1">
        <v>38092</v>
      </c>
      <c r="B871" s="1">
        <v>39082</v>
      </c>
      <c r="C871" s="2">
        <f t="shared" si="17"/>
        <v>2.7104722792607805</v>
      </c>
      <c r="D871" s="3">
        <v>92.3</v>
      </c>
      <c r="E871" s="2">
        <v>13.2</v>
      </c>
    </row>
    <row r="872" spans="1:5">
      <c r="A872" s="1">
        <v>36924</v>
      </c>
      <c r="B872" s="1">
        <v>39082</v>
      </c>
      <c r="C872" s="2">
        <f t="shared" si="17"/>
        <v>5.9082819986310744</v>
      </c>
      <c r="D872" s="3">
        <v>92.3</v>
      </c>
      <c r="E872" s="2">
        <v>10.8</v>
      </c>
    </row>
    <row r="873" spans="1:5">
      <c r="A873" s="1">
        <v>38071</v>
      </c>
      <c r="B873" s="1">
        <v>39082</v>
      </c>
      <c r="C873" s="2">
        <f t="shared" si="17"/>
        <v>2.7679671457905544</v>
      </c>
      <c r="D873" s="3">
        <v>92.4</v>
      </c>
      <c r="E873" s="2">
        <v>14.1</v>
      </c>
    </row>
    <row r="874" spans="1:5">
      <c r="A874" s="1">
        <v>38264</v>
      </c>
      <c r="B874" s="1">
        <v>39082</v>
      </c>
      <c r="C874" s="2">
        <f t="shared" si="17"/>
        <v>2.239561943874059</v>
      </c>
      <c r="D874" s="3">
        <v>92.4</v>
      </c>
      <c r="E874" s="2">
        <v>12.6</v>
      </c>
    </row>
    <row r="875" spans="1:5">
      <c r="A875" s="1">
        <v>38261</v>
      </c>
      <c r="B875" s="1">
        <v>39082</v>
      </c>
      <c r="C875" s="2">
        <f t="shared" si="17"/>
        <v>2.2477754962354553</v>
      </c>
      <c r="D875" s="3">
        <v>92.4</v>
      </c>
      <c r="E875" s="2">
        <v>13.4</v>
      </c>
    </row>
    <row r="876" spans="1:5">
      <c r="A876" s="1">
        <v>37206</v>
      </c>
      <c r="B876" s="1">
        <v>39082</v>
      </c>
      <c r="C876" s="2">
        <f t="shared" si="17"/>
        <v>5.1362080766598224</v>
      </c>
      <c r="D876" s="3">
        <v>92.4</v>
      </c>
      <c r="E876" s="2">
        <v>12.6</v>
      </c>
    </row>
    <row r="877" spans="1:5">
      <c r="A877" s="1">
        <v>37018</v>
      </c>
      <c r="B877" s="1">
        <v>39082</v>
      </c>
      <c r="C877" s="2">
        <f t="shared" si="17"/>
        <v>5.6509240246406574</v>
      </c>
      <c r="D877" s="3">
        <v>92.4</v>
      </c>
      <c r="E877" s="2">
        <v>13.2</v>
      </c>
    </row>
    <row r="878" spans="1:5">
      <c r="A878" s="1">
        <v>36722</v>
      </c>
      <c r="B878" s="1">
        <v>39082</v>
      </c>
      <c r="C878" s="2">
        <f t="shared" si="17"/>
        <v>6.4613278576317592</v>
      </c>
      <c r="D878" s="3">
        <v>92.5</v>
      </c>
      <c r="E878" s="2">
        <v>13</v>
      </c>
    </row>
    <row r="879" spans="1:5">
      <c r="A879" s="1">
        <v>37494</v>
      </c>
      <c r="B879" s="1">
        <v>39082</v>
      </c>
      <c r="C879" s="2">
        <f t="shared" si="17"/>
        <v>4.3477070499657771</v>
      </c>
      <c r="D879" s="3">
        <v>92.5</v>
      </c>
      <c r="E879" s="2">
        <v>11.1</v>
      </c>
    </row>
    <row r="880" spans="1:5">
      <c r="A880" s="1">
        <v>36585</v>
      </c>
      <c r="B880" s="1">
        <v>39082</v>
      </c>
      <c r="C880" s="2">
        <f t="shared" si="17"/>
        <v>6.8364134154688569</v>
      </c>
      <c r="D880" s="3">
        <v>92.5</v>
      </c>
      <c r="E880" s="2">
        <v>11.9</v>
      </c>
    </row>
    <row r="881" spans="1:5">
      <c r="A881" s="1">
        <v>38175</v>
      </c>
      <c r="B881" s="1">
        <v>39082</v>
      </c>
      <c r="C881" s="2">
        <f t="shared" si="17"/>
        <v>2.4832306639288158</v>
      </c>
      <c r="D881" s="3">
        <v>92.5</v>
      </c>
      <c r="E881" s="2">
        <v>12.7</v>
      </c>
    </row>
    <row r="882" spans="1:5">
      <c r="A882" s="1">
        <v>38280</v>
      </c>
      <c r="B882" s="1">
        <v>39082</v>
      </c>
      <c r="C882" s="2">
        <f t="shared" si="17"/>
        <v>2.1957563312799451</v>
      </c>
      <c r="D882" s="3">
        <v>92.6</v>
      </c>
      <c r="E882" s="2">
        <v>14.2</v>
      </c>
    </row>
    <row r="883" spans="1:5">
      <c r="A883" s="1">
        <v>37073</v>
      </c>
      <c r="B883" s="1">
        <v>39082</v>
      </c>
      <c r="C883" s="2">
        <f t="shared" si="17"/>
        <v>5.5003422313483918</v>
      </c>
      <c r="D883" s="3">
        <v>92.6</v>
      </c>
      <c r="E883" s="2">
        <v>12.2</v>
      </c>
    </row>
    <row r="884" spans="1:5">
      <c r="A884" s="1">
        <v>37988</v>
      </c>
      <c r="B884" s="1">
        <v>39082</v>
      </c>
      <c r="C884" s="2">
        <f t="shared" si="17"/>
        <v>2.9952087611225187</v>
      </c>
      <c r="D884" s="3">
        <v>92.6</v>
      </c>
      <c r="E884" s="2">
        <v>13.2</v>
      </c>
    </row>
    <row r="885" spans="1:5">
      <c r="A885" s="1">
        <v>38255</v>
      </c>
      <c r="B885" s="1">
        <v>39082</v>
      </c>
      <c r="C885" s="2">
        <f t="shared" si="17"/>
        <v>2.2642026009582477</v>
      </c>
      <c r="D885" s="3">
        <v>92.6</v>
      </c>
      <c r="E885" s="2">
        <v>12.5</v>
      </c>
    </row>
    <row r="886" spans="1:5">
      <c r="A886" s="1">
        <v>37154</v>
      </c>
      <c r="B886" s="1">
        <v>39082</v>
      </c>
      <c r="C886" s="2">
        <f t="shared" si="17"/>
        <v>5.2785763175906917</v>
      </c>
      <c r="D886" s="3">
        <v>92.6</v>
      </c>
      <c r="E886" s="2">
        <v>13.4</v>
      </c>
    </row>
    <row r="887" spans="1:5">
      <c r="A887" s="1">
        <v>37163</v>
      </c>
      <c r="B887" s="1">
        <v>39082</v>
      </c>
      <c r="C887" s="2">
        <f t="shared" si="17"/>
        <v>5.2539356605065022</v>
      </c>
      <c r="D887" s="3">
        <v>92.7</v>
      </c>
      <c r="E887" s="2">
        <v>13</v>
      </c>
    </row>
    <row r="888" spans="1:5">
      <c r="A888" s="1">
        <v>36713</v>
      </c>
      <c r="B888" s="1">
        <v>39082</v>
      </c>
      <c r="C888" s="2">
        <f t="shared" si="17"/>
        <v>6.4859685147159478</v>
      </c>
      <c r="D888" s="3">
        <v>92.7</v>
      </c>
      <c r="E888" s="2">
        <v>10.7</v>
      </c>
    </row>
    <row r="889" spans="1:5">
      <c r="A889" s="1">
        <v>38118</v>
      </c>
      <c r="B889" s="1">
        <v>39082</v>
      </c>
      <c r="C889" s="2">
        <f t="shared" si="17"/>
        <v>2.6392881587953458</v>
      </c>
      <c r="D889" s="3">
        <v>92.7</v>
      </c>
      <c r="E889" s="2">
        <v>12.9</v>
      </c>
    </row>
    <row r="890" spans="1:5">
      <c r="A890" s="1">
        <v>38335</v>
      </c>
      <c r="B890" s="1">
        <v>39082</v>
      </c>
      <c r="C890" s="2">
        <f t="shared" si="17"/>
        <v>2.0451745379876796</v>
      </c>
      <c r="D890" s="3">
        <v>92.7</v>
      </c>
      <c r="E890" s="2">
        <v>14</v>
      </c>
    </row>
    <row r="891" spans="1:5">
      <c r="A891" s="1">
        <v>37049</v>
      </c>
      <c r="B891" s="1">
        <v>39082</v>
      </c>
      <c r="C891" s="2">
        <f t="shared" si="17"/>
        <v>5.5660506502395624</v>
      </c>
      <c r="D891" s="3">
        <v>92.7</v>
      </c>
      <c r="E891" s="2">
        <v>13.8</v>
      </c>
    </row>
    <row r="892" spans="1:5">
      <c r="A892" s="1">
        <v>36841</v>
      </c>
      <c r="B892" s="1">
        <v>39082</v>
      </c>
      <c r="C892" s="2">
        <f t="shared" si="17"/>
        <v>6.1355236139630387</v>
      </c>
      <c r="D892" s="3">
        <v>92.9</v>
      </c>
      <c r="E892" s="2">
        <v>14.2</v>
      </c>
    </row>
    <row r="893" spans="1:5">
      <c r="A893" s="1">
        <v>37127</v>
      </c>
      <c r="B893" s="1">
        <v>39082</v>
      </c>
      <c r="C893" s="2">
        <f t="shared" si="17"/>
        <v>5.3524982888432584</v>
      </c>
      <c r="D893" s="3">
        <v>93</v>
      </c>
      <c r="E893" s="2">
        <v>13.7</v>
      </c>
    </row>
    <row r="894" spans="1:5">
      <c r="A894" s="1">
        <v>37297</v>
      </c>
      <c r="B894" s="1">
        <v>39082</v>
      </c>
      <c r="C894" s="2">
        <f t="shared" si="17"/>
        <v>4.8870636550308006</v>
      </c>
      <c r="D894" s="3">
        <v>93</v>
      </c>
      <c r="E894" s="2">
        <v>13.3</v>
      </c>
    </row>
    <row r="895" spans="1:5">
      <c r="A895" s="1">
        <v>36676</v>
      </c>
      <c r="B895" s="1">
        <v>39082</v>
      </c>
      <c r="C895" s="2">
        <f t="shared" si="17"/>
        <v>6.5872689938398361</v>
      </c>
      <c r="D895" s="3">
        <v>93</v>
      </c>
      <c r="E895" s="2">
        <v>12.5</v>
      </c>
    </row>
    <row r="896" spans="1:5">
      <c r="A896" s="1">
        <v>37292</v>
      </c>
      <c r="B896" s="1">
        <v>39082</v>
      </c>
      <c r="C896" s="2">
        <f t="shared" si="17"/>
        <v>4.900752908966461</v>
      </c>
      <c r="D896" s="3">
        <v>93.1</v>
      </c>
      <c r="E896" s="2">
        <v>13.1</v>
      </c>
    </row>
    <row r="897" spans="1:5">
      <c r="A897" s="1">
        <v>38348</v>
      </c>
      <c r="B897" s="1">
        <v>39082</v>
      </c>
      <c r="C897" s="2">
        <f t="shared" si="17"/>
        <v>2.0095824777549622</v>
      </c>
      <c r="D897" s="3">
        <v>93.1</v>
      </c>
      <c r="E897" s="2">
        <v>13.9</v>
      </c>
    </row>
    <row r="898" spans="1:5">
      <c r="A898" s="1">
        <v>36682</v>
      </c>
      <c r="B898" s="1">
        <v>39082</v>
      </c>
      <c r="C898" s="2">
        <f t="shared" si="17"/>
        <v>6.5708418891170428</v>
      </c>
      <c r="D898" s="3">
        <v>93.1</v>
      </c>
      <c r="E898" s="2">
        <v>12.3</v>
      </c>
    </row>
    <row r="899" spans="1:5">
      <c r="A899" s="1">
        <v>37155</v>
      </c>
      <c r="B899" s="1">
        <v>39082</v>
      </c>
      <c r="C899" s="2">
        <f t="shared" ref="C899:C962" si="18">(B899-A899)/365.25</f>
        <v>5.2758384668035596</v>
      </c>
      <c r="D899" s="3">
        <v>93.2</v>
      </c>
      <c r="E899" s="2">
        <v>12.6</v>
      </c>
    </row>
    <row r="900" spans="1:5">
      <c r="A900" s="1">
        <v>37183</v>
      </c>
      <c r="B900" s="1">
        <v>39082</v>
      </c>
      <c r="C900" s="2">
        <f t="shared" si="18"/>
        <v>5.1991786447638599</v>
      </c>
      <c r="D900" s="3">
        <v>93.3</v>
      </c>
      <c r="E900" s="2">
        <v>12.4</v>
      </c>
    </row>
    <row r="901" spans="1:5">
      <c r="A901" s="1">
        <v>37060</v>
      </c>
      <c r="B901" s="1">
        <v>39082</v>
      </c>
      <c r="C901" s="2">
        <f t="shared" si="18"/>
        <v>5.5359342915811087</v>
      </c>
      <c r="D901" s="3">
        <v>93.3</v>
      </c>
      <c r="E901" s="2">
        <v>12.9</v>
      </c>
    </row>
    <row r="902" spans="1:5">
      <c r="A902" s="1">
        <v>37144</v>
      </c>
      <c r="B902" s="1">
        <v>39082</v>
      </c>
      <c r="C902" s="2">
        <f t="shared" si="18"/>
        <v>5.3059548254620124</v>
      </c>
      <c r="D902" s="3">
        <v>93.3</v>
      </c>
      <c r="E902" s="2">
        <v>14</v>
      </c>
    </row>
    <row r="903" spans="1:5">
      <c r="A903" s="1">
        <v>38169</v>
      </c>
      <c r="B903" s="1">
        <v>39082</v>
      </c>
      <c r="C903" s="2">
        <f t="shared" si="18"/>
        <v>2.4996577686516086</v>
      </c>
      <c r="D903" s="3">
        <v>93.3</v>
      </c>
      <c r="E903" s="2">
        <v>12.8</v>
      </c>
    </row>
    <row r="904" spans="1:5">
      <c r="A904" s="1">
        <v>38275</v>
      </c>
      <c r="B904" s="1">
        <v>39082</v>
      </c>
      <c r="C904" s="2">
        <f t="shared" si="18"/>
        <v>2.2094455852156059</v>
      </c>
      <c r="D904" s="3">
        <v>93.3</v>
      </c>
      <c r="E904" s="2">
        <v>13.2</v>
      </c>
    </row>
    <row r="905" spans="1:5">
      <c r="A905" s="1">
        <v>37050</v>
      </c>
      <c r="B905" s="1">
        <v>39082</v>
      </c>
      <c r="C905" s="2">
        <f t="shared" si="18"/>
        <v>5.5633127994524294</v>
      </c>
      <c r="D905" s="3">
        <v>93.4</v>
      </c>
      <c r="E905" s="2">
        <v>12.2</v>
      </c>
    </row>
    <row r="906" spans="1:5">
      <c r="A906" s="1">
        <v>36897</v>
      </c>
      <c r="B906" s="1">
        <v>39082</v>
      </c>
      <c r="C906" s="2">
        <f t="shared" si="18"/>
        <v>5.9822039698836411</v>
      </c>
      <c r="D906" s="3">
        <v>93.4</v>
      </c>
      <c r="E906" s="2">
        <v>12.8</v>
      </c>
    </row>
    <row r="907" spans="1:5">
      <c r="A907" s="1">
        <v>38292</v>
      </c>
      <c r="B907" s="1">
        <v>39082</v>
      </c>
      <c r="C907" s="2">
        <f t="shared" si="18"/>
        <v>2.1629021218343598</v>
      </c>
      <c r="D907" s="3">
        <v>93.4</v>
      </c>
      <c r="E907" s="2">
        <v>13.4</v>
      </c>
    </row>
    <row r="908" spans="1:5">
      <c r="A908" s="1">
        <v>37347</v>
      </c>
      <c r="B908" s="1">
        <v>39082</v>
      </c>
      <c r="C908" s="2">
        <f t="shared" si="18"/>
        <v>4.7501711156741955</v>
      </c>
      <c r="D908" s="3">
        <v>93.4</v>
      </c>
      <c r="E908" s="2">
        <v>12.4</v>
      </c>
    </row>
    <row r="909" spans="1:5">
      <c r="A909" s="1">
        <v>37012</v>
      </c>
      <c r="B909" s="1">
        <v>39082</v>
      </c>
      <c r="C909" s="2">
        <f t="shared" si="18"/>
        <v>5.6673511293634498</v>
      </c>
      <c r="D909" s="3">
        <v>93.5</v>
      </c>
      <c r="E909" s="2">
        <v>13.3</v>
      </c>
    </row>
    <row r="910" spans="1:5">
      <c r="A910" s="1">
        <v>37313</v>
      </c>
      <c r="B910" s="1">
        <v>39082</v>
      </c>
      <c r="C910" s="2">
        <f t="shared" si="18"/>
        <v>4.8432580424366876</v>
      </c>
      <c r="D910" s="3">
        <v>93.5</v>
      </c>
      <c r="E910" s="2">
        <v>12.6</v>
      </c>
    </row>
    <row r="911" spans="1:5">
      <c r="A911" s="1">
        <v>38320</v>
      </c>
      <c r="B911" s="1">
        <v>39082</v>
      </c>
      <c r="C911" s="2">
        <f t="shared" si="18"/>
        <v>2.086242299794661</v>
      </c>
      <c r="D911" s="3">
        <v>93.6</v>
      </c>
      <c r="E911" s="2">
        <v>10.8</v>
      </c>
    </row>
    <row r="912" spans="1:5">
      <c r="A912" s="1">
        <v>36771</v>
      </c>
      <c r="B912" s="1">
        <v>39082</v>
      </c>
      <c r="C912" s="2">
        <f t="shared" si="18"/>
        <v>6.3271731690622861</v>
      </c>
      <c r="D912" s="3">
        <v>93.6</v>
      </c>
      <c r="E912" s="2">
        <v>12.1</v>
      </c>
    </row>
    <row r="913" spans="1:5">
      <c r="A913" s="1">
        <v>38261</v>
      </c>
      <c r="B913" s="1">
        <v>39082</v>
      </c>
      <c r="C913" s="2">
        <f t="shared" si="18"/>
        <v>2.2477754962354553</v>
      </c>
      <c r="D913" s="3">
        <v>93.6</v>
      </c>
      <c r="E913" s="2">
        <v>12.3</v>
      </c>
    </row>
    <row r="914" spans="1:5">
      <c r="A914" s="1">
        <v>36940</v>
      </c>
      <c r="B914" s="1">
        <v>39082</v>
      </c>
      <c r="C914" s="2">
        <f t="shared" si="18"/>
        <v>5.8644763860369613</v>
      </c>
      <c r="D914" s="3">
        <v>93.7</v>
      </c>
      <c r="E914" s="2">
        <v>12.5</v>
      </c>
    </row>
    <row r="915" spans="1:5">
      <c r="A915" s="1">
        <v>38026</v>
      </c>
      <c r="B915" s="1">
        <v>39082</v>
      </c>
      <c r="C915" s="2">
        <f t="shared" si="18"/>
        <v>2.8911704312114992</v>
      </c>
      <c r="D915" s="3">
        <v>93.8</v>
      </c>
      <c r="E915" s="2">
        <v>13.9</v>
      </c>
    </row>
    <row r="916" spans="1:5">
      <c r="A916" s="1">
        <v>36942</v>
      </c>
      <c r="B916" s="1">
        <v>39082</v>
      </c>
      <c r="C916" s="2">
        <f t="shared" si="18"/>
        <v>5.8590006844626972</v>
      </c>
      <c r="D916" s="3">
        <v>93.8</v>
      </c>
      <c r="E916" s="2">
        <v>12.3</v>
      </c>
    </row>
    <row r="917" spans="1:5">
      <c r="A917" s="1">
        <v>37085</v>
      </c>
      <c r="B917" s="1">
        <v>39082</v>
      </c>
      <c r="C917" s="2">
        <f t="shared" si="18"/>
        <v>5.4674880219028061</v>
      </c>
      <c r="D917" s="3">
        <v>93.8</v>
      </c>
      <c r="E917" s="2">
        <v>11.2</v>
      </c>
    </row>
    <row r="918" spans="1:5">
      <c r="A918" s="1">
        <v>38165</v>
      </c>
      <c r="B918" s="1">
        <v>39082</v>
      </c>
      <c r="C918" s="2">
        <f t="shared" si="18"/>
        <v>2.5106091718001369</v>
      </c>
      <c r="D918" s="3">
        <v>93.9</v>
      </c>
      <c r="E918" s="2">
        <v>13.5</v>
      </c>
    </row>
    <row r="919" spans="1:5">
      <c r="A919" s="1">
        <v>38322</v>
      </c>
      <c r="B919" s="1">
        <v>39082</v>
      </c>
      <c r="C919" s="2">
        <f t="shared" si="18"/>
        <v>2.0807665982203969</v>
      </c>
      <c r="D919" s="3">
        <v>93.9</v>
      </c>
      <c r="E919" s="2">
        <v>13</v>
      </c>
    </row>
    <row r="920" spans="1:5">
      <c r="A920" s="1">
        <v>38336</v>
      </c>
      <c r="B920" s="1">
        <v>39082</v>
      </c>
      <c r="C920" s="2">
        <f t="shared" si="18"/>
        <v>2.0424366872005475</v>
      </c>
      <c r="D920" s="3">
        <v>94</v>
      </c>
      <c r="E920" s="2">
        <v>14.8</v>
      </c>
    </row>
    <row r="921" spans="1:5">
      <c r="A921" s="1">
        <v>38018</v>
      </c>
      <c r="B921" s="1">
        <v>39082</v>
      </c>
      <c r="C921" s="2">
        <f t="shared" si="18"/>
        <v>2.9130732375085557</v>
      </c>
      <c r="D921" s="3">
        <v>94</v>
      </c>
      <c r="E921" s="2">
        <v>14.2</v>
      </c>
    </row>
    <row r="922" spans="1:5">
      <c r="A922" s="1">
        <v>37107</v>
      </c>
      <c r="B922" s="1">
        <v>39082</v>
      </c>
      <c r="C922" s="2">
        <f t="shared" si="18"/>
        <v>5.4072553045858998</v>
      </c>
      <c r="D922" s="3">
        <v>94</v>
      </c>
      <c r="E922" s="2">
        <v>14</v>
      </c>
    </row>
    <row r="923" spans="1:5">
      <c r="A923" s="1">
        <v>36883</v>
      </c>
      <c r="B923" s="1">
        <v>39082</v>
      </c>
      <c r="C923" s="2">
        <f t="shared" si="18"/>
        <v>6.020533880903491</v>
      </c>
      <c r="D923" s="3">
        <v>94.1</v>
      </c>
      <c r="E923" s="2">
        <v>12.4</v>
      </c>
    </row>
    <row r="924" spans="1:5">
      <c r="A924" s="1">
        <v>37070</v>
      </c>
      <c r="B924" s="1">
        <v>39082</v>
      </c>
      <c r="C924" s="2">
        <f t="shared" si="18"/>
        <v>5.508555783709788</v>
      </c>
      <c r="D924" s="3">
        <v>94.2</v>
      </c>
      <c r="E924" s="2">
        <v>13.9</v>
      </c>
    </row>
    <row r="925" spans="1:5">
      <c r="A925" s="1">
        <v>37098</v>
      </c>
      <c r="B925" s="1">
        <v>39082</v>
      </c>
      <c r="C925" s="2">
        <f t="shared" si="18"/>
        <v>5.4318959616700893</v>
      </c>
      <c r="D925" s="3">
        <v>94.3</v>
      </c>
      <c r="E925" s="2">
        <v>13.1</v>
      </c>
    </row>
    <row r="926" spans="1:5">
      <c r="A926" s="1">
        <v>37358</v>
      </c>
      <c r="B926" s="1">
        <v>39082</v>
      </c>
      <c r="C926" s="2">
        <f t="shared" si="18"/>
        <v>4.7200547570157427</v>
      </c>
      <c r="D926" s="3">
        <v>94.3</v>
      </c>
      <c r="E926" s="2">
        <v>11.8</v>
      </c>
    </row>
    <row r="927" spans="1:5">
      <c r="A927" s="1">
        <v>37156</v>
      </c>
      <c r="B927" s="1">
        <v>39082</v>
      </c>
      <c r="C927" s="2">
        <f t="shared" si="18"/>
        <v>5.2731006160164275</v>
      </c>
      <c r="D927" s="3">
        <v>94.4</v>
      </c>
      <c r="E927" s="2">
        <v>14</v>
      </c>
    </row>
    <row r="928" spans="1:5">
      <c r="A928" s="1">
        <v>36965</v>
      </c>
      <c r="B928" s="1">
        <v>39082</v>
      </c>
      <c r="C928" s="2">
        <f t="shared" si="18"/>
        <v>5.7960301163586587</v>
      </c>
      <c r="D928" s="3">
        <v>94.4</v>
      </c>
      <c r="E928" s="2">
        <v>13</v>
      </c>
    </row>
    <row r="929" spans="1:5">
      <c r="A929" s="1">
        <v>37536</v>
      </c>
      <c r="B929" s="1">
        <v>39082</v>
      </c>
      <c r="C929" s="2">
        <f t="shared" si="18"/>
        <v>4.2327173169062284</v>
      </c>
      <c r="D929" s="3">
        <v>94.4</v>
      </c>
      <c r="E929" s="2">
        <v>10.4</v>
      </c>
    </row>
    <row r="930" spans="1:5">
      <c r="A930" s="1">
        <v>37267</v>
      </c>
      <c r="B930" s="1">
        <v>39082</v>
      </c>
      <c r="C930" s="2">
        <f t="shared" si="18"/>
        <v>4.9691991786447636</v>
      </c>
      <c r="D930" s="3">
        <v>94.4</v>
      </c>
      <c r="E930" s="2">
        <v>12.8</v>
      </c>
    </row>
    <row r="931" spans="1:5">
      <c r="A931" s="1">
        <v>38261</v>
      </c>
      <c r="B931" s="1">
        <v>39082</v>
      </c>
      <c r="C931" s="2">
        <f t="shared" si="18"/>
        <v>2.2477754962354553</v>
      </c>
      <c r="D931" s="3">
        <v>94.5</v>
      </c>
      <c r="E931" s="2">
        <v>14.6</v>
      </c>
    </row>
    <row r="932" spans="1:5">
      <c r="A932" s="1">
        <v>37223</v>
      </c>
      <c r="B932" s="1">
        <v>39082</v>
      </c>
      <c r="C932" s="2">
        <f t="shared" si="18"/>
        <v>5.0896646132785763</v>
      </c>
      <c r="D932" s="3">
        <v>94.5</v>
      </c>
      <c r="E932" s="2">
        <v>13.2</v>
      </c>
    </row>
    <row r="933" spans="1:5">
      <c r="A933" s="1">
        <v>37077</v>
      </c>
      <c r="B933" s="1">
        <v>39082</v>
      </c>
      <c r="C933" s="2">
        <f t="shared" si="18"/>
        <v>5.4893908281998627</v>
      </c>
      <c r="D933" s="3">
        <v>94.5</v>
      </c>
      <c r="E933" s="2">
        <v>12.1</v>
      </c>
    </row>
    <row r="934" spans="1:5">
      <c r="A934" s="1">
        <v>37831</v>
      </c>
      <c r="B934" s="1">
        <v>39082</v>
      </c>
      <c r="C934" s="2">
        <f t="shared" si="18"/>
        <v>3.4250513347022586</v>
      </c>
      <c r="D934" s="3">
        <v>94.5</v>
      </c>
      <c r="E934" s="2">
        <v>10.7</v>
      </c>
    </row>
    <row r="935" spans="1:5">
      <c r="A935" s="1">
        <v>37055</v>
      </c>
      <c r="B935" s="1">
        <v>39082</v>
      </c>
      <c r="C935" s="2">
        <f t="shared" si="18"/>
        <v>5.5496235455167691</v>
      </c>
      <c r="D935" s="3">
        <v>94.6</v>
      </c>
      <c r="E935" s="2">
        <v>12.8</v>
      </c>
    </row>
    <row r="936" spans="1:5">
      <c r="A936" s="1">
        <v>38221</v>
      </c>
      <c r="B936" s="1">
        <v>39082</v>
      </c>
      <c r="C936" s="2">
        <f t="shared" si="18"/>
        <v>2.3572895277207393</v>
      </c>
      <c r="D936" s="3">
        <v>94.6</v>
      </c>
      <c r="E936" s="2">
        <v>12.6</v>
      </c>
    </row>
    <row r="937" spans="1:5">
      <c r="A937" s="1">
        <v>37136</v>
      </c>
      <c r="B937" s="1">
        <v>39082</v>
      </c>
      <c r="C937" s="2">
        <f t="shared" si="18"/>
        <v>5.3278576317590689</v>
      </c>
      <c r="D937" s="3">
        <v>94.6</v>
      </c>
      <c r="E937" s="2">
        <v>16</v>
      </c>
    </row>
    <row r="938" spans="1:5">
      <c r="A938" s="1">
        <v>36845</v>
      </c>
      <c r="B938" s="1">
        <v>39082</v>
      </c>
      <c r="C938" s="2">
        <f t="shared" si="18"/>
        <v>6.1245722108145104</v>
      </c>
      <c r="D938" s="3">
        <v>94.6</v>
      </c>
      <c r="E938" s="2">
        <v>13.5</v>
      </c>
    </row>
    <row r="939" spans="1:5">
      <c r="A939" s="1">
        <v>36809</v>
      </c>
      <c r="B939" s="1">
        <v>39082</v>
      </c>
      <c r="C939" s="2">
        <f t="shared" si="18"/>
        <v>6.2231348391512666</v>
      </c>
      <c r="D939" s="3">
        <v>94.7</v>
      </c>
      <c r="E939" s="2">
        <v>13</v>
      </c>
    </row>
    <row r="940" spans="1:5">
      <c r="A940" s="1">
        <v>37987</v>
      </c>
      <c r="B940" s="1">
        <v>39082</v>
      </c>
      <c r="C940" s="2">
        <f t="shared" si="18"/>
        <v>2.9979466119096507</v>
      </c>
      <c r="D940" s="3">
        <v>94.7</v>
      </c>
      <c r="E940" s="2">
        <v>14.2</v>
      </c>
    </row>
    <row r="941" spans="1:5">
      <c r="A941" s="1">
        <v>36663</v>
      </c>
      <c r="B941" s="1">
        <v>39082</v>
      </c>
      <c r="C941" s="2">
        <f t="shared" si="18"/>
        <v>6.622861054072553</v>
      </c>
      <c r="D941" s="3">
        <v>94.8</v>
      </c>
      <c r="E941" s="2">
        <v>12.1</v>
      </c>
    </row>
    <row r="942" spans="1:5">
      <c r="A942" s="1">
        <v>38240</v>
      </c>
      <c r="B942" s="1">
        <v>39082</v>
      </c>
      <c r="C942" s="2">
        <f t="shared" si="18"/>
        <v>2.3052703627652291</v>
      </c>
      <c r="D942" s="3">
        <v>94.8</v>
      </c>
      <c r="E942" s="2">
        <v>13.7</v>
      </c>
    </row>
    <row r="943" spans="1:5">
      <c r="A943" s="1">
        <v>38256</v>
      </c>
      <c r="B943" s="1">
        <v>39082</v>
      </c>
      <c r="C943" s="2">
        <f t="shared" si="18"/>
        <v>2.2614647501711156</v>
      </c>
      <c r="D943" s="3">
        <v>94.8</v>
      </c>
      <c r="E943" s="2">
        <v>14.3</v>
      </c>
    </row>
    <row r="944" spans="1:5">
      <c r="A944" s="1">
        <v>38309</v>
      </c>
      <c r="B944" s="1">
        <v>39082</v>
      </c>
      <c r="C944" s="2">
        <f t="shared" si="18"/>
        <v>2.1163586584531142</v>
      </c>
      <c r="D944" s="3">
        <v>94.9</v>
      </c>
      <c r="E944" s="2">
        <v>12.7</v>
      </c>
    </row>
    <row r="945" spans="1:5">
      <c r="A945" s="1">
        <v>37070</v>
      </c>
      <c r="B945" s="1">
        <v>39082</v>
      </c>
      <c r="C945" s="2">
        <f t="shared" si="18"/>
        <v>5.508555783709788</v>
      </c>
      <c r="D945" s="3">
        <v>95</v>
      </c>
      <c r="E945" s="2">
        <v>11.6</v>
      </c>
    </row>
    <row r="946" spans="1:5">
      <c r="A946" s="1">
        <v>38226</v>
      </c>
      <c r="B946" s="1">
        <v>39082</v>
      </c>
      <c r="C946" s="2">
        <f t="shared" si="18"/>
        <v>2.3436002737850785</v>
      </c>
      <c r="D946" s="3">
        <v>95</v>
      </c>
      <c r="E946" s="2">
        <v>13.9</v>
      </c>
    </row>
    <row r="947" spans="1:5">
      <c r="A947" s="1">
        <v>36995</v>
      </c>
      <c r="B947" s="1">
        <v>39082</v>
      </c>
      <c r="C947" s="2">
        <f t="shared" si="18"/>
        <v>5.7138945927446958</v>
      </c>
      <c r="D947" s="3">
        <v>95</v>
      </c>
      <c r="E947" s="2">
        <v>12.2</v>
      </c>
    </row>
    <row r="948" spans="1:5">
      <c r="A948" s="1">
        <v>37290</v>
      </c>
      <c r="B948" s="1">
        <v>39082</v>
      </c>
      <c r="C948" s="2">
        <f t="shared" si="18"/>
        <v>4.9062286105407251</v>
      </c>
      <c r="D948" s="3">
        <v>95</v>
      </c>
      <c r="E948" s="2">
        <v>13.3</v>
      </c>
    </row>
    <row r="949" spans="1:5">
      <c r="A949" s="1">
        <v>37995</v>
      </c>
      <c r="B949" s="1">
        <v>39082</v>
      </c>
      <c r="C949" s="2">
        <f t="shared" si="18"/>
        <v>2.9760438056125942</v>
      </c>
      <c r="D949" s="3">
        <v>95.1</v>
      </c>
      <c r="E949" s="2">
        <v>13.3</v>
      </c>
    </row>
    <row r="950" spans="1:5">
      <c r="A950" s="1">
        <v>37218</v>
      </c>
      <c r="B950" s="1">
        <v>39082</v>
      </c>
      <c r="C950" s="2">
        <f t="shared" si="18"/>
        <v>5.1033538672142367</v>
      </c>
      <c r="D950" s="3">
        <v>95.1</v>
      </c>
      <c r="E950" s="2">
        <v>14.6</v>
      </c>
    </row>
    <row r="951" spans="1:5">
      <c r="A951" s="1">
        <v>37118</v>
      </c>
      <c r="B951" s="1">
        <v>39082</v>
      </c>
      <c r="C951" s="2">
        <f t="shared" si="18"/>
        <v>5.377138945927447</v>
      </c>
      <c r="D951" s="3">
        <v>95.1</v>
      </c>
      <c r="E951" s="2">
        <v>13.1</v>
      </c>
    </row>
    <row r="952" spans="1:5">
      <c r="A952" s="1">
        <v>38252</v>
      </c>
      <c r="B952" s="1">
        <v>39082</v>
      </c>
      <c r="C952" s="2">
        <f t="shared" si="18"/>
        <v>2.2724161533196439</v>
      </c>
      <c r="D952" s="3">
        <v>95.2</v>
      </c>
      <c r="E952" s="2">
        <v>12.1</v>
      </c>
    </row>
    <row r="953" spans="1:5">
      <c r="A953" s="1">
        <v>36909</v>
      </c>
      <c r="B953" s="1">
        <v>39082</v>
      </c>
      <c r="C953" s="2">
        <f t="shared" si="18"/>
        <v>5.9493497604380563</v>
      </c>
      <c r="D953" s="3">
        <v>95.2</v>
      </c>
      <c r="E953" s="2">
        <v>12.1</v>
      </c>
    </row>
    <row r="954" spans="1:5">
      <c r="A954" s="1">
        <v>38027</v>
      </c>
      <c r="B954" s="1">
        <v>39082</v>
      </c>
      <c r="C954" s="2">
        <f t="shared" si="18"/>
        <v>2.8884325804243667</v>
      </c>
      <c r="D954" s="3">
        <v>95.2</v>
      </c>
      <c r="E954" s="2">
        <v>13.1</v>
      </c>
    </row>
    <row r="955" spans="1:5">
      <c r="A955" s="1">
        <v>36936</v>
      </c>
      <c r="B955" s="1">
        <v>39082</v>
      </c>
      <c r="C955" s="2">
        <f t="shared" si="18"/>
        <v>5.8754277891854896</v>
      </c>
      <c r="D955" s="3">
        <v>95.2</v>
      </c>
      <c r="E955" s="2">
        <v>12.6</v>
      </c>
    </row>
    <row r="956" spans="1:5">
      <c r="A956" s="1">
        <v>38010</v>
      </c>
      <c r="B956" s="1">
        <v>39082</v>
      </c>
      <c r="C956" s="2">
        <f t="shared" si="18"/>
        <v>2.9349760438056127</v>
      </c>
      <c r="D956" s="3">
        <v>95.2</v>
      </c>
      <c r="E956" s="2">
        <v>12.8</v>
      </c>
    </row>
    <row r="957" spans="1:5">
      <c r="A957" s="1">
        <v>37209</v>
      </c>
      <c r="B957" s="1">
        <v>39082</v>
      </c>
      <c r="C957" s="2">
        <f t="shared" si="18"/>
        <v>5.1279945242984262</v>
      </c>
      <c r="D957" s="3">
        <v>95.2</v>
      </c>
      <c r="E957" s="2">
        <v>14</v>
      </c>
    </row>
    <row r="958" spans="1:5">
      <c r="A958" s="1">
        <v>36913</v>
      </c>
      <c r="B958" s="1">
        <v>39082</v>
      </c>
      <c r="C958" s="2">
        <f t="shared" si="18"/>
        <v>5.938398357289528</v>
      </c>
      <c r="D958" s="3">
        <v>95.3</v>
      </c>
      <c r="E958" s="2">
        <v>13</v>
      </c>
    </row>
    <row r="959" spans="1:5">
      <c r="A959" s="1">
        <v>36833</v>
      </c>
      <c r="B959" s="1">
        <v>39082</v>
      </c>
      <c r="C959" s="2">
        <f t="shared" si="18"/>
        <v>6.1574264202600961</v>
      </c>
      <c r="D959" s="3">
        <v>95.3</v>
      </c>
      <c r="E959" s="2">
        <v>13.1</v>
      </c>
    </row>
    <row r="960" spans="1:5">
      <c r="A960" s="1">
        <v>37987</v>
      </c>
      <c r="B960" s="1">
        <v>39082</v>
      </c>
      <c r="C960" s="2">
        <f t="shared" si="18"/>
        <v>2.9979466119096507</v>
      </c>
      <c r="D960" s="3">
        <v>95.4</v>
      </c>
      <c r="E960" s="2">
        <v>13</v>
      </c>
    </row>
    <row r="961" spans="1:5">
      <c r="A961" s="1">
        <v>38175</v>
      </c>
      <c r="B961" s="1">
        <v>39082</v>
      </c>
      <c r="C961" s="2">
        <f t="shared" si="18"/>
        <v>2.4832306639288158</v>
      </c>
      <c r="D961" s="3">
        <v>95.4</v>
      </c>
      <c r="E961" s="2">
        <v>14.4</v>
      </c>
    </row>
    <row r="962" spans="1:5">
      <c r="A962" s="1">
        <v>37071</v>
      </c>
      <c r="B962" s="1">
        <v>39082</v>
      </c>
      <c r="C962" s="2">
        <f t="shared" si="18"/>
        <v>5.505817932922656</v>
      </c>
      <c r="D962" s="3">
        <v>95.5</v>
      </c>
      <c r="E962" s="2">
        <v>13.8</v>
      </c>
    </row>
    <row r="963" spans="1:5">
      <c r="A963" s="1">
        <v>38312</v>
      </c>
      <c r="B963" s="1">
        <v>39082</v>
      </c>
      <c r="C963" s="2">
        <f t="shared" ref="C963:C1026" si="19">(B963-A963)/365.25</f>
        <v>2.108145106091718</v>
      </c>
      <c r="D963" s="3">
        <v>95.5</v>
      </c>
      <c r="E963" s="2">
        <v>12.8</v>
      </c>
    </row>
    <row r="964" spans="1:5">
      <c r="A964" s="1">
        <v>36770</v>
      </c>
      <c r="B964" s="1">
        <v>39082</v>
      </c>
      <c r="C964" s="2">
        <f t="shared" si="19"/>
        <v>6.3299110198494182</v>
      </c>
      <c r="D964" s="3">
        <v>95.5</v>
      </c>
      <c r="E964" s="2">
        <v>12.7</v>
      </c>
    </row>
    <row r="965" spans="1:5">
      <c r="A965" s="1">
        <v>37034</v>
      </c>
      <c r="B965" s="1">
        <v>39082</v>
      </c>
      <c r="C965" s="2">
        <f t="shared" si="19"/>
        <v>5.6071184120465434</v>
      </c>
      <c r="D965" s="3">
        <v>95.6</v>
      </c>
      <c r="E965" s="2">
        <v>13.8</v>
      </c>
    </row>
    <row r="966" spans="1:5">
      <c r="A966" s="1">
        <v>36717</v>
      </c>
      <c r="B966" s="1">
        <v>39082</v>
      </c>
      <c r="C966" s="2">
        <f t="shared" si="19"/>
        <v>6.4750171115674195</v>
      </c>
      <c r="D966" s="3">
        <v>95.6</v>
      </c>
      <c r="E966" s="2">
        <v>12.8</v>
      </c>
    </row>
    <row r="967" spans="1:5">
      <c r="A967" s="1">
        <v>37796</v>
      </c>
      <c r="B967" s="1">
        <v>39082</v>
      </c>
      <c r="C967" s="2">
        <f t="shared" si="19"/>
        <v>3.5208761122518824</v>
      </c>
      <c r="D967" s="3">
        <v>95.6</v>
      </c>
      <c r="E967" s="2">
        <v>15.8</v>
      </c>
    </row>
    <row r="968" spans="1:5">
      <c r="A968" s="1">
        <v>37159</v>
      </c>
      <c r="B968" s="1">
        <v>39082</v>
      </c>
      <c r="C968" s="2">
        <f t="shared" si="19"/>
        <v>5.2648870636550305</v>
      </c>
      <c r="D968" s="3">
        <v>95.7</v>
      </c>
      <c r="E968" s="2">
        <v>11.7</v>
      </c>
    </row>
    <row r="969" spans="1:5">
      <c r="A969" s="1">
        <v>38292</v>
      </c>
      <c r="B969" s="1">
        <v>39082</v>
      </c>
      <c r="C969" s="2">
        <f t="shared" si="19"/>
        <v>2.1629021218343598</v>
      </c>
      <c r="D969" s="3">
        <v>95.8</v>
      </c>
      <c r="E969" s="2">
        <v>14.5</v>
      </c>
    </row>
    <row r="970" spans="1:5">
      <c r="A970" s="1">
        <v>36995</v>
      </c>
      <c r="B970" s="1">
        <v>39082</v>
      </c>
      <c r="C970" s="2">
        <f t="shared" si="19"/>
        <v>5.7138945927446958</v>
      </c>
      <c r="D970" s="3">
        <v>95.9</v>
      </c>
      <c r="E970" s="2">
        <v>13</v>
      </c>
    </row>
    <row r="971" spans="1:5">
      <c r="A971" s="1">
        <v>36873</v>
      </c>
      <c r="B971" s="1">
        <v>39082</v>
      </c>
      <c r="C971" s="2">
        <f t="shared" si="19"/>
        <v>6.0479123887748116</v>
      </c>
      <c r="D971" s="3">
        <v>96</v>
      </c>
      <c r="E971" s="2">
        <v>13.1</v>
      </c>
    </row>
    <row r="972" spans="1:5">
      <c r="A972" s="1">
        <v>38117</v>
      </c>
      <c r="B972" s="1">
        <v>39082</v>
      </c>
      <c r="C972" s="2">
        <f t="shared" si="19"/>
        <v>2.6420260095824779</v>
      </c>
      <c r="D972" s="3">
        <v>96</v>
      </c>
      <c r="E972" s="2">
        <v>12.8</v>
      </c>
    </row>
    <row r="973" spans="1:5">
      <c r="A973" s="1">
        <v>36976</v>
      </c>
      <c r="B973" s="1">
        <v>39082</v>
      </c>
      <c r="C973" s="2">
        <f t="shared" si="19"/>
        <v>5.7659137577002051</v>
      </c>
      <c r="D973" s="3">
        <v>96.1</v>
      </c>
      <c r="E973" s="2">
        <v>12.8</v>
      </c>
    </row>
    <row r="974" spans="1:5">
      <c r="A974" s="1">
        <v>37804</v>
      </c>
      <c r="B974" s="1">
        <v>39082</v>
      </c>
      <c r="C974" s="2">
        <f t="shared" si="19"/>
        <v>3.4989733059548254</v>
      </c>
      <c r="D974" s="3">
        <v>96.1</v>
      </c>
      <c r="E974" s="2">
        <v>11.2</v>
      </c>
    </row>
    <row r="975" spans="1:5">
      <c r="A975" s="1">
        <v>36906</v>
      </c>
      <c r="B975" s="1">
        <v>39082</v>
      </c>
      <c r="C975" s="2">
        <f t="shared" si="19"/>
        <v>5.9575633127994525</v>
      </c>
      <c r="D975" s="3">
        <v>96.1</v>
      </c>
      <c r="E975" s="2">
        <v>12.8</v>
      </c>
    </row>
    <row r="976" spans="1:5">
      <c r="A976" s="1">
        <v>38275</v>
      </c>
      <c r="B976" s="1">
        <v>39082</v>
      </c>
      <c r="C976" s="2">
        <f t="shared" si="19"/>
        <v>2.2094455852156059</v>
      </c>
      <c r="D976" s="3">
        <v>96.2</v>
      </c>
      <c r="E976" s="2">
        <v>15.2</v>
      </c>
    </row>
    <row r="977" spans="1:5">
      <c r="A977" s="1">
        <v>38023</v>
      </c>
      <c r="B977" s="1">
        <v>39082</v>
      </c>
      <c r="C977" s="2">
        <f t="shared" si="19"/>
        <v>2.8993839835728954</v>
      </c>
      <c r="D977" s="3">
        <v>96.3</v>
      </c>
      <c r="E977" s="2">
        <v>12.8</v>
      </c>
    </row>
    <row r="978" spans="1:5">
      <c r="A978" s="1">
        <v>37107</v>
      </c>
      <c r="B978" s="1">
        <v>39082</v>
      </c>
      <c r="C978" s="2">
        <f t="shared" si="19"/>
        <v>5.4072553045858998</v>
      </c>
      <c r="D978" s="3">
        <v>96.3</v>
      </c>
      <c r="E978" s="2">
        <v>12.8</v>
      </c>
    </row>
    <row r="979" spans="1:5">
      <c r="A979" s="1">
        <v>37204</v>
      </c>
      <c r="B979" s="1">
        <v>39082</v>
      </c>
      <c r="C979" s="2">
        <f t="shared" si="19"/>
        <v>5.1416837782340865</v>
      </c>
      <c r="D979" s="3">
        <v>96.4</v>
      </c>
      <c r="E979" s="2">
        <v>12.7</v>
      </c>
    </row>
    <row r="980" spans="1:5">
      <c r="A980" s="1">
        <v>37248</v>
      </c>
      <c r="B980" s="1">
        <v>39082</v>
      </c>
      <c r="C980" s="2">
        <f t="shared" si="19"/>
        <v>5.0212183436002737</v>
      </c>
      <c r="D980" s="3">
        <v>96.4</v>
      </c>
      <c r="E980" s="2">
        <v>15.3</v>
      </c>
    </row>
    <row r="981" spans="1:5">
      <c r="A981" s="1">
        <v>36969</v>
      </c>
      <c r="B981" s="1">
        <v>39082</v>
      </c>
      <c r="C981" s="2">
        <f t="shared" si="19"/>
        <v>5.7850787132101305</v>
      </c>
      <c r="D981" s="3">
        <v>96.5</v>
      </c>
      <c r="E981" s="2">
        <v>12.5</v>
      </c>
    </row>
    <row r="982" spans="1:5">
      <c r="A982" s="1">
        <v>36971</v>
      </c>
      <c r="B982" s="1">
        <v>39082</v>
      </c>
      <c r="C982" s="2">
        <f t="shared" si="19"/>
        <v>5.7796030116358654</v>
      </c>
      <c r="D982" s="3">
        <v>96.6</v>
      </c>
      <c r="E982" s="2">
        <v>12.6</v>
      </c>
    </row>
    <row r="983" spans="1:5">
      <c r="A983" s="1">
        <v>38261</v>
      </c>
      <c r="B983" s="1">
        <v>39082</v>
      </c>
      <c r="C983" s="2">
        <f t="shared" si="19"/>
        <v>2.2477754962354553</v>
      </c>
      <c r="D983" s="3">
        <v>96.6</v>
      </c>
      <c r="E983" s="2">
        <v>14.3</v>
      </c>
    </row>
    <row r="984" spans="1:5">
      <c r="A984" s="1">
        <v>36963</v>
      </c>
      <c r="B984" s="1">
        <v>39082</v>
      </c>
      <c r="C984" s="2">
        <f t="shared" si="19"/>
        <v>5.8015058179329229</v>
      </c>
      <c r="D984" s="3">
        <v>96.6</v>
      </c>
      <c r="E984" s="2">
        <v>13.7</v>
      </c>
    </row>
    <row r="985" spans="1:5">
      <c r="A985" s="1">
        <v>36912</v>
      </c>
      <c r="B985" s="1">
        <v>39082</v>
      </c>
      <c r="C985" s="2">
        <f t="shared" si="19"/>
        <v>5.9411362080766601</v>
      </c>
      <c r="D985" s="3">
        <v>96.6</v>
      </c>
      <c r="E985" s="2">
        <v>12.1</v>
      </c>
    </row>
    <row r="986" spans="1:5">
      <c r="A986" s="1">
        <v>37076</v>
      </c>
      <c r="B986" s="1">
        <v>39082</v>
      </c>
      <c r="C986" s="2">
        <f t="shared" si="19"/>
        <v>5.4921286789869956</v>
      </c>
      <c r="D986" s="3">
        <v>96.7</v>
      </c>
      <c r="E986" s="2">
        <v>13</v>
      </c>
    </row>
    <row r="987" spans="1:5">
      <c r="A987" s="1">
        <v>37121</v>
      </c>
      <c r="B987" s="1">
        <v>39082</v>
      </c>
      <c r="C987" s="2">
        <f t="shared" si="19"/>
        <v>5.3689253935660508</v>
      </c>
      <c r="D987" s="3">
        <v>96.7</v>
      </c>
      <c r="E987" s="2">
        <v>13.4</v>
      </c>
    </row>
    <row r="988" spans="1:5">
      <c r="A988" s="1">
        <v>36872</v>
      </c>
      <c r="B988" s="1">
        <v>39082</v>
      </c>
      <c r="C988" s="2">
        <f t="shared" si="19"/>
        <v>6.0506502395619437</v>
      </c>
      <c r="D988" s="3">
        <v>96.7</v>
      </c>
      <c r="E988" s="2">
        <v>14</v>
      </c>
    </row>
    <row r="989" spans="1:5">
      <c r="A989" s="1">
        <v>36925</v>
      </c>
      <c r="B989" s="1">
        <v>39082</v>
      </c>
      <c r="C989" s="2">
        <f t="shared" si="19"/>
        <v>5.9055441478439423</v>
      </c>
      <c r="D989" s="3">
        <v>96.7</v>
      </c>
      <c r="E989" s="2">
        <v>12.4</v>
      </c>
    </row>
    <row r="990" spans="1:5">
      <c r="A990" s="1">
        <v>36727</v>
      </c>
      <c r="B990" s="1">
        <v>39082</v>
      </c>
      <c r="C990" s="2">
        <f t="shared" si="19"/>
        <v>6.4476386036960989</v>
      </c>
      <c r="D990" s="3">
        <v>96.8</v>
      </c>
      <c r="E990" s="2">
        <v>15</v>
      </c>
    </row>
    <row r="991" spans="1:5">
      <c r="A991" s="1">
        <v>36802</v>
      </c>
      <c r="B991" s="1">
        <v>39082</v>
      </c>
      <c r="C991" s="2">
        <f t="shared" si="19"/>
        <v>6.2422997946611911</v>
      </c>
      <c r="D991" s="3">
        <v>96.8</v>
      </c>
      <c r="E991" s="2">
        <v>15.1</v>
      </c>
    </row>
    <row r="992" spans="1:5">
      <c r="A992" s="1">
        <v>36956</v>
      </c>
      <c r="B992" s="1">
        <v>39082</v>
      </c>
      <c r="C992" s="2">
        <f t="shared" si="19"/>
        <v>5.8206707734428473</v>
      </c>
      <c r="D992" s="3">
        <v>97</v>
      </c>
      <c r="E992" s="2">
        <v>13.6</v>
      </c>
    </row>
    <row r="993" spans="1:5">
      <c r="A993" s="1">
        <v>36800</v>
      </c>
      <c r="B993" s="1">
        <v>39082</v>
      </c>
      <c r="C993" s="2">
        <f t="shared" si="19"/>
        <v>6.2477754962354553</v>
      </c>
      <c r="D993" s="3">
        <v>97</v>
      </c>
      <c r="E993" s="2">
        <v>14.1</v>
      </c>
    </row>
    <row r="994" spans="1:5">
      <c r="A994" s="1">
        <v>37003</v>
      </c>
      <c r="B994" s="1">
        <v>39082</v>
      </c>
      <c r="C994" s="2">
        <f t="shared" si="19"/>
        <v>5.6919917864476384</v>
      </c>
      <c r="D994" s="3">
        <v>97.1</v>
      </c>
      <c r="E994" s="2">
        <v>13.3</v>
      </c>
    </row>
    <row r="995" spans="1:5">
      <c r="A995" s="1">
        <v>37138</v>
      </c>
      <c r="B995" s="1">
        <v>39082</v>
      </c>
      <c r="C995" s="2">
        <f t="shared" si="19"/>
        <v>5.3223819301848048</v>
      </c>
      <c r="D995" s="3">
        <v>97.2</v>
      </c>
      <c r="E995" s="2">
        <v>14.4</v>
      </c>
    </row>
    <row r="996" spans="1:5">
      <c r="A996" s="1">
        <v>36914</v>
      </c>
      <c r="B996" s="1">
        <v>39082</v>
      </c>
      <c r="C996" s="2">
        <f t="shared" si="19"/>
        <v>5.935660506502396</v>
      </c>
      <c r="D996" s="3">
        <v>97.3</v>
      </c>
      <c r="E996" s="2">
        <v>14.5</v>
      </c>
    </row>
    <row r="997" spans="1:5">
      <c r="A997" s="1">
        <v>38245</v>
      </c>
      <c r="B997" s="1">
        <v>39082</v>
      </c>
      <c r="C997" s="2">
        <f t="shared" si="19"/>
        <v>2.2915811088295688</v>
      </c>
      <c r="D997" s="3">
        <v>97.3</v>
      </c>
      <c r="E997" s="2">
        <v>12.3</v>
      </c>
    </row>
    <row r="998" spans="1:5">
      <c r="A998" s="1">
        <v>36912</v>
      </c>
      <c r="B998" s="1">
        <v>39082</v>
      </c>
      <c r="C998" s="2">
        <f t="shared" si="19"/>
        <v>5.9411362080766601</v>
      </c>
      <c r="D998" s="3">
        <v>97.3</v>
      </c>
      <c r="E998" s="2">
        <v>13</v>
      </c>
    </row>
    <row r="999" spans="1:5">
      <c r="A999" s="1">
        <v>38102</v>
      </c>
      <c r="B999" s="1">
        <v>39082</v>
      </c>
      <c r="C999" s="2">
        <f t="shared" si="19"/>
        <v>2.6830937713894594</v>
      </c>
      <c r="D999" s="3">
        <v>97.3</v>
      </c>
      <c r="E999" s="2">
        <v>13.6</v>
      </c>
    </row>
    <row r="1000" spans="1:5">
      <c r="A1000" s="1">
        <v>36713</v>
      </c>
      <c r="B1000" s="1">
        <v>39082</v>
      </c>
      <c r="C1000" s="2">
        <f t="shared" si="19"/>
        <v>6.4859685147159478</v>
      </c>
      <c r="D1000" s="3">
        <v>97.4</v>
      </c>
      <c r="E1000" s="2">
        <v>13.1</v>
      </c>
    </row>
    <row r="1001" spans="1:5">
      <c r="A1001" s="1">
        <v>38146</v>
      </c>
      <c r="B1001" s="1">
        <v>39082</v>
      </c>
      <c r="C1001" s="2">
        <f t="shared" si="19"/>
        <v>2.5626283367556466</v>
      </c>
      <c r="D1001" s="3">
        <v>97.6</v>
      </c>
      <c r="E1001" s="2">
        <v>13.8</v>
      </c>
    </row>
    <row r="1002" spans="1:5">
      <c r="A1002" s="1">
        <v>38647</v>
      </c>
      <c r="B1002" s="1">
        <v>39082</v>
      </c>
      <c r="C1002" s="2">
        <f t="shared" si="19"/>
        <v>1.1909650924024642</v>
      </c>
      <c r="D1002" s="3">
        <v>97.6</v>
      </c>
      <c r="E1002" s="2">
        <v>14.1</v>
      </c>
    </row>
    <row r="1003" spans="1:5">
      <c r="A1003" s="1">
        <v>38088</v>
      </c>
      <c r="B1003" s="1">
        <v>39082</v>
      </c>
      <c r="C1003" s="2">
        <f t="shared" si="19"/>
        <v>2.7214236824093088</v>
      </c>
      <c r="D1003" s="3">
        <v>97.6</v>
      </c>
      <c r="E1003" s="2">
        <v>13.7</v>
      </c>
    </row>
    <row r="1004" spans="1:5">
      <c r="A1004" s="1">
        <v>37987</v>
      </c>
      <c r="B1004" s="1">
        <v>39082</v>
      </c>
      <c r="C1004" s="2">
        <f t="shared" si="19"/>
        <v>2.9979466119096507</v>
      </c>
      <c r="D1004" s="3">
        <v>97.7</v>
      </c>
      <c r="E1004" s="2">
        <v>14.7</v>
      </c>
    </row>
    <row r="1005" spans="1:5">
      <c r="A1005" s="1">
        <v>36680</v>
      </c>
      <c r="B1005" s="1">
        <v>39082</v>
      </c>
      <c r="C1005" s="2">
        <f t="shared" si="19"/>
        <v>6.5763175906913069</v>
      </c>
      <c r="D1005" s="3">
        <v>97.7</v>
      </c>
      <c r="E1005" s="2">
        <v>13</v>
      </c>
    </row>
    <row r="1006" spans="1:5">
      <c r="A1006" s="1">
        <v>36647</v>
      </c>
      <c r="B1006" s="1">
        <v>39082</v>
      </c>
      <c r="C1006" s="2">
        <f t="shared" si="19"/>
        <v>6.666666666666667</v>
      </c>
      <c r="D1006" s="3">
        <v>97.8</v>
      </c>
      <c r="E1006" s="2">
        <v>12.3</v>
      </c>
    </row>
    <row r="1007" spans="1:5">
      <c r="A1007" s="1">
        <v>36827</v>
      </c>
      <c r="B1007" s="1">
        <v>39082</v>
      </c>
      <c r="C1007" s="2">
        <f t="shared" si="19"/>
        <v>6.1738535249828885</v>
      </c>
      <c r="D1007" s="3">
        <v>97.8</v>
      </c>
      <c r="E1007" s="2">
        <v>12.5</v>
      </c>
    </row>
    <row r="1008" spans="1:5">
      <c r="A1008" s="1">
        <v>36754</v>
      </c>
      <c r="B1008" s="1">
        <v>39082</v>
      </c>
      <c r="C1008" s="2">
        <f t="shared" si="19"/>
        <v>6.3737166324435321</v>
      </c>
      <c r="D1008" s="3">
        <v>97.9</v>
      </c>
      <c r="E1008" s="2">
        <v>13.2</v>
      </c>
    </row>
    <row r="1009" spans="1:5">
      <c r="A1009" s="1">
        <v>38273</v>
      </c>
      <c r="B1009" s="1">
        <v>39082</v>
      </c>
      <c r="C1009" s="2">
        <f t="shared" si="19"/>
        <v>2.21492128678987</v>
      </c>
      <c r="D1009" s="3">
        <v>98</v>
      </c>
      <c r="E1009" s="2">
        <v>14.5</v>
      </c>
    </row>
    <row r="1010" spans="1:5">
      <c r="A1010" s="1">
        <v>37113</v>
      </c>
      <c r="B1010" s="1">
        <v>39082</v>
      </c>
      <c r="C1010" s="2">
        <f t="shared" si="19"/>
        <v>5.3908281998631074</v>
      </c>
      <c r="D1010" s="3">
        <v>98</v>
      </c>
      <c r="E1010" s="2">
        <v>12.2</v>
      </c>
    </row>
    <row r="1011" spans="1:5">
      <c r="A1011" s="1">
        <v>36924</v>
      </c>
      <c r="B1011" s="1">
        <v>39082</v>
      </c>
      <c r="C1011" s="2">
        <f t="shared" si="19"/>
        <v>5.9082819986310744</v>
      </c>
      <c r="D1011" s="3">
        <v>98</v>
      </c>
      <c r="E1011" s="2">
        <v>11.9</v>
      </c>
    </row>
    <row r="1012" spans="1:5">
      <c r="A1012" s="1">
        <v>37494</v>
      </c>
      <c r="B1012" s="1">
        <v>39082</v>
      </c>
      <c r="C1012" s="2">
        <f t="shared" si="19"/>
        <v>4.3477070499657771</v>
      </c>
      <c r="D1012" s="3">
        <v>98.1</v>
      </c>
      <c r="E1012" s="2">
        <v>12.7</v>
      </c>
    </row>
    <row r="1013" spans="1:5">
      <c r="A1013" s="1">
        <v>36875</v>
      </c>
      <c r="B1013" s="1">
        <v>39082</v>
      </c>
      <c r="C1013" s="2">
        <f t="shared" si="19"/>
        <v>6.0424366872005475</v>
      </c>
      <c r="D1013" s="3">
        <v>98.1</v>
      </c>
      <c r="E1013" s="2">
        <v>14.2</v>
      </c>
    </row>
    <row r="1014" spans="1:5">
      <c r="A1014" s="1">
        <v>37045</v>
      </c>
      <c r="B1014" s="1">
        <v>39082</v>
      </c>
      <c r="C1014" s="2">
        <f t="shared" si="19"/>
        <v>5.5770020533880906</v>
      </c>
      <c r="D1014" s="3">
        <v>98.3</v>
      </c>
      <c r="E1014" s="2">
        <v>13.7</v>
      </c>
    </row>
    <row r="1015" spans="1:5">
      <c r="A1015" s="1">
        <v>38113</v>
      </c>
      <c r="B1015" s="1">
        <v>39082</v>
      </c>
      <c r="C1015" s="2">
        <f t="shared" si="19"/>
        <v>2.6529774127310062</v>
      </c>
      <c r="D1015" s="3">
        <v>98.3</v>
      </c>
      <c r="E1015" s="2">
        <v>14</v>
      </c>
    </row>
    <row r="1016" spans="1:5">
      <c r="A1016" s="1">
        <v>36925</v>
      </c>
      <c r="B1016" s="1">
        <v>39082</v>
      </c>
      <c r="C1016" s="2">
        <f t="shared" si="19"/>
        <v>5.9055441478439423</v>
      </c>
      <c r="D1016" s="3">
        <v>98.3</v>
      </c>
      <c r="E1016" s="2">
        <v>14.7</v>
      </c>
    </row>
    <row r="1017" spans="1:5">
      <c r="A1017" s="1">
        <v>38231</v>
      </c>
      <c r="B1017" s="1">
        <v>39082</v>
      </c>
      <c r="C1017" s="2">
        <f t="shared" si="19"/>
        <v>2.3299110198494182</v>
      </c>
      <c r="D1017" s="3">
        <v>98.4</v>
      </c>
      <c r="E1017" s="2">
        <v>14.9</v>
      </c>
    </row>
    <row r="1018" spans="1:5">
      <c r="A1018" s="1">
        <v>38200</v>
      </c>
      <c r="B1018" s="1">
        <v>39082</v>
      </c>
      <c r="C1018" s="2">
        <f t="shared" si="19"/>
        <v>2.4147843942505132</v>
      </c>
      <c r="D1018" s="3">
        <v>98.4</v>
      </c>
      <c r="E1018" s="2">
        <v>15.5</v>
      </c>
    </row>
    <row r="1019" spans="1:5">
      <c r="A1019" s="1">
        <v>38235</v>
      </c>
      <c r="B1019" s="1">
        <v>39082</v>
      </c>
      <c r="C1019" s="2">
        <f t="shared" si="19"/>
        <v>2.3189596167008899</v>
      </c>
      <c r="D1019" s="3">
        <v>98.5</v>
      </c>
      <c r="E1019" s="2">
        <v>13</v>
      </c>
    </row>
    <row r="1020" spans="1:5">
      <c r="A1020" s="1">
        <v>38152</v>
      </c>
      <c r="B1020" s="1">
        <v>39082</v>
      </c>
      <c r="C1020" s="2">
        <f t="shared" si="19"/>
        <v>2.5462012320328542</v>
      </c>
      <c r="D1020" s="3">
        <v>98.5</v>
      </c>
      <c r="E1020" s="2">
        <v>14.3</v>
      </c>
    </row>
    <row r="1021" spans="1:5">
      <c r="A1021" s="1">
        <v>36815</v>
      </c>
      <c r="B1021" s="1">
        <v>39082</v>
      </c>
      <c r="C1021" s="2">
        <f t="shared" si="19"/>
        <v>6.2067077344284733</v>
      </c>
      <c r="D1021" s="3">
        <v>98.5</v>
      </c>
      <c r="E1021" s="2">
        <v>14.5</v>
      </c>
    </row>
    <row r="1022" spans="1:5">
      <c r="A1022" s="1">
        <v>38258</v>
      </c>
      <c r="B1022" s="1">
        <v>39082</v>
      </c>
      <c r="C1022" s="2">
        <f t="shared" si="19"/>
        <v>2.2559890485968515</v>
      </c>
      <c r="D1022" s="3">
        <v>98.5</v>
      </c>
      <c r="E1022" s="2">
        <v>14.4</v>
      </c>
    </row>
    <row r="1023" spans="1:5">
      <c r="A1023" s="1">
        <v>36797</v>
      </c>
      <c r="B1023" s="1">
        <v>39082</v>
      </c>
      <c r="C1023" s="2">
        <f t="shared" si="19"/>
        <v>6.2559890485968515</v>
      </c>
      <c r="D1023" s="3">
        <v>98.6</v>
      </c>
      <c r="E1023" s="2">
        <v>13.4</v>
      </c>
    </row>
    <row r="1024" spans="1:5">
      <c r="A1024" s="1">
        <v>37480</v>
      </c>
      <c r="B1024" s="1">
        <v>39082</v>
      </c>
      <c r="C1024" s="2">
        <f t="shared" si="19"/>
        <v>4.386036960985626</v>
      </c>
      <c r="D1024" s="3">
        <v>98.7</v>
      </c>
      <c r="E1024" s="2">
        <v>15.9</v>
      </c>
    </row>
    <row r="1025" spans="1:5">
      <c r="A1025" s="1">
        <v>38222</v>
      </c>
      <c r="B1025" s="1">
        <v>39082</v>
      </c>
      <c r="C1025" s="2">
        <f t="shared" si="19"/>
        <v>2.3545516769336072</v>
      </c>
      <c r="D1025" s="3">
        <v>98.8</v>
      </c>
      <c r="E1025" s="2">
        <v>13.9</v>
      </c>
    </row>
    <row r="1026" spans="1:5">
      <c r="A1026" s="1">
        <v>36650</v>
      </c>
      <c r="B1026" s="1">
        <v>39082</v>
      </c>
      <c r="C1026" s="2">
        <f t="shared" si="19"/>
        <v>6.6584531143052708</v>
      </c>
      <c r="D1026" s="3">
        <v>98.8</v>
      </c>
      <c r="E1026" s="2">
        <v>14.1</v>
      </c>
    </row>
    <row r="1027" spans="1:5">
      <c r="A1027" s="1">
        <v>36887</v>
      </c>
      <c r="B1027" s="1">
        <v>39082</v>
      </c>
      <c r="C1027" s="2">
        <f t="shared" ref="C1027:C1081" si="20">(B1027-A1027)/365.25</f>
        <v>6.0095824777549627</v>
      </c>
      <c r="D1027" s="3">
        <v>98.8</v>
      </c>
      <c r="E1027" s="2">
        <v>13</v>
      </c>
    </row>
    <row r="1028" spans="1:5">
      <c r="A1028" s="1">
        <v>36622</v>
      </c>
      <c r="B1028" s="1">
        <v>39082</v>
      </c>
      <c r="C1028" s="2">
        <f t="shared" si="20"/>
        <v>6.7351129363449695</v>
      </c>
      <c r="D1028" s="3">
        <v>99</v>
      </c>
      <c r="E1028" s="2">
        <v>14.7</v>
      </c>
    </row>
    <row r="1029" spans="1:5">
      <c r="A1029" s="1">
        <v>36753</v>
      </c>
      <c r="B1029" s="1">
        <v>39082</v>
      </c>
      <c r="C1029" s="2">
        <f t="shared" si="20"/>
        <v>6.3764544832306642</v>
      </c>
      <c r="D1029" s="3">
        <v>99</v>
      </c>
      <c r="E1029" s="2">
        <v>13</v>
      </c>
    </row>
    <row r="1030" spans="1:5">
      <c r="A1030" s="1">
        <v>36928</v>
      </c>
      <c r="B1030" s="1">
        <v>39082</v>
      </c>
      <c r="C1030" s="2">
        <f t="shared" si="20"/>
        <v>5.8973305954825461</v>
      </c>
      <c r="D1030" s="3">
        <v>99.1</v>
      </c>
      <c r="E1030" s="2">
        <v>14.2</v>
      </c>
    </row>
    <row r="1031" spans="1:5">
      <c r="A1031" s="1">
        <v>37049</v>
      </c>
      <c r="B1031" s="1">
        <v>39082</v>
      </c>
      <c r="C1031" s="2">
        <f t="shared" si="20"/>
        <v>5.5660506502395624</v>
      </c>
      <c r="D1031" s="3">
        <v>99.2</v>
      </c>
      <c r="E1031" s="2">
        <v>14.7</v>
      </c>
    </row>
    <row r="1032" spans="1:5">
      <c r="A1032" s="1">
        <v>37987</v>
      </c>
      <c r="B1032" s="1">
        <v>39082</v>
      </c>
      <c r="C1032" s="2">
        <f t="shared" si="20"/>
        <v>2.9979466119096507</v>
      </c>
      <c r="D1032" s="3">
        <v>99.2</v>
      </c>
      <c r="E1032" s="2">
        <v>15</v>
      </c>
    </row>
    <row r="1033" spans="1:5">
      <c r="A1033" s="1">
        <v>36661</v>
      </c>
      <c r="B1033" s="1">
        <v>39082</v>
      </c>
      <c r="C1033" s="2">
        <f t="shared" si="20"/>
        <v>6.6283367556468171</v>
      </c>
      <c r="D1033" s="3">
        <v>99.2</v>
      </c>
      <c r="E1033" s="2">
        <v>14.9</v>
      </c>
    </row>
    <row r="1034" spans="1:5">
      <c r="A1034" s="1">
        <v>36667</v>
      </c>
      <c r="B1034" s="1">
        <v>39082</v>
      </c>
      <c r="C1034" s="2">
        <f t="shared" si="20"/>
        <v>6.6119096509240247</v>
      </c>
      <c r="D1034" s="3">
        <v>99.3</v>
      </c>
      <c r="E1034" s="2">
        <v>13.4</v>
      </c>
    </row>
    <row r="1035" spans="1:5">
      <c r="A1035" s="1">
        <v>37993</v>
      </c>
      <c r="B1035" s="1">
        <v>39082</v>
      </c>
      <c r="C1035" s="2">
        <f t="shared" si="20"/>
        <v>2.9815195071868583</v>
      </c>
      <c r="D1035" s="3">
        <v>99.3</v>
      </c>
      <c r="E1035" s="2">
        <v>14.1</v>
      </c>
    </row>
    <row r="1036" spans="1:5">
      <c r="A1036" s="1">
        <v>38155</v>
      </c>
      <c r="B1036" s="1">
        <v>39082</v>
      </c>
      <c r="C1036" s="2">
        <f t="shared" si="20"/>
        <v>2.537987679671458</v>
      </c>
      <c r="D1036" s="3">
        <v>99.3</v>
      </c>
      <c r="E1036" s="2">
        <v>13.7</v>
      </c>
    </row>
    <row r="1037" spans="1:5">
      <c r="A1037" s="1">
        <v>36761</v>
      </c>
      <c r="B1037" s="1">
        <v>39082</v>
      </c>
      <c r="C1037" s="2">
        <f t="shared" si="20"/>
        <v>6.3545516769336068</v>
      </c>
      <c r="D1037" s="3">
        <v>99.3</v>
      </c>
      <c r="E1037" s="2">
        <v>15.7</v>
      </c>
    </row>
    <row r="1038" spans="1:5">
      <c r="A1038" s="1">
        <v>36894</v>
      </c>
      <c r="B1038" s="1">
        <v>39082</v>
      </c>
      <c r="C1038" s="2">
        <f t="shared" si="20"/>
        <v>5.9904175222450373</v>
      </c>
      <c r="D1038" s="3">
        <v>99.4</v>
      </c>
      <c r="E1038" s="2">
        <v>15.3</v>
      </c>
    </row>
    <row r="1039" spans="1:5">
      <c r="A1039" s="1">
        <v>36703</v>
      </c>
      <c r="B1039" s="1">
        <v>39082</v>
      </c>
      <c r="C1039" s="2">
        <f t="shared" si="20"/>
        <v>6.5133470225872694</v>
      </c>
      <c r="D1039" s="3">
        <v>99.4</v>
      </c>
      <c r="E1039" s="2">
        <v>13.8</v>
      </c>
    </row>
    <row r="1040" spans="1:5">
      <c r="A1040" s="1">
        <v>38317</v>
      </c>
      <c r="B1040" s="1">
        <v>39082</v>
      </c>
      <c r="C1040" s="2">
        <f t="shared" si="20"/>
        <v>2.0944558521560577</v>
      </c>
      <c r="D1040" s="3">
        <v>99.5</v>
      </c>
      <c r="E1040" s="2">
        <v>14.6</v>
      </c>
    </row>
    <row r="1041" spans="1:5">
      <c r="A1041" s="1">
        <v>38217</v>
      </c>
      <c r="B1041" s="1">
        <v>39082</v>
      </c>
      <c r="C1041" s="2">
        <f t="shared" si="20"/>
        <v>2.3682409308692676</v>
      </c>
      <c r="D1041" s="3">
        <v>99.5</v>
      </c>
      <c r="E1041" s="2">
        <v>14.9</v>
      </c>
    </row>
    <row r="1042" spans="1:5">
      <c r="A1042" s="1">
        <v>36647</v>
      </c>
      <c r="B1042" s="1">
        <v>39082</v>
      </c>
      <c r="C1042" s="2">
        <f t="shared" si="20"/>
        <v>6.666666666666667</v>
      </c>
      <c r="D1042" s="3">
        <v>99.5</v>
      </c>
      <c r="E1042" s="2">
        <v>16.399999999999999</v>
      </c>
    </row>
    <row r="1043" spans="1:5">
      <c r="A1043" s="1">
        <v>36732</v>
      </c>
      <c r="B1043" s="1">
        <v>39082</v>
      </c>
      <c r="C1043" s="2">
        <f t="shared" si="20"/>
        <v>6.4339493497604376</v>
      </c>
      <c r="D1043" s="3">
        <v>99.5</v>
      </c>
      <c r="E1043" s="2">
        <v>14.3</v>
      </c>
    </row>
    <row r="1044" spans="1:5">
      <c r="A1044" s="1">
        <v>38231</v>
      </c>
      <c r="B1044" s="1">
        <v>39082</v>
      </c>
      <c r="C1044" s="2">
        <f t="shared" si="20"/>
        <v>2.3299110198494182</v>
      </c>
      <c r="D1044" s="3">
        <v>99.6</v>
      </c>
      <c r="E1044" s="2">
        <v>16.100000000000001</v>
      </c>
    </row>
    <row r="1045" spans="1:5">
      <c r="A1045" s="1">
        <v>36854</v>
      </c>
      <c r="B1045" s="1">
        <v>39082</v>
      </c>
      <c r="C1045" s="2">
        <f t="shared" si="20"/>
        <v>6.0999315537303218</v>
      </c>
      <c r="D1045" s="3">
        <v>99.7</v>
      </c>
      <c r="E1045" s="2">
        <v>14.4</v>
      </c>
    </row>
    <row r="1046" spans="1:5">
      <c r="A1046" s="1">
        <v>36939</v>
      </c>
      <c r="B1046" s="1">
        <v>39082</v>
      </c>
      <c r="C1046" s="2">
        <f t="shared" si="20"/>
        <v>5.8672142368240934</v>
      </c>
      <c r="D1046" s="3">
        <v>99.7</v>
      </c>
      <c r="E1046" s="2">
        <v>14.3</v>
      </c>
    </row>
    <row r="1047" spans="1:5">
      <c r="A1047" s="1">
        <v>37422</v>
      </c>
      <c r="B1047" s="1">
        <v>39082</v>
      </c>
      <c r="C1047" s="2">
        <f t="shared" si="20"/>
        <v>4.5448323066392877</v>
      </c>
      <c r="D1047" s="3">
        <v>99.7</v>
      </c>
      <c r="E1047" s="2">
        <v>13.2</v>
      </c>
    </row>
    <row r="1048" spans="1:5">
      <c r="A1048" s="1">
        <v>38194</v>
      </c>
      <c r="B1048" s="1">
        <v>39082</v>
      </c>
      <c r="C1048" s="2">
        <f t="shared" si="20"/>
        <v>2.431211498973306</v>
      </c>
      <c r="D1048" s="3">
        <v>99.8</v>
      </c>
      <c r="E1048" s="2">
        <v>14.2</v>
      </c>
    </row>
    <row r="1049" spans="1:5">
      <c r="A1049" s="1">
        <v>38238</v>
      </c>
      <c r="B1049" s="1">
        <v>39082</v>
      </c>
      <c r="C1049" s="2">
        <f t="shared" si="20"/>
        <v>2.3107460643394937</v>
      </c>
      <c r="D1049" s="3">
        <v>99.8</v>
      </c>
      <c r="E1049" s="2">
        <v>14.5</v>
      </c>
    </row>
    <row r="1050" spans="1:5">
      <c r="A1050" s="1">
        <v>36762</v>
      </c>
      <c r="B1050" s="1">
        <v>39082</v>
      </c>
      <c r="C1050" s="2">
        <f t="shared" si="20"/>
        <v>6.3518138261464747</v>
      </c>
      <c r="D1050" s="3">
        <v>99.8</v>
      </c>
      <c r="E1050" s="2">
        <v>15.1</v>
      </c>
    </row>
    <row r="1051" spans="1:5">
      <c r="A1051" s="1">
        <v>37088</v>
      </c>
      <c r="B1051" s="1">
        <v>39082</v>
      </c>
      <c r="C1051" s="2">
        <f t="shared" si="20"/>
        <v>5.4592744695414099</v>
      </c>
      <c r="D1051" s="3">
        <v>100.1</v>
      </c>
      <c r="E1051" s="2">
        <v>16</v>
      </c>
    </row>
    <row r="1052" spans="1:5">
      <c r="A1052" s="1">
        <v>36662</v>
      </c>
      <c r="B1052" s="1">
        <v>39082</v>
      </c>
      <c r="C1052" s="2">
        <f t="shared" si="20"/>
        <v>6.6255989048596851</v>
      </c>
      <c r="D1052" s="3">
        <v>100.4</v>
      </c>
      <c r="E1052" s="2">
        <v>15.1</v>
      </c>
    </row>
    <row r="1053" spans="1:5">
      <c r="A1053" s="1">
        <v>38186</v>
      </c>
      <c r="B1053" s="1">
        <v>39082</v>
      </c>
      <c r="C1053" s="2">
        <f t="shared" si="20"/>
        <v>2.4531143052703626</v>
      </c>
      <c r="D1053" s="3">
        <v>100.5</v>
      </c>
      <c r="E1053" s="2">
        <v>15.4</v>
      </c>
    </row>
    <row r="1054" spans="1:5">
      <c r="A1054" s="1">
        <v>36872</v>
      </c>
      <c r="B1054" s="1">
        <v>39082</v>
      </c>
      <c r="C1054" s="2">
        <f t="shared" si="20"/>
        <v>6.0506502395619437</v>
      </c>
      <c r="D1054" s="3">
        <v>100.7</v>
      </c>
      <c r="E1054" s="2">
        <v>15.7</v>
      </c>
    </row>
    <row r="1055" spans="1:5">
      <c r="A1055" s="1">
        <v>36786</v>
      </c>
      <c r="B1055" s="1">
        <v>39082</v>
      </c>
      <c r="C1055" s="2">
        <f t="shared" si="20"/>
        <v>6.2861054072553042</v>
      </c>
      <c r="D1055" s="3">
        <v>100.7</v>
      </c>
      <c r="E1055" s="2">
        <v>13.2</v>
      </c>
    </row>
    <row r="1056" spans="1:5">
      <c r="A1056" s="1">
        <v>36931</v>
      </c>
      <c r="B1056" s="1">
        <v>39082</v>
      </c>
      <c r="C1056" s="2">
        <f t="shared" si="20"/>
        <v>5.8891170431211499</v>
      </c>
      <c r="D1056" s="3">
        <v>101</v>
      </c>
      <c r="E1056" s="2">
        <v>12.6</v>
      </c>
    </row>
    <row r="1057" spans="1:5">
      <c r="A1057" s="1">
        <v>38241</v>
      </c>
      <c r="B1057" s="1">
        <v>39082</v>
      </c>
      <c r="C1057" s="2">
        <f t="shared" si="20"/>
        <v>2.3025325119780971</v>
      </c>
      <c r="D1057" s="3">
        <v>101</v>
      </c>
      <c r="E1057" s="2">
        <v>14.1</v>
      </c>
    </row>
    <row r="1058" spans="1:5">
      <c r="A1058" s="1">
        <v>36994</v>
      </c>
      <c r="B1058" s="1">
        <v>39082</v>
      </c>
      <c r="C1058" s="2">
        <f t="shared" si="20"/>
        <v>5.7166324435318279</v>
      </c>
      <c r="D1058" s="3">
        <v>101.1</v>
      </c>
      <c r="E1058" s="2">
        <v>15.3</v>
      </c>
    </row>
    <row r="1059" spans="1:5">
      <c r="A1059" s="1">
        <v>36844</v>
      </c>
      <c r="B1059" s="1">
        <v>39082</v>
      </c>
      <c r="C1059" s="2">
        <f t="shared" si="20"/>
        <v>6.1273100616016425</v>
      </c>
      <c r="D1059" s="3">
        <v>101.2</v>
      </c>
      <c r="E1059" s="2">
        <v>16.8</v>
      </c>
    </row>
    <row r="1060" spans="1:5">
      <c r="A1060" s="1">
        <v>38020</v>
      </c>
      <c r="B1060" s="1">
        <v>39082</v>
      </c>
      <c r="C1060" s="2">
        <f t="shared" si="20"/>
        <v>2.9075975359342916</v>
      </c>
      <c r="D1060" s="3">
        <v>101.4</v>
      </c>
      <c r="E1060" s="2">
        <v>18.7</v>
      </c>
    </row>
    <row r="1061" spans="1:5">
      <c r="A1061" s="1">
        <v>36745</v>
      </c>
      <c r="B1061" s="1">
        <v>39082</v>
      </c>
      <c r="C1061" s="2">
        <f t="shared" si="20"/>
        <v>6.3983572895277208</v>
      </c>
      <c r="D1061" s="3">
        <v>101.5</v>
      </c>
      <c r="E1061" s="2">
        <v>14.5</v>
      </c>
    </row>
    <row r="1062" spans="1:5">
      <c r="A1062" s="1">
        <v>38032</v>
      </c>
      <c r="B1062" s="1">
        <v>39082</v>
      </c>
      <c r="C1062" s="2">
        <f t="shared" si="20"/>
        <v>2.8747433264887063</v>
      </c>
      <c r="D1062" s="3">
        <v>101.8</v>
      </c>
      <c r="E1062" s="2">
        <v>16</v>
      </c>
    </row>
    <row r="1063" spans="1:5">
      <c r="A1063" s="1">
        <v>38236</v>
      </c>
      <c r="B1063" s="1">
        <v>39082</v>
      </c>
      <c r="C1063" s="2">
        <f t="shared" si="20"/>
        <v>2.3162217659137578</v>
      </c>
      <c r="D1063" s="3">
        <v>102</v>
      </c>
      <c r="E1063" s="2">
        <v>16.100000000000001</v>
      </c>
    </row>
    <row r="1064" spans="1:5">
      <c r="A1064" s="1">
        <v>38276</v>
      </c>
      <c r="B1064" s="1">
        <v>39082</v>
      </c>
      <c r="C1064" s="2">
        <f t="shared" si="20"/>
        <v>2.2067077344284738</v>
      </c>
      <c r="D1064" s="3">
        <v>102</v>
      </c>
      <c r="E1064" s="2">
        <v>14.5</v>
      </c>
    </row>
    <row r="1065" spans="1:5">
      <c r="A1065" s="1">
        <v>38108</v>
      </c>
      <c r="B1065" s="1">
        <v>39082</v>
      </c>
      <c r="C1065" s="2">
        <f t="shared" si="20"/>
        <v>2.6666666666666665</v>
      </c>
      <c r="D1065" s="3">
        <v>102</v>
      </c>
      <c r="E1065" s="2">
        <v>14.3</v>
      </c>
    </row>
    <row r="1066" spans="1:5">
      <c r="A1066" s="1">
        <v>38341</v>
      </c>
      <c r="B1066" s="1">
        <v>39082</v>
      </c>
      <c r="C1066" s="2">
        <f t="shared" si="20"/>
        <v>2.0287474332648872</v>
      </c>
      <c r="D1066" s="3">
        <v>102.3</v>
      </c>
      <c r="E1066" s="2">
        <v>15.4</v>
      </c>
    </row>
    <row r="1067" spans="1:5">
      <c r="A1067" s="1">
        <v>38092</v>
      </c>
      <c r="B1067" s="1">
        <v>39082</v>
      </c>
      <c r="C1067" s="2">
        <f t="shared" si="20"/>
        <v>2.7104722792607805</v>
      </c>
      <c r="D1067" s="3">
        <v>102.3</v>
      </c>
      <c r="E1067" s="2">
        <v>15.4</v>
      </c>
    </row>
    <row r="1068" spans="1:5">
      <c r="A1068" s="1">
        <v>36825</v>
      </c>
      <c r="B1068" s="1">
        <v>39082</v>
      </c>
      <c r="C1068" s="2">
        <f t="shared" si="20"/>
        <v>6.1793292265571527</v>
      </c>
      <c r="D1068" s="3">
        <v>102.5</v>
      </c>
      <c r="E1068" s="2">
        <v>15.6</v>
      </c>
    </row>
    <row r="1069" spans="1:5">
      <c r="A1069" s="1">
        <v>38164</v>
      </c>
      <c r="B1069" s="1">
        <v>39082</v>
      </c>
      <c r="C1069" s="2">
        <f t="shared" si="20"/>
        <v>2.5133470225872689</v>
      </c>
      <c r="D1069" s="3">
        <v>102.5</v>
      </c>
      <c r="E1069" s="2">
        <v>14.2</v>
      </c>
    </row>
    <row r="1070" spans="1:5">
      <c r="A1070" s="1">
        <v>36823</v>
      </c>
      <c r="B1070" s="1">
        <v>39082</v>
      </c>
      <c r="C1070" s="2">
        <f t="shared" si="20"/>
        <v>6.1848049281314168</v>
      </c>
      <c r="D1070" s="3">
        <v>103.3</v>
      </c>
      <c r="E1070" s="2">
        <v>14.4</v>
      </c>
    </row>
    <row r="1071" spans="1:5">
      <c r="A1071" s="1">
        <v>36747</v>
      </c>
      <c r="B1071" s="1">
        <v>39082</v>
      </c>
      <c r="C1071" s="2">
        <f t="shared" si="20"/>
        <v>6.3928815879534566</v>
      </c>
      <c r="D1071" s="3">
        <v>103.5</v>
      </c>
      <c r="E1071" s="2">
        <v>12.2</v>
      </c>
    </row>
    <row r="1072" spans="1:5">
      <c r="A1072" s="1">
        <v>38132</v>
      </c>
      <c r="B1072" s="1">
        <v>39082</v>
      </c>
      <c r="C1072" s="2">
        <f t="shared" si="20"/>
        <v>2.6009582477754964</v>
      </c>
      <c r="D1072" s="3">
        <v>103.6</v>
      </c>
      <c r="E1072" s="2">
        <v>16</v>
      </c>
    </row>
    <row r="1073" spans="1:5">
      <c r="A1073" s="1">
        <v>36677</v>
      </c>
      <c r="B1073" s="1">
        <v>39082</v>
      </c>
      <c r="C1073" s="2">
        <f t="shared" si="20"/>
        <v>6.584531143052704</v>
      </c>
      <c r="D1073" s="3">
        <v>103.6</v>
      </c>
      <c r="E1073" s="2">
        <v>15.8</v>
      </c>
    </row>
    <row r="1074" spans="1:5">
      <c r="A1074" s="1">
        <v>38153</v>
      </c>
      <c r="B1074" s="1">
        <v>39082</v>
      </c>
      <c r="C1074" s="2">
        <f t="shared" si="20"/>
        <v>2.5434633812457221</v>
      </c>
      <c r="D1074" s="3">
        <v>104</v>
      </c>
      <c r="E1074" s="2">
        <v>15.6</v>
      </c>
    </row>
    <row r="1075" spans="1:5">
      <c r="A1075" s="1">
        <v>36797</v>
      </c>
      <c r="B1075" s="1">
        <v>39082</v>
      </c>
      <c r="C1075" s="2">
        <f t="shared" si="20"/>
        <v>6.2559890485968515</v>
      </c>
      <c r="D1075" s="3">
        <v>105</v>
      </c>
      <c r="E1075" s="2">
        <v>13.4</v>
      </c>
    </row>
    <row r="1076" spans="1:5">
      <c r="A1076" s="1">
        <v>36985</v>
      </c>
      <c r="B1076" s="1">
        <v>39082</v>
      </c>
      <c r="C1076" s="2">
        <f t="shared" si="20"/>
        <v>5.7412731006160165</v>
      </c>
      <c r="D1076" s="3">
        <v>105.2</v>
      </c>
      <c r="E1076" s="2">
        <v>15.7</v>
      </c>
    </row>
    <row r="1077" spans="1:5">
      <c r="A1077" s="1">
        <v>36678</v>
      </c>
      <c r="B1077" s="1">
        <v>39082</v>
      </c>
      <c r="C1077" s="2">
        <f t="shared" si="20"/>
        <v>6.5817932922655711</v>
      </c>
      <c r="D1077" s="3">
        <v>105.3</v>
      </c>
      <c r="E1077" s="2">
        <v>16.5</v>
      </c>
    </row>
    <row r="1078" spans="1:5">
      <c r="A1078" s="1">
        <v>36669</v>
      </c>
      <c r="B1078" s="1">
        <v>39082</v>
      </c>
      <c r="C1078" s="2">
        <f t="shared" si="20"/>
        <v>6.6064339493497606</v>
      </c>
      <c r="D1078" s="3">
        <v>105.5</v>
      </c>
      <c r="E1078" s="2">
        <v>17.7</v>
      </c>
    </row>
    <row r="1079" spans="1:5">
      <c r="A1079" s="1">
        <v>36662</v>
      </c>
      <c r="B1079" s="1">
        <v>39082</v>
      </c>
      <c r="C1079" s="2">
        <f t="shared" si="20"/>
        <v>6.6255989048596851</v>
      </c>
      <c r="D1079" s="3">
        <v>105.8</v>
      </c>
      <c r="E1079" s="2">
        <v>15.5</v>
      </c>
    </row>
    <row r="1080" spans="1:5">
      <c r="A1080" s="1">
        <v>38092</v>
      </c>
      <c r="B1080" s="1">
        <v>39082</v>
      </c>
      <c r="C1080" s="2">
        <f t="shared" si="20"/>
        <v>2.7104722792607805</v>
      </c>
      <c r="D1080" s="3">
        <v>106.2</v>
      </c>
      <c r="E1080" s="2">
        <v>15.6</v>
      </c>
    </row>
    <row r="1081" spans="1:5">
      <c r="A1081" s="1">
        <v>38148</v>
      </c>
      <c r="B1081" s="1">
        <v>39082</v>
      </c>
      <c r="C1081" s="2">
        <f t="shared" si="20"/>
        <v>2.5571526351813825</v>
      </c>
      <c r="D1081" s="3">
        <v>110.1</v>
      </c>
      <c r="E1081" s="2">
        <v>14.4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81"/>
  <sheetViews>
    <sheetView topLeftCell="A22" workbookViewId="0">
      <selection activeCell="L46" sqref="L46"/>
    </sheetView>
  </sheetViews>
  <sheetFormatPr defaultColWidth="8.77734375" defaultRowHeight="14.4"/>
  <cols>
    <col min="1" max="3" width="11.5546875" customWidth="1"/>
    <col min="4" max="9" width="9"/>
    <col min="11" max="11" width="17.6640625" customWidth="1"/>
    <col min="12" max="12" width="16.33203125" customWidth="1"/>
    <col min="13" max="13" width="14.109375" customWidth="1"/>
    <col min="14" max="14" width="13.6640625" customWidth="1"/>
    <col min="15" max="15" width="16.6640625" customWidth="1"/>
    <col min="16" max="16" width="16.33203125" customWidth="1"/>
    <col min="17" max="17" width="12.44140625" customWidth="1"/>
    <col min="18" max="18" width="12.33203125" customWidth="1"/>
  </cols>
  <sheetData>
    <row r="1" spans="1:13">
      <c r="A1" t="s">
        <v>3</v>
      </c>
      <c r="B1" t="s">
        <v>4</v>
      </c>
      <c r="C1" t="s">
        <v>5</v>
      </c>
      <c r="D1" t="s">
        <v>17</v>
      </c>
      <c r="E1" t="s">
        <v>18</v>
      </c>
      <c r="F1" t="s">
        <v>2</v>
      </c>
      <c r="G1" t="s">
        <v>22</v>
      </c>
      <c r="H1" t="s">
        <v>17</v>
      </c>
      <c r="I1" t="s">
        <v>18</v>
      </c>
    </row>
    <row r="2" spans="1:13">
      <c r="A2" s="1">
        <v>38345</v>
      </c>
      <c r="B2" s="1">
        <v>39082</v>
      </c>
      <c r="C2" s="2">
        <f t="shared" ref="C2:C65" si="0">(B2-A2)/365.25</f>
        <v>2.0177960301163584</v>
      </c>
      <c r="D2" s="3">
        <v>54.8</v>
      </c>
      <c r="E2" s="2">
        <v>4.3</v>
      </c>
      <c r="F2" s="3">
        <v>1</v>
      </c>
      <c r="G2" s="3">
        <v>0</v>
      </c>
      <c r="H2" s="3">
        <v>54.8</v>
      </c>
      <c r="I2" s="2">
        <v>4.3</v>
      </c>
    </row>
    <row r="3" spans="1:13">
      <c r="A3" s="1">
        <v>38311</v>
      </c>
      <c r="B3" s="1">
        <v>39082</v>
      </c>
      <c r="C3" s="2">
        <f t="shared" si="0"/>
        <v>2.1108829568788501</v>
      </c>
      <c r="D3" s="3">
        <v>60.6</v>
      </c>
      <c r="E3" s="2">
        <v>5.7</v>
      </c>
      <c r="F3" s="3">
        <v>1</v>
      </c>
      <c r="G3" s="3">
        <v>0</v>
      </c>
      <c r="H3" s="3">
        <v>60.6</v>
      </c>
      <c r="I3" s="2">
        <v>5.7</v>
      </c>
    </row>
    <row r="4" spans="1:13">
      <c r="A4" s="1">
        <v>38118</v>
      </c>
      <c r="B4" s="1">
        <v>39082</v>
      </c>
      <c r="C4" s="2">
        <f t="shared" si="0"/>
        <v>2.6392881587953458</v>
      </c>
      <c r="D4" s="3">
        <v>65</v>
      </c>
      <c r="E4" s="2">
        <v>6.5</v>
      </c>
      <c r="F4" s="3">
        <v>1</v>
      </c>
      <c r="G4" s="3">
        <v>0</v>
      </c>
      <c r="H4" s="3">
        <v>65</v>
      </c>
      <c r="I4" s="2">
        <v>6.5</v>
      </c>
    </row>
    <row r="5" spans="1:13">
      <c r="A5" s="1">
        <v>38196</v>
      </c>
      <c r="B5" s="1">
        <v>39082</v>
      </c>
      <c r="C5" s="2">
        <f t="shared" si="0"/>
        <v>2.4257357973990419</v>
      </c>
      <c r="D5" s="3">
        <v>65.599999999999994</v>
      </c>
      <c r="E5" s="2">
        <v>8.4</v>
      </c>
      <c r="F5" s="3">
        <v>1</v>
      </c>
      <c r="G5" s="3">
        <v>1</v>
      </c>
      <c r="H5" s="3">
        <v>65.599999999999994</v>
      </c>
      <c r="I5" s="2">
        <v>8.4</v>
      </c>
    </row>
    <row r="6" spans="1:13">
      <c r="A6" s="1">
        <v>38210</v>
      </c>
      <c r="B6" s="1">
        <v>39082</v>
      </c>
      <c r="C6" s="2">
        <f t="shared" si="0"/>
        <v>2.3874058863791925</v>
      </c>
      <c r="D6" s="3">
        <v>66.5</v>
      </c>
      <c r="E6" s="2">
        <v>8.1</v>
      </c>
      <c r="F6" s="3">
        <v>1</v>
      </c>
      <c r="G6" s="3">
        <v>1</v>
      </c>
      <c r="H6" s="3">
        <v>66.5</v>
      </c>
      <c r="I6" s="2">
        <v>8.1</v>
      </c>
    </row>
    <row r="7" spans="1:13">
      <c r="A7" s="1">
        <v>38079</v>
      </c>
      <c r="B7" s="1">
        <v>39082</v>
      </c>
      <c r="C7" s="2">
        <f t="shared" si="0"/>
        <v>2.7460643394934978</v>
      </c>
      <c r="D7" s="3">
        <v>66.5</v>
      </c>
      <c r="E7" s="2">
        <v>7.3</v>
      </c>
      <c r="F7" s="3">
        <v>1</v>
      </c>
      <c r="G7" s="3">
        <v>1</v>
      </c>
      <c r="H7" s="3">
        <v>66.5</v>
      </c>
      <c r="I7" s="2">
        <v>7.3</v>
      </c>
      <c r="L7" s="4"/>
    </row>
    <row r="8" spans="1:13">
      <c r="A8" s="1">
        <v>38220</v>
      </c>
      <c r="B8" s="1">
        <v>39082</v>
      </c>
      <c r="C8" s="2">
        <f t="shared" si="0"/>
        <v>2.3600273785078714</v>
      </c>
      <c r="D8" s="3">
        <v>67.7</v>
      </c>
      <c r="E8" s="2">
        <v>8.6</v>
      </c>
      <c r="F8" s="3">
        <v>1</v>
      </c>
      <c r="G8" s="3">
        <v>1</v>
      </c>
      <c r="H8" s="3">
        <v>67.7</v>
      </c>
      <c r="I8" s="2">
        <v>8.6</v>
      </c>
    </row>
    <row r="9" spans="1:13">
      <c r="A9" s="1">
        <v>38173</v>
      </c>
      <c r="B9" s="1">
        <v>39082</v>
      </c>
      <c r="C9" s="2">
        <f t="shared" si="0"/>
        <v>2.4887063655030799</v>
      </c>
      <c r="D9" s="3">
        <v>67.8</v>
      </c>
      <c r="E9" s="2">
        <v>7.2</v>
      </c>
      <c r="F9" s="3">
        <v>1</v>
      </c>
      <c r="G9" s="3">
        <v>0</v>
      </c>
      <c r="H9" s="3">
        <v>67.8</v>
      </c>
      <c r="I9" s="2">
        <v>7.2</v>
      </c>
    </row>
    <row r="10" spans="1:13">
      <c r="A10" s="1">
        <v>38160</v>
      </c>
      <c r="B10" s="1">
        <v>39082</v>
      </c>
      <c r="C10" s="2">
        <f t="shared" si="0"/>
        <v>2.5242984257357972</v>
      </c>
      <c r="D10" s="3">
        <v>67.8</v>
      </c>
      <c r="E10" s="2">
        <v>6.7</v>
      </c>
      <c r="F10" s="3">
        <v>1</v>
      </c>
      <c r="G10" s="3">
        <v>1</v>
      </c>
      <c r="H10" s="3">
        <v>67.8</v>
      </c>
      <c r="I10" s="2">
        <v>6.7</v>
      </c>
    </row>
    <row r="11" spans="1:13">
      <c r="A11" s="1">
        <v>37987</v>
      </c>
      <c r="B11" s="1">
        <v>39082</v>
      </c>
      <c r="C11" s="2">
        <f t="shared" si="0"/>
        <v>2.9979466119096507</v>
      </c>
      <c r="D11" s="3">
        <v>68.099999999999994</v>
      </c>
      <c r="E11" s="2">
        <v>5.9</v>
      </c>
      <c r="F11" s="3">
        <v>1</v>
      </c>
      <c r="G11" s="3">
        <v>1</v>
      </c>
      <c r="H11" s="3">
        <v>68.099999999999994</v>
      </c>
      <c r="I11" s="2">
        <v>5.9</v>
      </c>
    </row>
    <row r="12" spans="1:13">
      <c r="A12" s="1">
        <v>38153</v>
      </c>
      <c r="B12" s="1">
        <v>39082</v>
      </c>
      <c r="C12" s="2">
        <f t="shared" si="0"/>
        <v>2.5434633812457221</v>
      </c>
      <c r="D12" s="3">
        <v>68.3</v>
      </c>
      <c r="E12" s="2">
        <v>8</v>
      </c>
      <c r="F12" s="3">
        <v>1</v>
      </c>
      <c r="G12" s="3">
        <v>1</v>
      </c>
      <c r="H12" s="3">
        <v>68.3</v>
      </c>
      <c r="I12" s="2">
        <v>8</v>
      </c>
    </row>
    <row r="13" spans="1:13">
      <c r="A13" s="1">
        <v>38091</v>
      </c>
      <c r="B13" s="1">
        <v>39082</v>
      </c>
      <c r="C13" s="2">
        <f t="shared" si="0"/>
        <v>2.7132101300479126</v>
      </c>
      <c r="D13" s="3">
        <v>69.5</v>
      </c>
      <c r="E13" s="2">
        <v>8</v>
      </c>
      <c r="F13" s="3">
        <v>1</v>
      </c>
      <c r="G13" s="3">
        <v>0</v>
      </c>
      <c r="H13" s="3">
        <v>69.5</v>
      </c>
      <c r="I13" s="2">
        <v>8</v>
      </c>
      <c r="M13">
        <f>_xlfn.NORM.DIST(M14,M15,M16,TRUE())</f>
        <v>0.30853753872598688</v>
      </c>
    </row>
    <row r="14" spans="1:13">
      <c r="A14" s="1">
        <v>38132</v>
      </c>
      <c r="B14" s="1">
        <v>39082</v>
      </c>
      <c r="C14" s="2">
        <f t="shared" si="0"/>
        <v>2.6009582477754964</v>
      </c>
      <c r="D14" s="3">
        <v>70.400000000000006</v>
      </c>
      <c r="E14" s="2">
        <v>8.5</v>
      </c>
      <c r="F14" s="3">
        <v>1</v>
      </c>
      <c r="G14" s="3">
        <v>1</v>
      </c>
      <c r="H14" s="3">
        <v>70.400000000000006</v>
      </c>
      <c r="I14" s="2">
        <v>8.5</v>
      </c>
      <c r="L14" t="s">
        <v>1169</v>
      </c>
      <c r="M14">
        <v>0</v>
      </c>
    </row>
    <row r="15" spans="1:13">
      <c r="A15" s="1">
        <v>38052</v>
      </c>
      <c r="B15" s="1">
        <v>39082</v>
      </c>
      <c r="C15" s="2">
        <f t="shared" si="0"/>
        <v>2.8199863107460645</v>
      </c>
      <c r="D15" s="3">
        <v>71.3</v>
      </c>
      <c r="E15" s="2">
        <v>8.4</v>
      </c>
      <c r="F15" s="3">
        <v>1</v>
      </c>
      <c r="G15" s="3">
        <v>1</v>
      </c>
      <c r="H15" s="3">
        <v>71.3</v>
      </c>
      <c r="I15" s="2">
        <v>8.4</v>
      </c>
      <c r="L15" t="s">
        <v>1170</v>
      </c>
      <c r="M15">
        <v>1</v>
      </c>
    </row>
    <row r="16" spans="1:13">
      <c r="A16" s="1">
        <v>37810</v>
      </c>
      <c r="B16" s="1">
        <v>39082</v>
      </c>
      <c r="C16" s="2">
        <f t="shared" si="0"/>
        <v>3.482546201232033</v>
      </c>
      <c r="D16" s="3">
        <v>71.8</v>
      </c>
      <c r="E16" s="2">
        <v>8.1</v>
      </c>
      <c r="F16" s="3">
        <v>0</v>
      </c>
      <c r="G16" s="3">
        <v>0</v>
      </c>
      <c r="H16" s="3">
        <v>71.8</v>
      </c>
      <c r="I16" s="2">
        <v>8.1</v>
      </c>
      <c r="L16" t="s">
        <v>1171</v>
      </c>
      <c r="M16">
        <v>2</v>
      </c>
    </row>
    <row r="17" spans="1:14">
      <c r="A17" s="1">
        <v>38111</v>
      </c>
      <c r="B17" s="1">
        <v>39082</v>
      </c>
      <c r="C17" s="2">
        <f t="shared" si="0"/>
        <v>2.6584531143052703</v>
      </c>
      <c r="D17" s="3">
        <v>72.3</v>
      </c>
      <c r="E17" s="2">
        <v>8.1</v>
      </c>
      <c r="F17" s="3">
        <v>1</v>
      </c>
      <c r="G17" s="3">
        <v>1</v>
      </c>
      <c r="H17" s="3">
        <v>72.3</v>
      </c>
      <c r="I17" s="2">
        <v>8.1</v>
      </c>
    </row>
    <row r="18" spans="1:14">
      <c r="A18" s="1">
        <v>37971</v>
      </c>
      <c r="B18" s="1">
        <v>39082</v>
      </c>
      <c r="C18" s="2">
        <f t="shared" si="0"/>
        <v>3.0417522245037647</v>
      </c>
      <c r="D18" s="3">
        <v>74.3</v>
      </c>
      <c r="E18" s="2">
        <v>8.1</v>
      </c>
      <c r="F18" s="3">
        <v>1</v>
      </c>
      <c r="G18" s="3">
        <v>0</v>
      </c>
      <c r="H18" s="3">
        <v>74.3</v>
      </c>
      <c r="I18" s="2">
        <v>8.1</v>
      </c>
    </row>
    <row r="19" spans="1:14">
      <c r="A19" s="1">
        <v>38014</v>
      </c>
      <c r="B19" s="1">
        <v>39082</v>
      </c>
      <c r="C19" s="2">
        <f t="shared" si="0"/>
        <v>2.924024640657084</v>
      </c>
      <c r="D19" s="3">
        <v>74.5</v>
      </c>
      <c r="E19" s="2">
        <v>9.9</v>
      </c>
      <c r="F19" s="3">
        <v>1</v>
      </c>
      <c r="G19" s="3">
        <v>0</v>
      </c>
      <c r="H19" s="3">
        <v>74.5</v>
      </c>
      <c r="I19" s="2">
        <v>9.9</v>
      </c>
      <c r="K19" t="s">
        <v>1172</v>
      </c>
      <c r="L19" t="s">
        <v>1173</v>
      </c>
      <c r="M19" t="s">
        <v>1174</v>
      </c>
      <c r="N19" t="s">
        <v>1175</v>
      </c>
    </row>
    <row r="20" spans="1:14">
      <c r="A20" s="1">
        <v>38210</v>
      </c>
      <c r="B20" s="1">
        <v>39082</v>
      </c>
      <c r="C20" s="2">
        <f t="shared" si="0"/>
        <v>2.3874058863791925</v>
      </c>
      <c r="D20" s="3">
        <v>74.5</v>
      </c>
      <c r="E20" s="2">
        <v>8.9</v>
      </c>
      <c r="F20" s="3">
        <v>1</v>
      </c>
      <c r="G20" s="3">
        <v>0</v>
      </c>
      <c r="H20" s="3">
        <v>74.5</v>
      </c>
      <c r="I20" s="2">
        <v>8.9</v>
      </c>
      <c r="K20" s="4">
        <v>0.05</v>
      </c>
      <c r="L20">
        <f>K20/2</f>
        <v>2.5000000000000001E-2</v>
      </c>
      <c r="M20">
        <f>1-L20</f>
        <v>0.97499999999999998</v>
      </c>
      <c r="N20">
        <f>NORMSINV(M20)</f>
        <v>1.9599639845400536</v>
      </c>
    </row>
    <row r="21" spans="1:14">
      <c r="A21" s="1">
        <v>37817</v>
      </c>
      <c r="B21" s="1">
        <v>39082</v>
      </c>
      <c r="C21" s="2">
        <f t="shared" si="0"/>
        <v>3.463381245722108</v>
      </c>
      <c r="D21" s="3">
        <v>74.7</v>
      </c>
      <c r="E21" s="2">
        <v>8.9</v>
      </c>
      <c r="F21" s="3">
        <v>0</v>
      </c>
      <c r="G21" s="3">
        <v>1</v>
      </c>
      <c r="H21" s="3">
        <v>74.7</v>
      </c>
      <c r="I21" s="2">
        <v>8.9</v>
      </c>
      <c r="K21" s="4">
        <v>0.1</v>
      </c>
      <c r="L21">
        <f>K21/2</f>
        <v>0.05</v>
      </c>
      <c r="M21">
        <f>1-L21</f>
        <v>0.95</v>
      </c>
      <c r="N21">
        <f>NORMSINV(M21)</f>
        <v>1.6448536269514715</v>
      </c>
    </row>
    <row r="22" spans="1:14">
      <c r="A22" s="1">
        <v>38001</v>
      </c>
      <c r="B22" s="1">
        <v>39082</v>
      </c>
      <c r="C22" s="2">
        <f t="shared" si="0"/>
        <v>2.9596167008898013</v>
      </c>
      <c r="D22" s="3">
        <v>75.5</v>
      </c>
      <c r="E22" s="2">
        <v>9.9</v>
      </c>
      <c r="F22" s="3">
        <v>1</v>
      </c>
      <c r="G22" s="3">
        <v>0</v>
      </c>
      <c r="H22" s="3">
        <v>75.5</v>
      </c>
      <c r="I22" s="2">
        <v>9.9</v>
      </c>
      <c r="K22" s="4">
        <v>0.15</v>
      </c>
      <c r="L22">
        <f>K22/2</f>
        <v>7.4999999999999997E-2</v>
      </c>
      <c r="M22">
        <f>1-L22</f>
        <v>0.92500000000000004</v>
      </c>
      <c r="N22">
        <f>NORMSINV(M22)</f>
        <v>1.4395314709384563</v>
      </c>
    </row>
    <row r="23" spans="1:14">
      <c r="A23" s="1">
        <v>37878</v>
      </c>
      <c r="B23" s="1">
        <v>39082</v>
      </c>
      <c r="C23" s="2">
        <f t="shared" si="0"/>
        <v>3.2963723477070501</v>
      </c>
      <c r="D23" s="3">
        <v>76.400000000000006</v>
      </c>
      <c r="E23" s="2">
        <v>9.1</v>
      </c>
      <c r="F23" s="3">
        <v>1</v>
      </c>
      <c r="G23" s="3">
        <v>1</v>
      </c>
      <c r="H23" s="3">
        <v>76.400000000000006</v>
      </c>
      <c r="I23" s="2">
        <v>9.1</v>
      </c>
      <c r="K23" s="4">
        <v>0.2</v>
      </c>
      <c r="L23">
        <f>K23/2</f>
        <v>0.1</v>
      </c>
      <c r="M23">
        <f>1-L23</f>
        <v>0.9</v>
      </c>
      <c r="N23">
        <f>NORMSINV(M23)</f>
        <v>1.2815515655446006</v>
      </c>
    </row>
    <row r="24" spans="1:14">
      <c r="A24" s="1">
        <v>38292</v>
      </c>
      <c r="B24" s="1">
        <v>39082</v>
      </c>
      <c r="C24" s="2">
        <f t="shared" si="0"/>
        <v>2.1629021218343598</v>
      </c>
      <c r="D24" s="3">
        <v>77.5</v>
      </c>
      <c r="E24" s="2">
        <v>9.6</v>
      </c>
      <c r="F24" s="3">
        <v>1</v>
      </c>
      <c r="G24" s="3">
        <v>1</v>
      </c>
      <c r="H24" s="3">
        <v>77.5</v>
      </c>
      <c r="I24" s="2">
        <v>9.6</v>
      </c>
      <c r="K24" s="4">
        <v>0.3</v>
      </c>
      <c r="L24">
        <f>K24/2</f>
        <v>0.15</v>
      </c>
      <c r="M24">
        <f>1-L24</f>
        <v>0.85</v>
      </c>
      <c r="N24">
        <f>NORMSINV(M24)</f>
        <v>1.0364333894937898</v>
      </c>
    </row>
    <row r="25" spans="1:14">
      <c r="A25" s="1">
        <v>37694</v>
      </c>
      <c r="B25" s="1">
        <v>39082</v>
      </c>
      <c r="C25" s="2">
        <f t="shared" si="0"/>
        <v>3.8001368925393568</v>
      </c>
      <c r="D25" s="3">
        <v>77.7</v>
      </c>
      <c r="E25" s="2">
        <v>7.4</v>
      </c>
      <c r="F25" s="3">
        <v>0</v>
      </c>
      <c r="G25" s="3">
        <v>1</v>
      </c>
      <c r="H25" s="3">
        <v>77.7</v>
      </c>
      <c r="I25" s="2">
        <v>7.4</v>
      </c>
    </row>
    <row r="26" spans="1:14">
      <c r="A26" s="1">
        <v>38283</v>
      </c>
      <c r="B26" s="1">
        <v>39082</v>
      </c>
      <c r="C26" s="2">
        <f t="shared" si="0"/>
        <v>2.1875427789185489</v>
      </c>
      <c r="D26" s="3">
        <v>79</v>
      </c>
      <c r="E26" s="2">
        <v>9.6</v>
      </c>
      <c r="F26" s="3">
        <v>1</v>
      </c>
      <c r="G26" s="3">
        <v>1</v>
      </c>
      <c r="H26" s="3">
        <v>79</v>
      </c>
      <c r="I26" s="2">
        <v>9.6</v>
      </c>
    </row>
    <row r="27" spans="1:14">
      <c r="A27" s="1">
        <v>37860</v>
      </c>
      <c r="B27" s="1">
        <v>39082</v>
      </c>
      <c r="C27" s="2">
        <f t="shared" si="0"/>
        <v>3.3456536618754278</v>
      </c>
      <c r="D27" s="3">
        <v>80.099999999999994</v>
      </c>
      <c r="E27" s="2">
        <v>8.6999999999999993</v>
      </c>
      <c r="F27" s="3">
        <v>1</v>
      </c>
      <c r="G27" s="3">
        <v>0</v>
      </c>
      <c r="H27" s="3">
        <v>80.099999999999994</v>
      </c>
      <c r="I27" s="2">
        <v>8.6999999999999993</v>
      </c>
      <c r="L27" t="s">
        <v>1177</v>
      </c>
    </row>
    <row r="28" spans="1:14">
      <c r="A28" s="1">
        <v>37417</v>
      </c>
      <c r="B28" s="1">
        <v>39082</v>
      </c>
      <c r="C28" s="2">
        <f t="shared" si="0"/>
        <v>4.5585215605749489</v>
      </c>
      <c r="D28" s="3">
        <v>83</v>
      </c>
      <c r="E28" s="2">
        <v>9.8000000000000007</v>
      </c>
      <c r="F28" s="3">
        <v>0</v>
      </c>
      <c r="G28" s="3">
        <v>1</v>
      </c>
      <c r="H28" s="3">
        <v>83</v>
      </c>
      <c r="I28" s="2">
        <v>9.8000000000000007</v>
      </c>
    </row>
    <row r="29" spans="1:14">
      <c r="A29" s="1">
        <v>36709</v>
      </c>
      <c r="B29" s="1">
        <v>39082</v>
      </c>
      <c r="C29" s="2">
        <f t="shared" si="0"/>
        <v>6.4969199178644761</v>
      </c>
      <c r="D29" s="3">
        <v>85</v>
      </c>
      <c r="E29" s="2">
        <v>11.1</v>
      </c>
      <c r="F29" s="3">
        <v>0</v>
      </c>
      <c r="G29" s="3">
        <v>1</v>
      </c>
      <c r="H29" s="3">
        <v>85</v>
      </c>
      <c r="I29" s="2">
        <v>11.1</v>
      </c>
    </row>
    <row r="30" spans="1:14">
      <c r="A30" s="1">
        <v>36937</v>
      </c>
      <c r="B30" s="1">
        <v>39082</v>
      </c>
      <c r="C30" s="2">
        <f t="shared" si="0"/>
        <v>5.8726899383983575</v>
      </c>
      <c r="D30" s="3">
        <v>85.3</v>
      </c>
      <c r="E30" s="2">
        <v>11.1</v>
      </c>
      <c r="F30" s="3">
        <v>0</v>
      </c>
      <c r="G30" s="3">
        <v>1</v>
      </c>
      <c r="H30" s="3">
        <v>85.3</v>
      </c>
      <c r="I30" s="2">
        <v>11.1</v>
      </c>
    </row>
    <row r="31" spans="1:14">
      <c r="A31" s="1">
        <v>36965</v>
      </c>
      <c r="B31" s="1">
        <v>39082</v>
      </c>
      <c r="C31" s="2">
        <f t="shared" si="0"/>
        <v>5.7960301163586587</v>
      </c>
      <c r="D31" s="3">
        <v>89.1</v>
      </c>
      <c r="E31" s="2">
        <v>12.8</v>
      </c>
      <c r="F31" s="3">
        <v>0</v>
      </c>
      <c r="G31" s="3">
        <v>0</v>
      </c>
      <c r="H31" s="3">
        <v>89.1</v>
      </c>
      <c r="I31" s="2">
        <v>12.8</v>
      </c>
      <c r="L31" s="6" t="s">
        <v>1188</v>
      </c>
    </row>
    <row r="32" spans="1:14">
      <c r="A32" s="1">
        <v>37318</v>
      </c>
      <c r="B32" s="1">
        <v>39082</v>
      </c>
      <c r="C32" s="2">
        <f t="shared" si="0"/>
        <v>4.8295687885010263</v>
      </c>
      <c r="D32" s="3">
        <v>89.6</v>
      </c>
      <c r="E32" s="2">
        <v>11.6</v>
      </c>
      <c r="F32" s="3">
        <v>0</v>
      </c>
      <c r="G32" s="3">
        <v>1</v>
      </c>
      <c r="H32" s="3">
        <v>89.6</v>
      </c>
      <c r="I32" s="2">
        <v>11.6</v>
      </c>
    </row>
    <row r="33" spans="1:16">
      <c r="A33" s="1">
        <v>36851</v>
      </c>
      <c r="B33" s="1">
        <v>39082</v>
      </c>
      <c r="C33" s="2">
        <f t="shared" si="0"/>
        <v>6.108145106091718</v>
      </c>
      <c r="D33" s="3">
        <v>90.8</v>
      </c>
      <c r="E33" s="2">
        <v>14.1</v>
      </c>
      <c r="F33" s="3">
        <v>0</v>
      </c>
      <c r="G33" s="3">
        <v>0</v>
      </c>
      <c r="H33" s="3">
        <v>90.8</v>
      </c>
      <c r="I33" s="2">
        <v>14.1</v>
      </c>
      <c r="L33" s="7"/>
      <c r="M33" s="7" t="s">
        <v>2</v>
      </c>
      <c r="N33" s="7" t="s">
        <v>22</v>
      </c>
      <c r="O33" s="7" t="s">
        <v>17</v>
      </c>
      <c r="P33" s="7" t="s">
        <v>18</v>
      </c>
    </row>
    <row r="34" spans="1:16">
      <c r="A34" s="1">
        <v>36621</v>
      </c>
      <c r="B34" s="1">
        <v>39082</v>
      </c>
      <c r="C34" s="2">
        <f t="shared" si="0"/>
        <v>6.7378507871321016</v>
      </c>
      <c r="D34" s="3">
        <v>92.4</v>
      </c>
      <c r="E34" s="2">
        <v>11.3</v>
      </c>
      <c r="F34" s="3">
        <v>0</v>
      </c>
      <c r="G34" s="3">
        <v>0</v>
      </c>
      <c r="H34" s="3">
        <v>92.4</v>
      </c>
      <c r="I34" s="2">
        <v>11.3</v>
      </c>
      <c r="L34" s="7" t="s">
        <v>1181</v>
      </c>
      <c r="M34" s="8" t="s">
        <v>1182</v>
      </c>
      <c r="N34" s="8" t="s">
        <v>1182</v>
      </c>
      <c r="O34" s="8" t="s">
        <v>1183</v>
      </c>
      <c r="P34" s="8" t="s">
        <v>1183</v>
      </c>
    </row>
    <row r="35" spans="1:16">
      <c r="A35" s="1">
        <v>37318</v>
      </c>
      <c r="B35" s="1">
        <v>39082</v>
      </c>
      <c r="C35" s="2">
        <f t="shared" si="0"/>
        <v>4.8295687885010263</v>
      </c>
      <c r="D35" s="3">
        <v>92.4</v>
      </c>
      <c r="E35" s="2">
        <v>12.2</v>
      </c>
      <c r="F35" s="3">
        <v>0</v>
      </c>
      <c r="G35" s="3">
        <v>1</v>
      </c>
      <c r="H35" s="3">
        <v>92.4</v>
      </c>
      <c r="I35" s="2">
        <v>12.2</v>
      </c>
      <c r="L35" s="7" t="s">
        <v>1176</v>
      </c>
      <c r="M35" s="7">
        <f>AVERAGE(F:F)</f>
        <v>0.42314814814814816</v>
      </c>
      <c r="N35" s="7" cm="1">
        <f t="array" ref="N35">AVERAGE(_xlfn._xlws.FILTER(G:G,ISNUMBER(G:G)))</f>
        <v>0.50742115027829315</v>
      </c>
      <c r="O35" s="7">
        <f t="shared" ref="O35:P35" si="1">AVERAGE(H:H)</f>
        <v>80.753333333333359</v>
      </c>
      <c r="P35" s="7">
        <f t="shared" si="1"/>
        <v>10.247592592592595</v>
      </c>
    </row>
    <row r="36" spans="1:16">
      <c r="A36" s="1">
        <v>38312</v>
      </c>
      <c r="B36" s="1">
        <v>39082</v>
      </c>
      <c r="C36" s="2">
        <f t="shared" si="0"/>
        <v>2.108145106091718</v>
      </c>
      <c r="D36" s="3">
        <v>92.7</v>
      </c>
      <c r="E36" s="2">
        <v>12.3</v>
      </c>
      <c r="F36" s="3">
        <v>0</v>
      </c>
      <c r="G36" s="3">
        <v>0</v>
      </c>
      <c r="H36" s="3">
        <v>92.7</v>
      </c>
      <c r="I36" s="2">
        <v>12.3</v>
      </c>
      <c r="L36" s="7" t="s">
        <v>1178</v>
      </c>
      <c r="M36" s="9">
        <v>0.95</v>
      </c>
      <c r="N36" s="9">
        <v>0.8</v>
      </c>
      <c r="O36" s="9">
        <v>0.95</v>
      </c>
      <c r="P36" s="9">
        <v>0.7</v>
      </c>
    </row>
    <row r="37" spans="1:16">
      <c r="A37" s="1">
        <v>36958</v>
      </c>
      <c r="B37" s="1">
        <v>39082</v>
      </c>
      <c r="C37" s="2">
        <f t="shared" si="0"/>
        <v>5.8151950718685832</v>
      </c>
      <c r="D37" s="3">
        <v>93.3</v>
      </c>
      <c r="E37" s="2">
        <v>12.3</v>
      </c>
      <c r="F37" s="3">
        <v>0</v>
      </c>
      <c r="G37" s="3">
        <v>1</v>
      </c>
      <c r="H37" s="3">
        <v>93.3</v>
      </c>
      <c r="I37" s="2">
        <v>12.3</v>
      </c>
      <c r="L37" s="8" t="s">
        <v>1184</v>
      </c>
      <c r="M37" s="8">
        <v>1.96</v>
      </c>
      <c r="N37" s="8">
        <v>1.28</v>
      </c>
      <c r="O37" s="10">
        <v>1.96</v>
      </c>
      <c r="P37" s="8">
        <v>1.04</v>
      </c>
    </row>
    <row r="38" spans="1:16">
      <c r="A38" s="1">
        <v>37087</v>
      </c>
      <c r="B38" s="1">
        <v>39082</v>
      </c>
      <c r="C38" s="2">
        <f t="shared" si="0"/>
        <v>5.462012320328542</v>
      </c>
      <c r="D38" s="3">
        <v>93.4</v>
      </c>
      <c r="E38" s="2">
        <v>13.2</v>
      </c>
      <c r="F38" s="3">
        <v>0</v>
      </c>
      <c r="G38" s="3">
        <v>1</v>
      </c>
      <c r="H38" s="3">
        <v>93.4</v>
      </c>
      <c r="I38" s="2">
        <v>13.2</v>
      </c>
      <c r="L38" s="8" t="s">
        <v>1187</v>
      </c>
      <c r="M38" s="7">
        <f>_xlfn.CONFIDENCE.NORM(1-M36,_xlfn.STDEV.P(F:F),COUNT(F:F))</f>
        <v>2.9465551978749741E-2</v>
      </c>
      <c r="N38" s="7" cm="1">
        <f t="array" ref="N38">_xlfn.CONFIDENCE.NORM(1-N36,_xlfn.STDEV.P(_xlfn._xlws.FILTER(G:G,ISNUMBER(G:G))),COUNT(G:G))</f>
        <v>1.9514115354711363E-2</v>
      </c>
      <c r="O38" s="7">
        <f>_xlfn.CONFIDENCE.T(1-O36,_xlfn.STDEV.P(H:H),COUNT(H:H))</f>
        <v>0.72070121491842432</v>
      </c>
      <c r="P38" s="7">
        <f>_xlfn.CONFIDENCE.T(1-P36,_xlfn.STDEV.P(I:I),COUNT(I:I))</f>
        <v>8.560365673100509E-2</v>
      </c>
    </row>
    <row r="39" spans="1:16">
      <c r="A39" s="1">
        <v>36821</v>
      </c>
      <c r="B39" s="1">
        <v>39082</v>
      </c>
      <c r="C39" s="2">
        <f t="shared" si="0"/>
        <v>6.1902806297056809</v>
      </c>
      <c r="D39" s="3">
        <v>94.1</v>
      </c>
      <c r="E39" s="2">
        <v>13</v>
      </c>
      <c r="F39" s="3">
        <v>1</v>
      </c>
      <c r="G39" s="3">
        <v>1</v>
      </c>
      <c r="H39" s="3">
        <v>94.1</v>
      </c>
      <c r="I39" s="2">
        <v>13</v>
      </c>
      <c r="K39" s="6"/>
      <c r="L39" s="7" t="s">
        <v>1179</v>
      </c>
      <c r="M39" s="7">
        <f>M$35-M$38</f>
        <v>0.39368259616939844</v>
      </c>
      <c r="N39" s="7">
        <f t="shared" ref="N39:P39" si="2">N$35-N$38</f>
        <v>0.48790703492358178</v>
      </c>
      <c r="O39" s="7">
        <f t="shared" si="2"/>
        <v>80.032632118414938</v>
      </c>
      <c r="P39" s="7">
        <f t="shared" si="2"/>
        <v>10.16198893586159</v>
      </c>
    </row>
    <row r="40" spans="1:16">
      <c r="A40" s="1">
        <v>36757</v>
      </c>
      <c r="B40" s="1">
        <v>39082</v>
      </c>
      <c r="C40" s="2">
        <f t="shared" si="0"/>
        <v>6.3655030800821359</v>
      </c>
      <c r="D40" s="3">
        <v>95.1</v>
      </c>
      <c r="E40" s="2">
        <v>11.7</v>
      </c>
      <c r="F40" s="3">
        <v>0</v>
      </c>
      <c r="G40" s="3">
        <v>1</v>
      </c>
      <c r="H40" s="3">
        <v>95.1</v>
      </c>
      <c r="I40" s="2">
        <v>11.7</v>
      </c>
      <c r="L40" s="7" t="s">
        <v>1180</v>
      </c>
      <c r="M40" s="7">
        <f>M$35+M$38</f>
        <v>0.45261370012689789</v>
      </c>
      <c r="N40" s="7">
        <f t="shared" ref="N40:P40" si="3">N$35+N$38</f>
        <v>0.52693526563300452</v>
      </c>
      <c r="O40" s="7">
        <f t="shared" si="3"/>
        <v>81.47403454825178</v>
      </c>
      <c r="P40" s="7">
        <f t="shared" si="3"/>
        <v>10.333196249323599</v>
      </c>
    </row>
    <row r="41" spans="1:16">
      <c r="A41" s="1">
        <v>36896</v>
      </c>
      <c r="B41" s="1">
        <v>39082</v>
      </c>
      <c r="C41" s="2">
        <f t="shared" si="0"/>
        <v>5.9849418206707732</v>
      </c>
      <c r="D41" s="3">
        <v>95.9</v>
      </c>
      <c r="E41" s="2">
        <v>12.2</v>
      </c>
      <c r="F41" s="3">
        <v>0</v>
      </c>
      <c r="G41" s="3">
        <v>0</v>
      </c>
      <c r="H41" s="3">
        <v>95.9</v>
      </c>
      <c r="I41" s="2">
        <v>12.2</v>
      </c>
    </row>
    <row r="42" spans="1:16">
      <c r="A42" s="1">
        <v>36770</v>
      </c>
      <c r="B42" s="1">
        <v>39082</v>
      </c>
      <c r="C42" s="2">
        <f t="shared" si="0"/>
        <v>6.3299110198494182</v>
      </c>
      <c r="D42" s="3">
        <v>96</v>
      </c>
      <c r="E42" s="2">
        <v>12.9</v>
      </c>
      <c r="F42" s="3">
        <v>0</v>
      </c>
      <c r="G42" s="3">
        <v>1</v>
      </c>
      <c r="H42" s="3">
        <v>96</v>
      </c>
      <c r="I42" s="2">
        <v>12.9</v>
      </c>
    </row>
    <row r="43" spans="1:16">
      <c r="A43" s="1">
        <v>36661</v>
      </c>
      <c r="B43" s="1">
        <v>39082</v>
      </c>
      <c r="C43" s="2">
        <f t="shared" si="0"/>
        <v>6.6283367556468171</v>
      </c>
      <c r="D43" s="3">
        <v>96.4</v>
      </c>
      <c r="E43" s="2">
        <v>13.8</v>
      </c>
      <c r="F43" s="3">
        <v>0</v>
      </c>
      <c r="G43" s="3">
        <v>0</v>
      </c>
      <c r="H43" s="3">
        <v>96.4</v>
      </c>
      <c r="I43" s="2">
        <v>13.8</v>
      </c>
      <c r="L43" s="6"/>
    </row>
    <row r="44" spans="1:16">
      <c r="A44" s="1">
        <v>38273</v>
      </c>
      <c r="B44" s="1">
        <v>39082</v>
      </c>
      <c r="C44" s="2">
        <f t="shared" si="0"/>
        <v>2.21492128678987</v>
      </c>
      <c r="D44" s="3">
        <v>101.2</v>
      </c>
      <c r="E44" s="2">
        <v>17.3</v>
      </c>
      <c r="F44" s="3">
        <v>0</v>
      </c>
      <c r="G44" s="3">
        <v>0</v>
      </c>
      <c r="H44" s="3">
        <v>101.2</v>
      </c>
      <c r="I44" s="2">
        <v>17.3</v>
      </c>
      <c r="L44" s="21"/>
      <c r="M44" s="22"/>
      <c r="N44" s="22"/>
    </row>
    <row r="45" spans="1:16">
      <c r="A45" s="1">
        <v>38336</v>
      </c>
      <c r="B45" s="1">
        <v>39082</v>
      </c>
      <c r="C45" s="2">
        <f t="shared" si="0"/>
        <v>2.0424366872005475</v>
      </c>
      <c r="D45" s="3">
        <v>101.4</v>
      </c>
      <c r="E45" s="2">
        <v>15.8</v>
      </c>
      <c r="F45" s="3">
        <v>0</v>
      </c>
      <c r="G45" s="3">
        <v>1</v>
      </c>
      <c r="H45" s="3">
        <v>101.4</v>
      </c>
      <c r="I45" s="2">
        <v>15.8</v>
      </c>
    </row>
    <row r="46" spans="1:16">
      <c r="A46" s="1">
        <v>38083</v>
      </c>
      <c r="B46" s="1">
        <v>39082</v>
      </c>
      <c r="C46" s="2">
        <f t="shared" si="0"/>
        <v>2.7351129363449691</v>
      </c>
      <c r="D46" s="3">
        <v>102</v>
      </c>
      <c r="E46" s="2">
        <v>14.1</v>
      </c>
      <c r="F46" s="3">
        <v>0</v>
      </c>
      <c r="G46" s="3">
        <v>0</v>
      </c>
      <c r="H46" s="3">
        <v>102</v>
      </c>
      <c r="I46" s="2">
        <v>14.1</v>
      </c>
      <c r="L46" s="6"/>
    </row>
    <row r="47" spans="1:16">
      <c r="A47" s="1">
        <v>38710</v>
      </c>
      <c r="B47" s="1">
        <v>39082</v>
      </c>
      <c r="C47" s="2">
        <f t="shared" si="0"/>
        <v>1.0184804928131417</v>
      </c>
      <c r="D47" s="3">
        <v>55</v>
      </c>
      <c r="E47" s="2">
        <v>4.4000000000000004</v>
      </c>
      <c r="F47" s="3">
        <v>1</v>
      </c>
      <c r="G47" s="5" t="e">
        <v>#NULL!</v>
      </c>
      <c r="H47" s="3">
        <v>55</v>
      </c>
      <c r="I47" s="2">
        <v>4.4000000000000004</v>
      </c>
    </row>
    <row r="48" spans="1:16">
      <c r="A48" s="1">
        <v>38040</v>
      </c>
      <c r="B48" s="1">
        <v>39082</v>
      </c>
      <c r="C48" s="2">
        <f t="shared" si="0"/>
        <v>2.8528405201916494</v>
      </c>
      <c r="D48" s="3">
        <v>95</v>
      </c>
      <c r="E48" s="2">
        <v>14.3</v>
      </c>
      <c r="F48" s="3">
        <v>0</v>
      </c>
      <c r="G48" s="3">
        <v>0</v>
      </c>
      <c r="H48" s="3">
        <v>95</v>
      </c>
      <c r="I48" s="2">
        <v>14.3</v>
      </c>
    </row>
    <row r="49" spans="1:9">
      <c r="A49" s="1">
        <v>38237</v>
      </c>
      <c r="B49" s="1">
        <v>39082</v>
      </c>
      <c r="C49" s="2">
        <f t="shared" si="0"/>
        <v>2.3134839151266258</v>
      </c>
      <c r="D49" s="3">
        <v>60</v>
      </c>
      <c r="E49" s="2">
        <v>5.4</v>
      </c>
      <c r="F49" s="3">
        <v>1</v>
      </c>
      <c r="G49" s="3">
        <v>0</v>
      </c>
      <c r="H49" s="3">
        <v>60</v>
      </c>
      <c r="I49" s="2">
        <v>5.4</v>
      </c>
    </row>
    <row r="50" spans="1:9">
      <c r="A50" s="1">
        <v>38108</v>
      </c>
      <c r="B50" s="1">
        <v>39082</v>
      </c>
      <c r="C50" s="2">
        <f t="shared" si="0"/>
        <v>2.6666666666666665</v>
      </c>
      <c r="D50" s="3">
        <v>70</v>
      </c>
      <c r="E50" s="2">
        <v>8</v>
      </c>
      <c r="F50" s="3">
        <v>1</v>
      </c>
      <c r="G50" s="3">
        <v>1</v>
      </c>
      <c r="H50" s="3">
        <v>70</v>
      </c>
      <c r="I50" s="2">
        <v>8</v>
      </c>
    </row>
    <row r="51" spans="1:9">
      <c r="A51" s="1">
        <v>38301</v>
      </c>
      <c r="B51" s="1">
        <v>39082</v>
      </c>
      <c r="C51" s="2">
        <f t="shared" si="0"/>
        <v>2.1382614647501712</v>
      </c>
      <c r="D51" s="3">
        <v>90</v>
      </c>
      <c r="E51" s="2">
        <v>10.199999999999999</v>
      </c>
      <c r="F51" s="3">
        <v>1</v>
      </c>
      <c r="G51" s="3">
        <v>1</v>
      </c>
      <c r="H51" s="3">
        <v>90</v>
      </c>
      <c r="I51" s="2">
        <v>10.199999999999999</v>
      </c>
    </row>
    <row r="52" spans="1:9">
      <c r="A52" s="1">
        <v>38426</v>
      </c>
      <c r="B52" s="1">
        <v>39082</v>
      </c>
      <c r="C52" s="2">
        <f t="shared" si="0"/>
        <v>1.7960301163586585</v>
      </c>
      <c r="D52" s="3">
        <v>48.5</v>
      </c>
      <c r="E52" s="2">
        <v>3.5</v>
      </c>
      <c r="F52" s="3">
        <v>1</v>
      </c>
      <c r="G52" s="3">
        <v>0</v>
      </c>
      <c r="H52" s="3">
        <v>48.5</v>
      </c>
      <c r="I52" s="2">
        <v>3.5</v>
      </c>
    </row>
    <row r="53" spans="1:9">
      <c r="A53" s="1">
        <v>38372</v>
      </c>
      <c r="B53" s="1">
        <v>39082</v>
      </c>
      <c r="C53" s="2">
        <f t="shared" si="0"/>
        <v>1.9438740588637919</v>
      </c>
      <c r="D53" s="3">
        <v>50</v>
      </c>
      <c r="E53" s="2">
        <v>5.6</v>
      </c>
      <c r="F53" s="3">
        <v>1</v>
      </c>
      <c r="G53" s="3">
        <v>0</v>
      </c>
      <c r="H53" s="3">
        <v>50</v>
      </c>
      <c r="I53" s="2">
        <v>5.6</v>
      </c>
    </row>
    <row r="54" spans="1:9">
      <c r="A54" s="1">
        <v>37994</v>
      </c>
      <c r="B54" s="1">
        <v>39082</v>
      </c>
      <c r="C54" s="2">
        <f t="shared" si="0"/>
        <v>2.9787816563997263</v>
      </c>
      <c r="D54" s="3">
        <v>51.2</v>
      </c>
      <c r="E54" s="2">
        <v>4.2</v>
      </c>
      <c r="F54" s="3">
        <v>1</v>
      </c>
      <c r="G54" s="3">
        <v>0</v>
      </c>
      <c r="H54" s="3">
        <v>51.2</v>
      </c>
      <c r="I54" s="2">
        <v>4.2</v>
      </c>
    </row>
    <row r="55" spans="1:9">
      <c r="A55" s="1">
        <v>38501</v>
      </c>
      <c r="B55" s="1">
        <v>39082</v>
      </c>
      <c r="C55" s="2">
        <f t="shared" si="0"/>
        <v>1.5906913073237507</v>
      </c>
      <c r="D55" s="3">
        <v>51.2</v>
      </c>
      <c r="E55" s="2">
        <v>3.4</v>
      </c>
      <c r="F55" s="3">
        <v>1</v>
      </c>
      <c r="G55" s="3">
        <v>0</v>
      </c>
      <c r="H55" s="3">
        <v>51.2</v>
      </c>
      <c r="I55" s="2">
        <v>3.4</v>
      </c>
    </row>
    <row r="56" spans="1:9">
      <c r="A56" s="1">
        <v>38400</v>
      </c>
      <c r="B56" s="1">
        <v>39082</v>
      </c>
      <c r="C56" s="2">
        <f t="shared" si="0"/>
        <v>1.8672142368240932</v>
      </c>
      <c r="D56" s="3">
        <v>51.5</v>
      </c>
      <c r="E56" s="2">
        <v>4.5999999999999996</v>
      </c>
      <c r="F56" s="3">
        <v>1</v>
      </c>
      <c r="G56" s="3">
        <v>0</v>
      </c>
      <c r="H56" s="3">
        <v>51.5</v>
      </c>
      <c r="I56" s="2">
        <v>4.5999999999999996</v>
      </c>
    </row>
    <row r="57" spans="1:9">
      <c r="A57" s="1">
        <v>38274</v>
      </c>
      <c r="B57" s="1">
        <v>39082</v>
      </c>
      <c r="C57" s="2">
        <f t="shared" si="0"/>
        <v>2.2121834360027379</v>
      </c>
      <c r="D57" s="3">
        <v>51.7</v>
      </c>
      <c r="E57" s="2">
        <v>4.5</v>
      </c>
      <c r="F57" s="3">
        <v>1</v>
      </c>
      <c r="G57" s="3">
        <v>0</v>
      </c>
      <c r="H57" s="3">
        <v>51.7</v>
      </c>
      <c r="I57" s="2">
        <v>4.5</v>
      </c>
    </row>
    <row r="58" spans="1:9">
      <c r="A58" s="1">
        <v>38003</v>
      </c>
      <c r="B58" s="1">
        <v>39082</v>
      </c>
      <c r="C58" s="2">
        <f t="shared" si="0"/>
        <v>2.9541409993155372</v>
      </c>
      <c r="D58" s="3">
        <v>51.7</v>
      </c>
      <c r="E58" s="2">
        <v>4.9000000000000004</v>
      </c>
      <c r="F58" s="3">
        <v>1</v>
      </c>
      <c r="G58" s="3">
        <v>0</v>
      </c>
      <c r="H58" s="3">
        <v>51.7</v>
      </c>
      <c r="I58" s="2">
        <v>4.9000000000000004</v>
      </c>
    </row>
    <row r="59" spans="1:9">
      <c r="A59" s="1">
        <v>38042</v>
      </c>
      <c r="B59" s="1">
        <v>39082</v>
      </c>
      <c r="C59" s="2">
        <f t="shared" si="0"/>
        <v>2.8473648186173852</v>
      </c>
      <c r="D59" s="3">
        <v>52</v>
      </c>
      <c r="E59" s="2">
        <v>3.8</v>
      </c>
      <c r="F59" s="3">
        <v>1</v>
      </c>
      <c r="G59" s="3">
        <v>0</v>
      </c>
      <c r="H59" s="3">
        <v>52</v>
      </c>
      <c r="I59" s="2">
        <v>3.8</v>
      </c>
    </row>
    <row r="60" spans="1:9">
      <c r="A60" s="1">
        <v>38029</v>
      </c>
      <c r="B60" s="1">
        <v>39082</v>
      </c>
      <c r="C60" s="2">
        <f t="shared" si="0"/>
        <v>2.8829568788501025</v>
      </c>
      <c r="D60" s="3">
        <v>52.8</v>
      </c>
      <c r="E60" s="2">
        <v>4</v>
      </c>
      <c r="F60" s="3">
        <v>1</v>
      </c>
      <c r="G60" s="3">
        <v>0</v>
      </c>
      <c r="H60" s="3">
        <v>52.8</v>
      </c>
      <c r="I60" s="2">
        <v>4</v>
      </c>
    </row>
    <row r="61" spans="1:9">
      <c r="A61" s="1">
        <v>38016</v>
      </c>
      <c r="B61" s="1">
        <v>39082</v>
      </c>
      <c r="C61" s="2">
        <f t="shared" si="0"/>
        <v>2.9185489390828199</v>
      </c>
      <c r="D61" s="3">
        <v>52.8</v>
      </c>
      <c r="E61" s="2">
        <v>3.9</v>
      </c>
      <c r="F61" s="3">
        <v>1</v>
      </c>
      <c r="G61" s="3">
        <v>1</v>
      </c>
      <c r="H61" s="3">
        <v>52.8</v>
      </c>
      <c r="I61" s="2">
        <v>3.9</v>
      </c>
    </row>
    <row r="62" spans="1:9">
      <c r="A62" s="1">
        <v>38354</v>
      </c>
      <c r="B62" s="1">
        <v>39082</v>
      </c>
      <c r="C62" s="2">
        <f t="shared" si="0"/>
        <v>1.9931553730321698</v>
      </c>
      <c r="D62" s="3">
        <v>53.3</v>
      </c>
      <c r="E62" s="2">
        <v>4.3</v>
      </c>
      <c r="F62" s="3">
        <v>1</v>
      </c>
      <c r="G62" s="3">
        <v>0</v>
      </c>
      <c r="H62" s="3">
        <v>53.3</v>
      </c>
      <c r="I62" s="2">
        <v>4.3</v>
      </c>
    </row>
    <row r="63" spans="1:9">
      <c r="A63" s="1">
        <v>38438</v>
      </c>
      <c r="B63" s="1">
        <v>39082</v>
      </c>
      <c r="C63" s="2">
        <f t="shared" si="0"/>
        <v>1.7631759069130732</v>
      </c>
      <c r="D63" s="3">
        <v>53.6</v>
      </c>
      <c r="E63" s="2">
        <v>4.4000000000000004</v>
      </c>
      <c r="F63" s="3">
        <v>1</v>
      </c>
      <c r="G63" s="3">
        <v>1</v>
      </c>
      <c r="H63" s="3">
        <v>53.6</v>
      </c>
      <c r="I63" s="2">
        <v>4.4000000000000004</v>
      </c>
    </row>
    <row r="64" spans="1:9">
      <c r="A64" s="1">
        <v>38363</v>
      </c>
      <c r="B64" s="1">
        <v>39082</v>
      </c>
      <c r="C64" s="2">
        <f t="shared" si="0"/>
        <v>1.9685147159479808</v>
      </c>
      <c r="D64" s="3">
        <v>54</v>
      </c>
      <c r="E64" s="2">
        <v>4.8</v>
      </c>
      <c r="F64" s="3">
        <v>1</v>
      </c>
      <c r="G64" s="3">
        <v>0</v>
      </c>
      <c r="H64" s="3">
        <v>54</v>
      </c>
      <c r="I64" s="2">
        <v>4.8</v>
      </c>
    </row>
    <row r="65" spans="1:9">
      <c r="A65" s="1">
        <v>38396</v>
      </c>
      <c r="B65" s="1">
        <v>39082</v>
      </c>
      <c r="C65" s="2">
        <f t="shared" si="0"/>
        <v>1.8781656399726214</v>
      </c>
      <c r="D65" s="3">
        <v>54.5</v>
      </c>
      <c r="E65" s="2">
        <v>5.3</v>
      </c>
      <c r="F65" s="3">
        <v>1</v>
      </c>
      <c r="G65" s="3">
        <v>0</v>
      </c>
      <c r="H65" s="3">
        <v>54.5</v>
      </c>
      <c r="I65" s="2">
        <v>5.3</v>
      </c>
    </row>
    <row r="66" spans="1:9">
      <c r="A66" s="1">
        <v>38379</v>
      </c>
      <c r="B66" s="1">
        <v>39082</v>
      </c>
      <c r="C66" s="2">
        <f t="shared" ref="C66:C129" si="4">(B66-A66)/365.25</f>
        <v>1.9247091033538672</v>
      </c>
      <c r="D66" s="3">
        <v>55</v>
      </c>
      <c r="E66" s="2">
        <v>3.2</v>
      </c>
      <c r="F66" s="3">
        <v>1</v>
      </c>
      <c r="G66" s="3">
        <v>0</v>
      </c>
      <c r="H66" s="3">
        <v>55</v>
      </c>
      <c r="I66" s="2">
        <v>3.2</v>
      </c>
    </row>
    <row r="67" spans="1:9">
      <c r="A67" s="1">
        <v>38393</v>
      </c>
      <c r="B67" s="1">
        <v>39082</v>
      </c>
      <c r="C67" s="2">
        <f t="shared" si="4"/>
        <v>1.8863791923340179</v>
      </c>
      <c r="D67" s="3">
        <v>55.4</v>
      </c>
      <c r="E67" s="2">
        <v>4.9000000000000004</v>
      </c>
      <c r="F67" s="3">
        <v>1</v>
      </c>
      <c r="G67" s="3">
        <v>0</v>
      </c>
      <c r="H67" s="3">
        <v>55.4</v>
      </c>
      <c r="I67" s="2">
        <v>4.9000000000000004</v>
      </c>
    </row>
    <row r="68" spans="1:9">
      <c r="A68" s="1">
        <v>37381</v>
      </c>
      <c r="B68" s="1">
        <v>39082</v>
      </c>
      <c r="C68" s="2">
        <f t="shared" si="4"/>
        <v>4.6570841889117043</v>
      </c>
      <c r="D68" s="3">
        <v>55.5</v>
      </c>
      <c r="E68" s="2">
        <v>11.7</v>
      </c>
      <c r="F68" s="3">
        <v>0</v>
      </c>
      <c r="G68" s="3">
        <v>0</v>
      </c>
      <c r="H68" s="3">
        <v>55.5</v>
      </c>
      <c r="I68" s="2">
        <v>11.7</v>
      </c>
    </row>
    <row r="69" spans="1:9">
      <c r="A69" s="1">
        <v>38377</v>
      </c>
      <c r="B69" s="1">
        <v>39082</v>
      </c>
      <c r="C69" s="2">
        <f t="shared" si="4"/>
        <v>1.9301848049281314</v>
      </c>
      <c r="D69" s="3">
        <v>55.5</v>
      </c>
      <c r="E69" s="2">
        <v>5.2</v>
      </c>
      <c r="F69" s="3">
        <v>1</v>
      </c>
      <c r="G69" s="3">
        <v>0</v>
      </c>
      <c r="H69" s="3">
        <v>55.5</v>
      </c>
      <c r="I69" s="2">
        <v>5.2</v>
      </c>
    </row>
    <row r="70" spans="1:9">
      <c r="A70" s="1">
        <v>38400</v>
      </c>
      <c r="B70" s="1">
        <v>39082</v>
      </c>
      <c r="C70" s="2">
        <f t="shared" si="4"/>
        <v>1.8672142368240932</v>
      </c>
      <c r="D70" s="3">
        <v>55.5</v>
      </c>
      <c r="E70" s="2">
        <v>4.8</v>
      </c>
      <c r="F70" s="3">
        <v>1</v>
      </c>
      <c r="G70" s="3">
        <v>0</v>
      </c>
      <c r="H70" s="3">
        <v>55.5</v>
      </c>
      <c r="I70" s="2">
        <v>4.8</v>
      </c>
    </row>
    <row r="71" spans="1:9">
      <c r="A71" s="1">
        <v>38395</v>
      </c>
      <c r="B71" s="1">
        <v>39082</v>
      </c>
      <c r="C71" s="2">
        <f t="shared" si="4"/>
        <v>1.8809034907597535</v>
      </c>
      <c r="D71" s="3">
        <v>55.6</v>
      </c>
      <c r="E71" s="2">
        <v>5.0999999999999996</v>
      </c>
      <c r="F71" s="3">
        <v>1</v>
      </c>
      <c r="G71" s="3">
        <v>1</v>
      </c>
      <c r="H71" s="3">
        <v>55.6</v>
      </c>
      <c r="I71" s="2">
        <v>5.0999999999999996</v>
      </c>
    </row>
    <row r="72" spans="1:9">
      <c r="A72" s="1">
        <v>38389</v>
      </c>
      <c r="B72" s="1">
        <v>39082</v>
      </c>
      <c r="C72" s="2">
        <f t="shared" si="4"/>
        <v>1.8973305954825461</v>
      </c>
      <c r="D72" s="3">
        <v>55.6</v>
      </c>
      <c r="E72" s="2">
        <v>5.0999999999999996</v>
      </c>
      <c r="F72" s="3">
        <v>1</v>
      </c>
      <c r="G72" s="3">
        <v>1</v>
      </c>
      <c r="H72" s="3">
        <v>55.6</v>
      </c>
      <c r="I72" s="2">
        <v>5.0999999999999996</v>
      </c>
    </row>
    <row r="73" spans="1:9">
      <c r="A73" s="1">
        <v>38302</v>
      </c>
      <c r="B73" s="1">
        <v>39082</v>
      </c>
      <c r="C73" s="2">
        <f t="shared" si="4"/>
        <v>2.1355236139630391</v>
      </c>
      <c r="D73" s="3">
        <v>55.8</v>
      </c>
      <c r="E73" s="2">
        <v>4.2</v>
      </c>
      <c r="F73" s="3">
        <v>1</v>
      </c>
      <c r="G73" s="3">
        <v>0</v>
      </c>
      <c r="H73" s="3">
        <v>55.8</v>
      </c>
      <c r="I73" s="2">
        <v>4.2</v>
      </c>
    </row>
    <row r="74" spans="1:9">
      <c r="A74" s="1">
        <v>38408</v>
      </c>
      <c r="B74" s="1">
        <v>39082</v>
      </c>
      <c r="C74" s="2">
        <f t="shared" si="4"/>
        <v>1.8453114305270362</v>
      </c>
      <c r="D74" s="3">
        <v>55.9</v>
      </c>
      <c r="E74" s="2">
        <v>4.7</v>
      </c>
      <c r="F74" s="3">
        <v>1</v>
      </c>
      <c r="G74" s="3">
        <v>1</v>
      </c>
      <c r="H74" s="3">
        <v>55.9</v>
      </c>
      <c r="I74" s="2">
        <v>4.7</v>
      </c>
    </row>
    <row r="75" spans="1:9">
      <c r="A75" s="1">
        <v>38373</v>
      </c>
      <c r="B75" s="1">
        <v>39082</v>
      </c>
      <c r="C75" s="2">
        <f t="shared" si="4"/>
        <v>1.9411362080766599</v>
      </c>
      <c r="D75" s="3">
        <v>56.2</v>
      </c>
      <c r="E75" s="2">
        <v>4.8</v>
      </c>
      <c r="F75" s="3">
        <v>1</v>
      </c>
      <c r="G75" s="3">
        <v>0</v>
      </c>
      <c r="H75" s="3">
        <v>56.2</v>
      </c>
      <c r="I75" s="2">
        <v>4.8</v>
      </c>
    </row>
    <row r="76" spans="1:9">
      <c r="A76" s="1">
        <v>38345</v>
      </c>
      <c r="B76" s="1">
        <v>39082</v>
      </c>
      <c r="C76" s="2">
        <f t="shared" si="4"/>
        <v>2.0177960301163584</v>
      </c>
      <c r="D76" s="3">
        <v>56.4</v>
      </c>
      <c r="E76" s="2">
        <v>4.5999999999999996</v>
      </c>
      <c r="F76" s="3">
        <v>1</v>
      </c>
      <c r="G76" s="3">
        <v>1</v>
      </c>
      <c r="H76" s="3">
        <v>56.4</v>
      </c>
      <c r="I76" s="2">
        <v>4.5999999999999996</v>
      </c>
    </row>
    <row r="77" spans="1:9">
      <c r="A77" s="1">
        <v>38373</v>
      </c>
      <c r="B77" s="1">
        <v>39082</v>
      </c>
      <c r="C77" s="2">
        <f t="shared" si="4"/>
        <v>1.9411362080766599</v>
      </c>
      <c r="D77" s="3">
        <v>56.6</v>
      </c>
      <c r="E77" s="2">
        <v>3.6</v>
      </c>
      <c r="F77" s="3">
        <v>1</v>
      </c>
      <c r="G77" s="3">
        <v>1</v>
      </c>
      <c r="H77" s="3">
        <v>56.6</v>
      </c>
      <c r="I77" s="2">
        <v>3.6</v>
      </c>
    </row>
    <row r="78" spans="1:9">
      <c r="A78" s="1">
        <v>37987</v>
      </c>
      <c r="B78" s="1">
        <v>39082</v>
      </c>
      <c r="C78" s="2">
        <f t="shared" si="4"/>
        <v>2.9979466119096507</v>
      </c>
      <c r="D78" s="3">
        <v>57</v>
      </c>
      <c r="E78" s="2">
        <v>5.0999999999999996</v>
      </c>
      <c r="F78" s="3">
        <v>1</v>
      </c>
      <c r="G78" s="3">
        <v>1</v>
      </c>
      <c r="H78" s="3">
        <v>57</v>
      </c>
      <c r="I78" s="2">
        <v>5.0999999999999996</v>
      </c>
    </row>
    <row r="79" spans="1:9">
      <c r="A79" s="1">
        <v>38357</v>
      </c>
      <c r="B79" s="1">
        <v>39082</v>
      </c>
      <c r="C79" s="2">
        <f t="shared" si="4"/>
        <v>1.9849418206707734</v>
      </c>
      <c r="D79" s="3">
        <v>57</v>
      </c>
      <c r="E79" s="2">
        <v>7.2</v>
      </c>
      <c r="F79" s="3">
        <v>1</v>
      </c>
      <c r="G79" s="3">
        <v>1</v>
      </c>
      <c r="H79" s="3">
        <v>57</v>
      </c>
      <c r="I79" s="2">
        <v>7.2</v>
      </c>
    </row>
    <row r="80" spans="1:9">
      <c r="A80" s="1">
        <v>38339</v>
      </c>
      <c r="B80" s="1">
        <v>39082</v>
      </c>
      <c r="C80" s="2">
        <f t="shared" si="4"/>
        <v>2.0342231348391513</v>
      </c>
      <c r="D80" s="3">
        <v>57.3</v>
      </c>
      <c r="E80" s="2">
        <v>4.3</v>
      </c>
      <c r="F80" s="3">
        <v>1</v>
      </c>
      <c r="G80" s="3">
        <v>1</v>
      </c>
      <c r="H80" s="3">
        <v>57.3</v>
      </c>
      <c r="I80" s="2">
        <v>4.3</v>
      </c>
    </row>
    <row r="81" spans="1:9">
      <c r="A81" s="1">
        <v>37992</v>
      </c>
      <c r="B81" s="1">
        <v>39082</v>
      </c>
      <c r="C81" s="2">
        <f t="shared" si="4"/>
        <v>2.9842573579739904</v>
      </c>
      <c r="D81" s="3">
        <v>57.8</v>
      </c>
      <c r="E81" s="2">
        <v>6.7</v>
      </c>
      <c r="F81" s="3">
        <v>1</v>
      </c>
      <c r="G81" s="3">
        <v>1</v>
      </c>
      <c r="H81" s="3">
        <v>57.8</v>
      </c>
      <c r="I81" s="2">
        <v>6.7</v>
      </c>
    </row>
    <row r="82" spans="1:9">
      <c r="A82" s="1">
        <v>38324</v>
      </c>
      <c r="B82" s="1">
        <v>39082</v>
      </c>
      <c r="C82" s="2">
        <f t="shared" si="4"/>
        <v>2.0752908966461328</v>
      </c>
      <c r="D82" s="3">
        <v>57.8</v>
      </c>
      <c r="E82" s="2">
        <v>5.9</v>
      </c>
      <c r="F82" s="3">
        <v>1</v>
      </c>
      <c r="G82" s="3">
        <v>0</v>
      </c>
      <c r="H82" s="3">
        <v>57.8</v>
      </c>
      <c r="I82" s="2">
        <v>5.9</v>
      </c>
    </row>
    <row r="83" spans="1:9">
      <c r="A83" s="1">
        <v>38424</v>
      </c>
      <c r="B83" s="1">
        <v>39082</v>
      </c>
      <c r="C83" s="2">
        <f t="shared" si="4"/>
        <v>1.8015058179329226</v>
      </c>
      <c r="D83" s="3">
        <v>57.9</v>
      </c>
      <c r="E83" s="2">
        <v>4.9000000000000004</v>
      </c>
      <c r="F83" s="3">
        <v>1</v>
      </c>
      <c r="G83" s="3">
        <v>0</v>
      </c>
      <c r="H83" s="3">
        <v>57.9</v>
      </c>
      <c r="I83" s="2">
        <v>4.9000000000000004</v>
      </c>
    </row>
    <row r="84" spans="1:9">
      <c r="A84" s="1">
        <v>38353</v>
      </c>
      <c r="B84" s="1">
        <v>39082</v>
      </c>
      <c r="C84" s="2">
        <f t="shared" si="4"/>
        <v>1.9958932238193019</v>
      </c>
      <c r="D84" s="3">
        <v>58</v>
      </c>
      <c r="E84" s="2">
        <v>8.6</v>
      </c>
      <c r="F84" s="3">
        <v>1</v>
      </c>
      <c r="G84" s="3">
        <v>1</v>
      </c>
      <c r="H84" s="3">
        <v>58</v>
      </c>
      <c r="I84" s="2">
        <v>8.6</v>
      </c>
    </row>
    <row r="85" spans="1:9">
      <c r="A85" s="1">
        <v>38360</v>
      </c>
      <c r="B85" s="1">
        <v>39082</v>
      </c>
      <c r="C85" s="2">
        <f t="shared" si="4"/>
        <v>1.9767282683093772</v>
      </c>
      <c r="D85" s="3">
        <v>58.1</v>
      </c>
      <c r="E85" s="2">
        <v>6.9</v>
      </c>
      <c r="F85" s="3">
        <v>1</v>
      </c>
      <c r="G85" s="3">
        <v>0</v>
      </c>
      <c r="H85" s="3">
        <v>58.1</v>
      </c>
      <c r="I85" s="2">
        <v>6.9</v>
      </c>
    </row>
    <row r="86" spans="1:9">
      <c r="A86" s="1">
        <v>38358</v>
      </c>
      <c r="B86" s="1">
        <v>39082</v>
      </c>
      <c r="C86" s="2">
        <f t="shared" si="4"/>
        <v>1.9822039698836413</v>
      </c>
      <c r="D86" s="3">
        <v>58.2</v>
      </c>
      <c r="E86" s="2">
        <v>5</v>
      </c>
      <c r="F86" s="3">
        <v>1</v>
      </c>
      <c r="G86" s="3">
        <v>0</v>
      </c>
      <c r="H86" s="3">
        <v>58.2</v>
      </c>
      <c r="I86" s="2">
        <v>5</v>
      </c>
    </row>
    <row r="87" spans="1:9">
      <c r="A87" s="1">
        <v>38338</v>
      </c>
      <c r="B87" s="1">
        <v>39082</v>
      </c>
      <c r="C87" s="2">
        <f t="shared" si="4"/>
        <v>2.0369609856262834</v>
      </c>
      <c r="D87" s="3">
        <v>58.3</v>
      </c>
      <c r="E87" s="2">
        <v>5.5</v>
      </c>
      <c r="F87" s="3">
        <v>1</v>
      </c>
      <c r="G87" s="3">
        <v>1</v>
      </c>
      <c r="H87" s="3">
        <v>58.3</v>
      </c>
      <c r="I87" s="2">
        <v>5.5</v>
      </c>
    </row>
    <row r="88" spans="1:9">
      <c r="A88" s="1">
        <v>38386</v>
      </c>
      <c r="B88" s="1">
        <v>39082</v>
      </c>
      <c r="C88" s="2">
        <f t="shared" si="4"/>
        <v>1.9055441478439425</v>
      </c>
      <c r="D88" s="3">
        <v>58.3</v>
      </c>
      <c r="E88" s="2">
        <v>5.4</v>
      </c>
      <c r="F88" s="3">
        <v>1</v>
      </c>
      <c r="G88" s="3">
        <v>1</v>
      </c>
      <c r="H88" s="3">
        <v>58.3</v>
      </c>
      <c r="I88" s="2">
        <v>5.4</v>
      </c>
    </row>
    <row r="89" spans="1:9">
      <c r="A89" s="1">
        <v>38275</v>
      </c>
      <c r="B89" s="1">
        <v>39082</v>
      </c>
      <c r="C89" s="2">
        <f t="shared" si="4"/>
        <v>2.2094455852156059</v>
      </c>
      <c r="D89" s="3">
        <v>58.4</v>
      </c>
      <c r="E89" s="2">
        <v>4.8</v>
      </c>
      <c r="F89" s="3">
        <v>1</v>
      </c>
      <c r="G89" s="3">
        <v>1</v>
      </c>
      <c r="H89" s="3">
        <v>58.4</v>
      </c>
      <c r="I89" s="2">
        <v>4.8</v>
      </c>
    </row>
    <row r="90" spans="1:9">
      <c r="A90" s="1">
        <v>38300</v>
      </c>
      <c r="B90" s="1">
        <v>39082</v>
      </c>
      <c r="C90" s="2">
        <f t="shared" si="4"/>
        <v>2.1409993155373033</v>
      </c>
      <c r="D90" s="3">
        <v>58.5</v>
      </c>
      <c r="E90" s="2">
        <v>5.5</v>
      </c>
      <c r="F90" s="3">
        <v>1</v>
      </c>
      <c r="G90" s="3">
        <v>1</v>
      </c>
      <c r="H90" s="3">
        <v>58.5</v>
      </c>
      <c r="I90" s="2">
        <v>5.5</v>
      </c>
    </row>
    <row r="91" spans="1:9">
      <c r="A91" s="1">
        <v>38381</v>
      </c>
      <c r="B91" s="1">
        <v>39082</v>
      </c>
      <c r="C91" s="2">
        <f t="shared" si="4"/>
        <v>1.9192334017796031</v>
      </c>
      <c r="D91" s="3">
        <v>58.5</v>
      </c>
      <c r="E91" s="2">
        <v>5.5</v>
      </c>
      <c r="F91" s="3">
        <v>1</v>
      </c>
      <c r="G91" s="3">
        <v>0</v>
      </c>
      <c r="H91" s="3">
        <v>58.5</v>
      </c>
      <c r="I91" s="2">
        <v>5.5</v>
      </c>
    </row>
    <row r="92" spans="1:9">
      <c r="A92" s="1">
        <v>37548</v>
      </c>
      <c r="B92" s="1">
        <v>39082</v>
      </c>
      <c r="C92" s="2">
        <f t="shared" si="4"/>
        <v>4.1998631074606436</v>
      </c>
      <c r="D92" s="3">
        <v>58.6</v>
      </c>
      <c r="E92" s="2">
        <v>10.4</v>
      </c>
      <c r="F92" s="3">
        <v>1</v>
      </c>
      <c r="G92" s="3">
        <v>0</v>
      </c>
      <c r="H92" s="3">
        <v>58.6</v>
      </c>
      <c r="I92" s="2">
        <v>10.4</v>
      </c>
    </row>
    <row r="93" spans="1:9">
      <c r="A93" s="1">
        <v>38322</v>
      </c>
      <c r="B93" s="1">
        <v>39082</v>
      </c>
      <c r="C93" s="2">
        <f t="shared" si="4"/>
        <v>2.0807665982203969</v>
      </c>
      <c r="D93" s="3">
        <v>58.7</v>
      </c>
      <c r="E93" s="2">
        <v>5.4</v>
      </c>
      <c r="F93" s="3">
        <v>1</v>
      </c>
      <c r="G93" s="3">
        <v>1</v>
      </c>
      <c r="H93" s="3">
        <v>58.7</v>
      </c>
      <c r="I93" s="2">
        <v>5.4</v>
      </c>
    </row>
    <row r="94" spans="1:9">
      <c r="A94" s="1">
        <v>38346</v>
      </c>
      <c r="B94" s="1">
        <v>39082</v>
      </c>
      <c r="C94" s="2">
        <f t="shared" si="4"/>
        <v>2.0150581793292264</v>
      </c>
      <c r="D94" s="3">
        <v>58.8</v>
      </c>
      <c r="E94" s="2">
        <v>5</v>
      </c>
      <c r="F94" s="3">
        <v>1</v>
      </c>
      <c r="G94" s="3">
        <v>1</v>
      </c>
      <c r="H94" s="3">
        <v>58.8</v>
      </c>
      <c r="I94" s="2">
        <v>5</v>
      </c>
    </row>
    <row r="95" spans="1:9">
      <c r="A95" s="1">
        <v>38366</v>
      </c>
      <c r="B95" s="1">
        <v>39082</v>
      </c>
      <c r="C95" s="2">
        <f t="shared" si="4"/>
        <v>1.9603011635865846</v>
      </c>
      <c r="D95" s="3">
        <v>59</v>
      </c>
      <c r="E95" s="2">
        <v>6.7</v>
      </c>
      <c r="F95" s="3">
        <v>1</v>
      </c>
      <c r="G95" s="3">
        <v>1</v>
      </c>
      <c r="H95" s="3">
        <v>59</v>
      </c>
      <c r="I95" s="2">
        <v>6.7</v>
      </c>
    </row>
    <row r="96" spans="1:9">
      <c r="A96" s="1">
        <v>38396</v>
      </c>
      <c r="B96" s="1">
        <v>39082</v>
      </c>
      <c r="C96" s="2">
        <f t="shared" si="4"/>
        <v>1.8781656399726214</v>
      </c>
      <c r="D96" s="3">
        <v>59</v>
      </c>
      <c r="E96" s="2">
        <v>7.1</v>
      </c>
      <c r="F96" s="3">
        <v>0</v>
      </c>
      <c r="G96" s="3">
        <v>0</v>
      </c>
      <c r="H96" s="3">
        <v>59</v>
      </c>
      <c r="I96" s="2">
        <v>7.1</v>
      </c>
    </row>
    <row r="97" spans="1:9">
      <c r="A97" s="1">
        <v>38200</v>
      </c>
      <c r="B97" s="1">
        <v>39082</v>
      </c>
      <c r="C97" s="2">
        <f t="shared" si="4"/>
        <v>2.4147843942505132</v>
      </c>
      <c r="D97" s="3">
        <v>59.1</v>
      </c>
      <c r="E97" s="2">
        <v>6.3</v>
      </c>
      <c r="F97" s="3">
        <v>1</v>
      </c>
      <c r="G97" s="3">
        <v>1</v>
      </c>
      <c r="H97" s="3">
        <v>59.1</v>
      </c>
      <c r="I97" s="2">
        <v>6.3</v>
      </c>
    </row>
    <row r="98" spans="1:9">
      <c r="A98" s="1">
        <v>38408</v>
      </c>
      <c r="B98" s="1">
        <v>39082</v>
      </c>
      <c r="C98" s="2">
        <f t="shared" si="4"/>
        <v>1.8453114305270362</v>
      </c>
      <c r="D98" s="3">
        <v>59.2</v>
      </c>
      <c r="E98" s="2">
        <v>5.8</v>
      </c>
      <c r="F98" s="3">
        <v>1</v>
      </c>
      <c r="G98" s="3">
        <v>0</v>
      </c>
      <c r="H98" s="3">
        <v>59.2</v>
      </c>
      <c r="I98" s="2">
        <v>5.8</v>
      </c>
    </row>
    <row r="99" spans="1:9">
      <c r="A99" s="1">
        <v>38370</v>
      </c>
      <c r="B99" s="1">
        <v>39082</v>
      </c>
      <c r="C99" s="2">
        <f t="shared" si="4"/>
        <v>1.9493497604380561</v>
      </c>
      <c r="D99" s="3">
        <v>59.3</v>
      </c>
      <c r="E99" s="2">
        <v>6.1</v>
      </c>
      <c r="F99" s="3">
        <v>1</v>
      </c>
      <c r="G99" s="3">
        <v>1</v>
      </c>
      <c r="H99" s="3">
        <v>59.3</v>
      </c>
      <c r="I99" s="2">
        <v>6.1</v>
      </c>
    </row>
    <row r="100" spans="1:9">
      <c r="A100" s="1">
        <v>38356</v>
      </c>
      <c r="B100" s="1">
        <v>39082</v>
      </c>
      <c r="C100" s="2">
        <f t="shared" si="4"/>
        <v>1.9876796714579055</v>
      </c>
      <c r="D100" s="3">
        <v>59.4</v>
      </c>
      <c r="E100" s="2">
        <v>6.4</v>
      </c>
      <c r="F100" s="3">
        <v>1</v>
      </c>
      <c r="G100" s="3">
        <v>1</v>
      </c>
      <c r="H100" s="3">
        <v>59.4</v>
      </c>
      <c r="I100" s="2">
        <v>6.4</v>
      </c>
    </row>
    <row r="101" spans="1:9">
      <c r="A101" s="1">
        <v>38335</v>
      </c>
      <c r="B101" s="1">
        <v>39082</v>
      </c>
      <c r="C101" s="2">
        <f t="shared" si="4"/>
        <v>2.0451745379876796</v>
      </c>
      <c r="D101" s="3">
        <v>59.4</v>
      </c>
      <c r="E101" s="2">
        <v>5.7</v>
      </c>
      <c r="F101" s="3">
        <v>1</v>
      </c>
      <c r="G101" s="3">
        <v>0</v>
      </c>
      <c r="H101" s="3">
        <v>59.4</v>
      </c>
      <c r="I101" s="2">
        <v>5.7</v>
      </c>
    </row>
    <row r="102" spans="1:9">
      <c r="A102" s="1">
        <v>38237</v>
      </c>
      <c r="B102" s="1">
        <v>39082</v>
      </c>
      <c r="C102" s="2">
        <f t="shared" si="4"/>
        <v>2.3134839151266258</v>
      </c>
      <c r="D102" s="3">
        <v>59.5</v>
      </c>
      <c r="E102" s="2">
        <v>5.8</v>
      </c>
      <c r="F102" s="3">
        <v>1</v>
      </c>
      <c r="G102" s="3">
        <v>0</v>
      </c>
      <c r="H102" s="3">
        <v>59.5</v>
      </c>
      <c r="I102" s="2">
        <v>5.8</v>
      </c>
    </row>
    <row r="103" spans="1:9">
      <c r="A103" s="1">
        <v>38297</v>
      </c>
      <c r="B103" s="1">
        <v>39082</v>
      </c>
      <c r="C103" s="2">
        <f t="shared" si="4"/>
        <v>2.1492128678986995</v>
      </c>
      <c r="D103" s="3">
        <v>59.5</v>
      </c>
      <c r="E103" s="2">
        <v>5.7</v>
      </c>
      <c r="F103" s="3">
        <v>1</v>
      </c>
      <c r="G103" s="3">
        <v>1</v>
      </c>
      <c r="H103" s="3">
        <v>59.5</v>
      </c>
      <c r="I103" s="2">
        <v>5.7</v>
      </c>
    </row>
    <row r="104" spans="1:9">
      <c r="A104" s="1">
        <v>38236</v>
      </c>
      <c r="B104" s="1">
        <v>39082</v>
      </c>
      <c r="C104" s="2">
        <f t="shared" si="4"/>
        <v>2.3162217659137578</v>
      </c>
      <c r="D104" s="3">
        <v>59.5</v>
      </c>
      <c r="E104" s="2">
        <v>5.0999999999999996</v>
      </c>
      <c r="F104" s="3">
        <v>1</v>
      </c>
      <c r="G104" s="3">
        <v>0</v>
      </c>
      <c r="H104" s="3">
        <v>59.5</v>
      </c>
      <c r="I104" s="2">
        <v>5.0999999999999996</v>
      </c>
    </row>
    <row r="105" spans="1:9">
      <c r="A105" s="1">
        <v>38328</v>
      </c>
      <c r="B105" s="1">
        <v>39082</v>
      </c>
      <c r="C105" s="2">
        <f t="shared" si="4"/>
        <v>2.0643394934976045</v>
      </c>
      <c r="D105" s="3">
        <v>59.8</v>
      </c>
      <c r="E105" s="2">
        <v>5.5</v>
      </c>
      <c r="F105" s="3">
        <v>1</v>
      </c>
      <c r="G105" s="3">
        <v>1</v>
      </c>
      <c r="H105" s="3">
        <v>59.8</v>
      </c>
      <c r="I105" s="2">
        <v>5.5</v>
      </c>
    </row>
    <row r="106" spans="1:9">
      <c r="A106" s="1">
        <v>38363</v>
      </c>
      <c r="B106" s="1">
        <v>39082</v>
      </c>
      <c r="C106" s="2">
        <f t="shared" si="4"/>
        <v>1.9685147159479808</v>
      </c>
      <c r="D106" s="3">
        <v>59.8</v>
      </c>
      <c r="E106" s="2">
        <v>6.1</v>
      </c>
      <c r="F106" s="3">
        <v>1</v>
      </c>
      <c r="G106" s="3">
        <v>0</v>
      </c>
      <c r="H106" s="3">
        <v>59.8</v>
      </c>
      <c r="I106" s="2">
        <v>6.1</v>
      </c>
    </row>
    <row r="107" spans="1:9">
      <c r="A107" s="1">
        <v>38316</v>
      </c>
      <c r="B107" s="1">
        <v>39082</v>
      </c>
      <c r="C107" s="2">
        <f t="shared" si="4"/>
        <v>2.0971937029431897</v>
      </c>
      <c r="D107" s="3">
        <v>59.9</v>
      </c>
      <c r="E107" s="2">
        <v>5</v>
      </c>
      <c r="F107" s="3">
        <v>1</v>
      </c>
      <c r="G107" s="3">
        <v>0</v>
      </c>
      <c r="H107" s="3">
        <v>59.9</v>
      </c>
      <c r="I107" s="2">
        <v>5</v>
      </c>
    </row>
    <row r="108" spans="1:9">
      <c r="A108" s="1">
        <v>38301</v>
      </c>
      <c r="B108" s="1">
        <v>39082</v>
      </c>
      <c r="C108" s="2">
        <f t="shared" si="4"/>
        <v>2.1382614647501712</v>
      </c>
      <c r="D108" s="3">
        <v>60</v>
      </c>
      <c r="E108" s="2">
        <v>5.8</v>
      </c>
      <c r="F108" s="3">
        <v>1</v>
      </c>
      <c r="G108" s="3">
        <v>0</v>
      </c>
      <c r="H108" s="3">
        <v>60</v>
      </c>
      <c r="I108" s="2">
        <v>5.8</v>
      </c>
    </row>
    <row r="109" spans="1:9">
      <c r="A109" s="1">
        <v>38384</v>
      </c>
      <c r="B109" s="1">
        <v>39082</v>
      </c>
      <c r="C109" s="2">
        <f t="shared" si="4"/>
        <v>1.9110198494182067</v>
      </c>
      <c r="D109" s="3">
        <v>60</v>
      </c>
      <c r="E109" s="2">
        <v>8</v>
      </c>
      <c r="F109" s="3">
        <v>1</v>
      </c>
      <c r="G109" s="3">
        <v>1</v>
      </c>
      <c r="H109" s="3">
        <v>60</v>
      </c>
      <c r="I109" s="2">
        <v>8</v>
      </c>
    </row>
    <row r="110" spans="1:9">
      <c r="A110" s="1">
        <v>37987</v>
      </c>
      <c r="B110" s="1">
        <v>39082</v>
      </c>
      <c r="C110" s="2">
        <f t="shared" si="4"/>
        <v>2.9979466119096507</v>
      </c>
      <c r="D110" s="3">
        <v>60.1</v>
      </c>
      <c r="E110" s="2">
        <v>5.6</v>
      </c>
      <c r="F110" s="3">
        <v>1</v>
      </c>
      <c r="G110" s="3">
        <v>0</v>
      </c>
      <c r="H110" s="3">
        <v>60.1</v>
      </c>
      <c r="I110" s="2">
        <v>5.6</v>
      </c>
    </row>
    <row r="111" spans="1:9">
      <c r="A111" s="1">
        <v>38357</v>
      </c>
      <c r="B111" s="1">
        <v>39082</v>
      </c>
      <c r="C111" s="2">
        <f t="shared" si="4"/>
        <v>1.9849418206707734</v>
      </c>
      <c r="D111" s="3">
        <v>60.1</v>
      </c>
      <c r="E111" s="2">
        <v>5.0999999999999996</v>
      </c>
      <c r="F111" s="3">
        <v>1</v>
      </c>
      <c r="G111" s="3">
        <v>1</v>
      </c>
      <c r="H111" s="3">
        <v>60.1</v>
      </c>
      <c r="I111" s="2">
        <v>5.0999999999999996</v>
      </c>
    </row>
    <row r="112" spans="1:9">
      <c r="A112" s="1">
        <v>38261</v>
      </c>
      <c r="B112" s="1">
        <v>39082</v>
      </c>
      <c r="C112" s="2">
        <f t="shared" si="4"/>
        <v>2.2477754962354553</v>
      </c>
      <c r="D112" s="3">
        <v>60.2</v>
      </c>
      <c r="E112" s="2">
        <v>4.5</v>
      </c>
      <c r="F112" s="3">
        <v>1</v>
      </c>
      <c r="G112" s="3">
        <v>1</v>
      </c>
      <c r="H112" s="3">
        <v>60.2</v>
      </c>
      <c r="I112" s="2">
        <v>4.5</v>
      </c>
    </row>
    <row r="113" spans="1:9">
      <c r="A113" s="1">
        <v>38281</v>
      </c>
      <c r="B113" s="1">
        <v>39082</v>
      </c>
      <c r="C113" s="2">
        <f t="shared" si="4"/>
        <v>2.193018480492813</v>
      </c>
      <c r="D113" s="3">
        <v>60.3</v>
      </c>
      <c r="E113" s="2">
        <v>6.5</v>
      </c>
      <c r="F113" s="3">
        <v>1</v>
      </c>
      <c r="G113" s="3">
        <v>0</v>
      </c>
      <c r="H113" s="3">
        <v>60.3</v>
      </c>
      <c r="I113" s="2">
        <v>6.5</v>
      </c>
    </row>
    <row r="114" spans="1:9">
      <c r="A114" s="1">
        <v>38361</v>
      </c>
      <c r="B114" s="1">
        <v>39082</v>
      </c>
      <c r="C114" s="2">
        <f t="shared" si="4"/>
        <v>1.9739904175222451</v>
      </c>
      <c r="D114" s="3">
        <v>60.4</v>
      </c>
      <c r="E114" s="2">
        <v>6.1</v>
      </c>
      <c r="F114" s="3">
        <v>1</v>
      </c>
      <c r="G114" s="3">
        <v>1</v>
      </c>
      <c r="H114" s="3">
        <v>60.4</v>
      </c>
      <c r="I114" s="2">
        <v>6.1</v>
      </c>
    </row>
    <row r="115" spans="1:9">
      <c r="A115" s="1">
        <v>38373</v>
      </c>
      <c r="B115" s="1">
        <v>39082</v>
      </c>
      <c r="C115" s="2">
        <f t="shared" si="4"/>
        <v>1.9411362080766599</v>
      </c>
      <c r="D115" s="3">
        <v>60.4</v>
      </c>
      <c r="E115" s="2">
        <v>5.9</v>
      </c>
      <c r="F115" s="3">
        <v>1</v>
      </c>
      <c r="G115" s="3">
        <v>0</v>
      </c>
      <c r="H115" s="3">
        <v>60.4</v>
      </c>
      <c r="I115" s="2">
        <v>5.9</v>
      </c>
    </row>
    <row r="116" spans="1:9">
      <c r="A116" s="1">
        <v>38294</v>
      </c>
      <c r="B116" s="1">
        <v>39082</v>
      </c>
      <c r="C116" s="2">
        <f t="shared" si="4"/>
        <v>2.1574264202600957</v>
      </c>
      <c r="D116" s="3">
        <v>60.5</v>
      </c>
      <c r="E116" s="2">
        <v>7.7</v>
      </c>
      <c r="F116" s="3">
        <v>1</v>
      </c>
      <c r="G116" s="3">
        <v>0</v>
      </c>
      <c r="H116" s="3">
        <v>60.5</v>
      </c>
      <c r="I116" s="2">
        <v>7.7</v>
      </c>
    </row>
    <row r="117" spans="1:9">
      <c r="A117" s="1">
        <v>38239</v>
      </c>
      <c r="B117" s="1">
        <v>39082</v>
      </c>
      <c r="C117" s="2">
        <f t="shared" si="4"/>
        <v>2.3080082135523612</v>
      </c>
      <c r="D117" s="3">
        <v>60.8</v>
      </c>
      <c r="E117" s="2">
        <v>6.2</v>
      </c>
      <c r="F117" s="3">
        <v>1</v>
      </c>
      <c r="G117" s="3">
        <v>1</v>
      </c>
      <c r="H117" s="3">
        <v>60.8</v>
      </c>
      <c r="I117" s="2">
        <v>6.2</v>
      </c>
    </row>
    <row r="118" spans="1:9">
      <c r="A118" s="1">
        <v>38300</v>
      </c>
      <c r="B118" s="1">
        <v>39082</v>
      </c>
      <c r="C118" s="2">
        <f t="shared" si="4"/>
        <v>2.1409993155373033</v>
      </c>
      <c r="D118" s="3">
        <v>61</v>
      </c>
      <c r="E118" s="2">
        <v>5.9</v>
      </c>
      <c r="F118" s="3">
        <v>1</v>
      </c>
      <c r="G118" s="3">
        <v>0</v>
      </c>
      <c r="H118" s="3">
        <v>61</v>
      </c>
      <c r="I118" s="2">
        <v>5.9</v>
      </c>
    </row>
    <row r="119" spans="1:9">
      <c r="A119" s="1">
        <v>38200</v>
      </c>
      <c r="B119" s="1">
        <v>39082</v>
      </c>
      <c r="C119" s="2">
        <f t="shared" si="4"/>
        <v>2.4147843942505132</v>
      </c>
      <c r="D119" s="3">
        <v>61</v>
      </c>
      <c r="E119" s="2">
        <v>6.6</v>
      </c>
      <c r="F119" s="3">
        <v>1</v>
      </c>
      <c r="G119" s="3">
        <v>0</v>
      </c>
      <c r="H119" s="3">
        <v>61</v>
      </c>
      <c r="I119" s="2">
        <v>6.6</v>
      </c>
    </row>
    <row r="120" spans="1:9">
      <c r="A120" s="1">
        <v>38359</v>
      </c>
      <c r="B120" s="1">
        <v>39082</v>
      </c>
      <c r="C120" s="2">
        <f t="shared" si="4"/>
        <v>1.9794661190965093</v>
      </c>
      <c r="D120" s="3">
        <v>61.1</v>
      </c>
      <c r="E120" s="2">
        <v>6.7</v>
      </c>
      <c r="F120" s="3">
        <v>1</v>
      </c>
      <c r="G120" s="3">
        <v>0</v>
      </c>
      <c r="H120" s="3">
        <v>61.1</v>
      </c>
      <c r="I120" s="2">
        <v>6.7</v>
      </c>
    </row>
    <row r="121" spans="1:9">
      <c r="A121" s="1">
        <v>38353</v>
      </c>
      <c r="B121" s="1">
        <v>39082</v>
      </c>
      <c r="C121" s="2">
        <f t="shared" si="4"/>
        <v>1.9958932238193019</v>
      </c>
      <c r="D121" s="3">
        <v>61.2</v>
      </c>
      <c r="E121" s="2">
        <v>6.5</v>
      </c>
      <c r="F121" s="3">
        <v>1</v>
      </c>
      <c r="G121" s="3">
        <v>0</v>
      </c>
      <c r="H121" s="3">
        <v>61.2</v>
      </c>
      <c r="I121" s="2">
        <v>6.5</v>
      </c>
    </row>
    <row r="122" spans="1:9">
      <c r="A122" s="1">
        <v>38322</v>
      </c>
      <c r="B122" s="1">
        <v>39082</v>
      </c>
      <c r="C122" s="2">
        <f t="shared" si="4"/>
        <v>2.0807665982203969</v>
      </c>
      <c r="D122" s="3">
        <v>61.2</v>
      </c>
      <c r="E122" s="2">
        <v>5.2</v>
      </c>
      <c r="F122" s="3">
        <v>1</v>
      </c>
      <c r="G122" s="3">
        <v>0</v>
      </c>
      <c r="H122" s="3">
        <v>61.2</v>
      </c>
      <c r="I122" s="2">
        <v>5.2</v>
      </c>
    </row>
    <row r="123" spans="1:9">
      <c r="A123" s="1">
        <v>38292</v>
      </c>
      <c r="B123" s="1">
        <v>39082</v>
      </c>
      <c r="C123" s="2">
        <f t="shared" si="4"/>
        <v>2.1629021218343598</v>
      </c>
      <c r="D123" s="3">
        <v>61.3</v>
      </c>
      <c r="E123" s="2">
        <v>6.8</v>
      </c>
      <c r="F123" s="3">
        <v>1</v>
      </c>
      <c r="G123" s="3">
        <v>1</v>
      </c>
      <c r="H123" s="3">
        <v>61.3</v>
      </c>
      <c r="I123" s="2">
        <v>6.8</v>
      </c>
    </row>
    <row r="124" spans="1:9">
      <c r="A124" s="1">
        <v>38367</v>
      </c>
      <c r="B124" s="1">
        <v>39082</v>
      </c>
      <c r="C124" s="2">
        <f t="shared" si="4"/>
        <v>1.9575633127994525</v>
      </c>
      <c r="D124" s="3">
        <v>61.3</v>
      </c>
      <c r="E124" s="2">
        <v>5.5</v>
      </c>
      <c r="F124" s="3">
        <v>1</v>
      </c>
      <c r="G124" s="3">
        <v>0</v>
      </c>
      <c r="H124" s="3">
        <v>61.3</v>
      </c>
      <c r="I124" s="2">
        <v>5.5</v>
      </c>
    </row>
    <row r="125" spans="1:9">
      <c r="A125" s="1">
        <v>38275</v>
      </c>
      <c r="B125" s="1">
        <v>39082</v>
      </c>
      <c r="C125" s="2">
        <f t="shared" si="4"/>
        <v>2.2094455852156059</v>
      </c>
      <c r="D125" s="3">
        <v>61.4</v>
      </c>
      <c r="E125" s="2">
        <v>6.6</v>
      </c>
      <c r="F125" s="3">
        <v>1</v>
      </c>
      <c r="G125" s="3">
        <v>0</v>
      </c>
      <c r="H125" s="3">
        <v>61.4</v>
      </c>
      <c r="I125" s="2">
        <v>6.6</v>
      </c>
    </row>
    <row r="126" spans="1:9">
      <c r="A126" s="1">
        <v>38229</v>
      </c>
      <c r="B126" s="1">
        <v>39082</v>
      </c>
      <c r="C126" s="2">
        <f t="shared" si="4"/>
        <v>2.3353867214236823</v>
      </c>
      <c r="D126" s="3">
        <v>61.5</v>
      </c>
      <c r="E126" s="2">
        <v>5.7</v>
      </c>
      <c r="F126" s="3">
        <v>1</v>
      </c>
      <c r="G126" s="3">
        <v>0</v>
      </c>
      <c r="H126" s="3">
        <v>61.5</v>
      </c>
      <c r="I126" s="2">
        <v>5.7</v>
      </c>
    </row>
    <row r="127" spans="1:9">
      <c r="A127" s="1">
        <v>38306</v>
      </c>
      <c r="B127" s="1">
        <v>39082</v>
      </c>
      <c r="C127" s="2">
        <f t="shared" si="4"/>
        <v>2.1245722108145104</v>
      </c>
      <c r="D127" s="3">
        <v>61.5</v>
      </c>
      <c r="E127" s="2">
        <v>5.5</v>
      </c>
      <c r="F127" s="3">
        <v>1</v>
      </c>
      <c r="G127" s="3">
        <v>1</v>
      </c>
      <c r="H127" s="3">
        <v>61.5</v>
      </c>
      <c r="I127" s="2">
        <v>5.5</v>
      </c>
    </row>
    <row r="128" spans="1:9">
      <c r="A128" s="1">
        <v>38325</v>
      </c>
      <c r="B128" s="1">
        <v>39082</v>
      </c>
      <c r="C128" s="2">
        <f t="shared" si="4"/>
        <v>2.0725530458590007</v>
      </c>
      <c r="D128" s="3">
        <v>61.5</v>
      </c>
      <c r="E128" s="2">
        <v>6.2</v>
      </c>
      <c r="F128" s="3">
        <v>1</v>
      </c>
      <c r="G128" s="3">
        <v>1</v>
      </c>
      <c r="H128" s="3">
        <v>61.5</v>
      </c>
      <c r="I128" s="2">
        <v>6.2</v>
      </c>
    </row>
    <row r="129" spans="1:9">
      <c r="A129" s="1">
        <v>38261</v>
      </c>
      <c r="B129" s="1">
        <v>39082</v>
      </c>
      <c r="C129" s="2">
        <f t="shared" si="4"/>
        <v>2.2477754962354553</v>
      </c>
      <c r="D129" s="3">
        <v>61.7</v>
      </c>
      <c r="E129" s="2">
        <v>7</v>
      </c>
      <c r="F129" s="3">
        <v>1</v>
      </c>
      <c r="G129" s="3">
        <v>1</v>
      </c>
      <c r="H129" s="3">
        <v>61.7</v>
      </c>
      <c r="I129" s="2">
        <v>7</v>
      </c>
    </row>
    <row r="130" spans="1:9">
      <c r="A130" s="1">
        <v>38192</v>
      </c>
      <c r="B130" s="1">
        <v>39082</v>
      </c>
      <c r="C130" s="2">
        <f t="shared" ref="C130:C193" si="5">(B130-A130)/365.25</f>
        <v>2.4366872005475702</v>
      </c>
      <c r="D130" s="3">
        <v>61.8</v>
      </c>
      <c r="E130" s="2">
        <v>6.6</v>
      </c>
      <c r="F130" s="3">
        <v>1</v>
      </c>
      <c r="G130" s="3">
        <v>0</v>
      </c>
      <c r="H130" s="3">
        <v>61.8</v>
      </c>
      <c r="I130" s="2">
        <v>6.6</v>
      </c>
    </row>
    <row r="131" spans="1:9">
      <c r="A131" s="1">
        <v>38319</v>
      </c>
      <c r="B131" s="1">
        <v>39082</v>
      </c>
      <c r="C131" s="2">
        <f t="shared" si="5"/>
        <v>2.0889801505817931</v>
      </c>
      <c r="D131" s="3">
        <v>61.9</v>
      </c>
      <c r="E131" s="2">
        <v>6.4</v>
      </c>
      <c r="F131" s="3">
        <v>1</v>
      </c>
      <c r="G131" s="3">
        <v>1</v>
      </c>
      <c r="H131" s="3">
        <v>61.9</v>
      </c>
      <c r="I131" s="2">
        <v>6.4</v>
      </c>
    </row>
    <row r="132" spans="1:9">
      <c r="A132" s="1">
        <v>38317</v>
      </c>
      <c r="B132" s="1">
        <v>39082</v>
      </c>
      <c r="C132" s="2">
        <f t="shared" si="5"/>
        <v>2.0944558521560577</v>
      </c>
      <c r="D132" s="3">
        <v>61.9</v>
      </c>
      <c r="E132" s="2">
        <v>5.9</v>
      </c>
      <c r="F132" s="3">
        <v>1</v>
      </c>
      <c r="G132" s="3">
        <v>1</v>
      </c>
      <c r="H132" s="3">
        <v>61.9</v>
      </c>
      <c r="I132" s="2">
        <v>5.9</v>
      </c>
    </row>
    <row r="133" spans="1:9">
      <c r="A133" s="1">
        <v>38246</v>
      </c>
      <c r="B133" s="1">
        <v>39082</v>
      </c>
      <c r="C133" s="2">
        <f t="shared" si="5"/>
        <v>2.2888432580424367</v>
      </c>
      <c r="D133" s="3">
        <v>61.9</v>
      </c>
      <c r="E133" s="2">
        <v>7.6</v>
      </c>
      <c r="F133" s="3">
        <v>1</v>
      </c>
      <c r="G133" s="3">
        <v>1</v>
      </c>
      <c r="H133" s="3">
        <v>61.9</v>
      </c>
      <c r="I133" s="2">
        <v>7.6</v>
      </c>
    </row>
    <row r="134" spans="1:9">
      <c r="A134" s="1">
        <v>38228</v>
      </c>
      <c r="B134" s="1">
        <v>39082</v>
      </c>
      <c r="C134" s="2">
        <f t="shared" si="5"/>
        <v>2.3381245722108144</v>
      </c>
      <c r="D134" s="3">
        <v>62</v>
      </c>
      <c r="E134" s="2">
        <v>7.4</v>
      </c>
      <c r="F134" s="3">
        <v>1</v>
      </c>
      <c r="G134" s="3">
        <v>1</v>
      </c>
      <c r="H134" s="3">
        <v>62</v>
      </c>
      <c r="I134" s="2">
        <v>7.4</v>
      </c>
    </row>
    <row r="135" spans="1:9">
      <c r="A135" s="1">
        <v>38226</v>
      </c>
      <c r="B135" s="1">
        <v>39082</v>
      </c>
      <c r="C135" s="2">
        <f t="shared" si="5"/>
        <v>2.3436002737850785</v>
      </c>
      <c r="D135" s="3">
        <v>62</v>
      </c>
      <c r="E135" s="2">
        <v>6.8</v>
      </c>
      <c r="F135" s="3">
        <v>1</v>
      </c>
      <c r="G135" s="3">
        <v>1</v>
      </c>
      <c r="H135" s="3">
        <v>62</v>
      </c>
      <c r="I135" s="2">
        <v>6.8</v>
      </c>
    </row>
    <row r="136" spans="1:9">
      <c r="A136" s="1">
        <v>38233</v>
      </c>
      <c r="B136" s="1">
        <v>39082</v>
      </c>
      <c r="C136" s="2">
        <f t="shared" si="5"/>
        <v>2.324435318275154</v>
      </c>
      <c r="D136" s="3">
        <v>62.1</v>
      </c>
      <c r="E136" s="2">
        <v>5.3</v>
      </c>
      <c r="F136" s="3">
        <v>1</v>
      </c>
      <c r="G136" s="3">
        <v>1</v>
      </c>
      <c r="H136" s="3">
        <v>62.1</v>
      </c>
      <c r="I136" s="2">
        <v>5.3</v>
      </c>
    </row>
    <row r="137" spans="1:9">
      <c r="A137" s="1">
        <v>38311</v>
      </c>
      <c r="B137" s="1">
        <v>39082</v>
      </c>
      <c r="C137" s="2">
        <f t="shared" si="5"/>
        <v>2.1108829568788501</v>
      </c>
      <c r="D137" s="3">
        <v>62.2</v>
      </c>
      <c r="E137" s="2">
        <v>6.7</v>
      </c>
      <c r="F137" s="3">
        <v>1</v>
      </c>
      <c r="G137" s="3">
        <v>1</v>
      </c>
      <c r="H137" s="3">
        <v>62.2</v>
      </c>
      <c r="I137" s="2">
        <v>6.7</v>
      </c>
    </row>
    <row r="138" spans="1:9">
      <c r="A138" s="1">
        <v>38329</v>
      </c>
      <c r="B138" s="1">
        <v>39082</v>
      </c>
      <c r="C138" s="2">
        <f t="shared" si="5"/>
        <v>2.0616016427104724</v>
      </c>
      <c r="D138" s="3">
        <v>62.7</v>
      </c>
      <c r="E138" s="2">
        <v>6.2</v>
      </c>
      <c r="F138" s="3">
        <v>1</v>
      </c>
      <c r="G138" s="3">
        <v>1</v>
      </c>
      <c r="H138" s="3">
        <v>62.7</v>
      </c>
      <c r="I138" s="2">
        <v>6.2</v>
      </c>
    </row>
    <row r="139" spans="1:9">
      <c r="A139" s="1">
        <v>38322</v>
      </c>
      <c r="B139" s="1">
        <v>39082</v>
      </c>
      <c r="C139" s="2">
        <f t="shared" si="5"/>
        <v>2.0807665982203969</v>
      </c>
      <c r="D139" s="3">
        <v>62.8</v>
      </c>
      <c r="E139" s="2">
        <v>7.7</v>
      </c>
      <c r="F139" s="3">
        <v>1</v>
      </c>
      <c r="G139" s="3">
        <v>1</v>
      </c>
      <c r="H139" s="3">
        <v>62.8</v>
      </c>
      <c r="I139" s="2">
        <v>7.7</v>
      </c>
    </row>
    <row r="140" spans="1:9">
      <c r="A140" s="1">
        <v>38317</v>
      </c>
      <c r="B140" s="1">
        <v>39082</v>
      </c>
      <c r="C140" s="2">
        <f t="shared" si="5"/>
        <v>2.0944558521560577</v>
      </c>
      <c r="D140" s="3">
        <v>63</v>
      </c>
      <c r="E140" s="2">
        <v>6.8</v>
      </c>
      <c r="F140" s="3">
        <v>1</v>
      </c>
      <c r="G140" s="3">
        <v>0</v>
      </c>
      <c r="H140" s="3">
        <v>63</v>
      </c>
      <c r="I140" s="2">
        <v>6.8</v>
      </c>
    </row>
    <row r="141" spans="1:9">
      <c r="A141" s="1">
        <v>38318</v>
      </c>
      <c r="B141" s="1">
        <v>39082</v>
      </c>
      <c r="C141" s="2">
        <f t="shared" si="5"/>
        <v>2.0917180013689256</v>
      </c>
      <c r="D141" s="3">
        <v>63</v>
      </c>
      <c r="E141" s="2">
        <v>5.8</v>
      </c>
      <c r="F141" s="3">
        <v>1</v>
      </c>
      <c r="G141" s="3">
        <v>1</v>
      </c>
      <c r="H141" s="3">
        <v>63</v>
      </c>
      <c r="I141" s="2">
        <v>5.8</v>
      </c>
    </row>
    <row r="142" spans="1:9">
      <c r="A142" s="1">
        <v>38261</v>
      </c>
      <c r="B142" s="1">
        <v>39082</v>
      </c>
      <c r="C142" s="2">
        <f t="shared" si="5"/>
        <v>2.2477754962354553</v>
      </c>
      <c r="D142" s="3">
        <v>63</v>
      </c>
      <c r="E142" s="2">
        <v>7.5</v>
      </c>
      <c r="F142" s="3">
        <v>1</v>
      </c>
      <c r="G142" s="3">
        <v>1</v>
      </c>
      <c r="H142" s="3">
        <v>63</v>
      </c>
      <c r="I142" s="2">
        <v>7.5</v>
      </c>
    </row>
    <row r="143" spans="1:9">
      <c r="A143" s="1">
        <v>38170</v>
      </c>
      <c r="B143" s="1">
        <v>39082</v>
      </c>
      <c r="C143" s="2">
        <f t="shared" si="5"/>
        <v>2.4969199178644765</v>
      </c>
      <c r="D143" s="3">
        <v>63</v>
      </c>
      <c r="E143" s="2">
        <v>5.8</v>
      </c>
      <c r="F143" s="3">
        <v>1</v>
      </c>
      <c r="G143" s="3">
        <v>0</v>
      </c>
      <c r="H143" s="3">
        <v>63</v>
      </c>
      <c r="I143" s="2">
        <v>5.8</v>
      </c>
    </row>
    <row r="144" spans="1:9">
      <c r="A144" s="1">
        <v>38123</v>
      </c>
      <c r="B144" s="1">
        <v>39082</v>
      </c>
      <c r="C144" s="2">
        <f t="shared" si="5"/>
        <v>2.6255989048596851</v>
      </c>
      <c r="D144" s="3">
        <v>63.2</v>
      </c>
      <c r="E144" s="2">
        <v>6.4</v>
      </c>
      <c r="F144" s="3">
        <v>1</v>
      </c>
      <c r="G144" s="3">
        <v>1</v>
      </c>
      <c r="H144" s="3">
        <v>63.2</v>
      </c>
      <c r="I144" s="2">
        <v>6.4</v>
      </c>
    </row>
    <row r="145" spans="1:9">
      <c r="A145" s="1">
        <v>38215</v>
      </c>
      <c r="B145" s="1">
        <v>39082</v>
      </c>
      <c r="C145" s="2">
        <f t="shared" si="5"/>
        <v>2.3737166324435317</v>
      </c>
      <c r="D145" s="3">
        <v>63.2</v>
      </c>
      <c r="E145" s="2">
        <v>7.5</v>
      </c>
      <c r="F145" s="3">
        <v>1</v>
      </c>
      <c r="G145" s="3">
        <v>1</v>
      </c>
      <c r="H145" s="3">
        <v>63.2</v>
      </c>
      <c r="I145" s="2">
        <v>7.5</v>
      </c>
    </row>
    <row r="146" spans="1:9">
      <c r="A146" s="1">
        <v>38224</v>
      </c>
      <c r="B146" s="1">
        <v>39082</v>
      </c>
      <c r="C146" s="2">
        <f t="shared" si="5"/>
        <v>2.3490759753593431</v>
      </c>
      <c r="D146" s="3">
        <v>63.5</v>
      </c>
      <c r="E146" s="2">
        <v>5.8</v>
      </c>
      <c r="F146" s="3">
        <v>1</v>
      </c>
      <c r="G146" s="3">
        <v>0</v>
      </c>
      <c r="H146" s="3">
        <v>63.5</v>
      </c>
      <c r="I146" s="2">
        <v>5.8</v>
      </c>
    </row>
    <row r="147" spans="1:9">
      <c r="A147" s="1">
        <v>38250</v>
      </c>
      <c r="B147" s="1">
        <v>39082</v>
      </c>
      <c r="C147" s="2">
        <f t="shared" si="5"/>
        <v>2.2778918548939084</v>
      </c>
      <c r="D147" s="3">
        <v>63.5</v>
      </c>
      <c r="E147" s="2">
        <v>5.6</v>
      </c>
      <c r="F147" s="3">
        <v>1</v>
      </c>
      <c r="G147" s="3">
        <v>1</v>
      </c>
      <c r="H147" s="3">
        <v>63.5</v>
      </c>
      <c r="I147" s="2">
        <v>5.6</v>
      </c>
    </row>
    <row r="148" spans="1:9">
      <c r="A148" s="1">
        <v>38256</v>
      </c>
      <c r="B148" s="1">
        <v>39082</v>
      </c>
      <c r="C148" s="2">
        <f t="shared" si="5"/>
        <v>2.2614647501711156</v>
      </c>
      <c r="D148" s="3">
        <v>63.5</v>
      </c>
      <c r="E148" s="2">
        <v>6.6</v>
      </c>
      <c r="F148" s="3">
        <v>0</v>
      </c>
      <c r="G148" s="3">
        <v>0</v>
      </c>
      <c r="H148" s="3">
        <v>63.5</v>
      </c>
      <c r="I148" s="2">
        <v>6.6</v>
      </c>
    </row>
    <row r="149" spans="1:9">
      <c r="A149" s="1">
        <v>38322</v>
      </c>
      <c r="B149" s="1">
        <v>39082</v>
      </c>
      <c r="C149" s="2">
        <f t="shared" si="5"/>
        <v>2.0807665982203969</v>
      </c>
      <c r="D149" s="3">
        <v>63.6</v>
      </c>
      <c r="E149" s="2">
        <v>6.7</v>
      </c>
      <c r="F149" s="3">
        <v>1</v>
      </c>
      <c r="G149" s="3">
        <v>0</v>
      </c>
      <c r="H149" s="3">
        <v>63.6</v>
      </c>
      <c r="I149" s="2">
        <v>6.7</v>
      </c>
    </row>
    <row r="150" spans="1:9">
      <c r="A150" s="1">
        <v>38251</v>
      </c>
      <c r="B150" s="1">
        <v>39082</v>
      </c>
      <c r="C150" s="2">
        <f t="shared" si="5"/>
        <v>2.2751540041067764</v>
      </c>
      <c r="D150" s="3">
        <v>63.9</v>
      </c>
      <c r="E150" s="2">
        <v>5.7</v>
      </c>
      <c r="F150" s="3">
        <v>1</v>
      </c>
      <c r="G150" s="3">
        <v>1</v>
      </c>
      <c r="H150" s="3">
        <v>63.9</v>
      </c>
      <c r="I150" s="2">
        <v>5.7</v>
      </c>
    </row>
    <row r="151" spans="1:9">
      <c r="A151" s="1">
        <v>38268</v>
      </c>
      <c r="B151" s="1">
        <v>39082</v>
      </c>
      <c r="C151" s="2">
        <f t="shared" si="5"/>
        <v>2.2286105407255303</v>
      </c>
      <c r="D151" s="3">
        <v>64.2</v>
      </c>
      <c r="E151" s="2">
        <v>8.1</v>
      </c>
      <c r="F151" s="3">
        <v>1</v>
      </c>
      <c r="G151" s="3">
        <v>0</v>
      </c>
      <c r="H151" s="3">
        <v>64.2</v>
      </c>
      <c r="I151" s="2">
        <v>8.1</v>
      </c>
    </row>
    <row r="152" spans="1:9">
      <c r="A152" s="1">
        <v>38236</v>
      </c>
      <c r="B152" s="1">
        <v>39082</v>
      </c>
      <c r="C152" s="2">
        <f t="shared" si="5"/>
        <v>2.3162217659137578</v>
      </c>
      <c r="D152" s="3">
        <v>64.3</v>
      </c>
      <c r="E152" s="2">
        <v>5.9</v>
      </c>
      <c r="F152" s="3">
        <v>1</v>
      </c>
      <c r="G152" s="3">
        <v>0</v>
      </c>
      <c r="H152" s="3">
        <v>64.3</v>
      </c>
      <c r="I152" s="2">
        <v>5.9</v>
      </c>
    </row>
    <row r="153" spans="1:9">
      <c r="A153" s="1">
        <v>38257</v>
      </c>
      <c r="B153" s="1">
        <v>39082</v>
      </c>
      <c r="C153" s="2">
        <f t="shared" si="5"/>
        <v>2.2587268993839835</v>
      </c>
      <c r="D153" s="3">
        <v>64.5</v>
      </c>
      <c r="E153" s="2">
        <v>7.1</v>
      </c>
      <c r="F153" s="3">
        <v>1</v>
      </c>
      <c r="G153" s="3">
        <v>0</v>
      </c>
      <c r="H153" s="3">
        <v>64.5</v>
      </c>
      <c r="I153" s="2">
        <v>7.1</v>
      </c>
    </row>
    <row r="154" spans="1:9">
      <c r="A154" s="1">
        <v>38232</v>
      </c>
      <c r="B154" s="1">
        <v>39082</v>
      </c>
      <c r="C154" s="2">
        <f t="shared" si="5"/>
        <v>2.3271731690622861</v>
      </c>
      <c r="D154" s="3">
        <v>64.5</v>
      </c>
      <c r="E154" s="2">
        <v>7.7</v>
      </c>
      <c r="F154" s="3">
        <v>1</v>
      </c>
      <c r="G154" s="3">
        <v>1</v>
      </c>
      <c r="H154" s="3">
        <v>64.5</v>
      </c>
      <c r="I154" s="2">
        <v>7.7</v>
      </c>
    </row>
    <row r="155" spans="1:9">
      <c r="A155" s="1">
        <v>38235</v>
      </c>
      <c r="B155" s="1">
        <v>39082</v>
      </c>
      <c r="C155" s="2">
        <f t="shared" si="5"/>
        <v>2.3189596167008899</v>
      </c>
      <c r="D155" s="3">
        <v>64.5</v>
      </c>
      <c r="E155" s="2">
        <v>7.6</v>
      </c>
      <c r="F155" s="3">
        <v>1</v>
      </c>
      <c r="G155" s="3">
        <v>0</v>
      </c>
      <c r="H155" s="3">
        <v>64.5</v>
      </c>
      <c r="I155" s="2">
        <v>7.6</v>
      </c>
    </row>
    <row r="156" spans="1:9">
      <c r="A156" s="1">
        <v>38232</v>
      </c>
      <c r="B156" s="1">
        <v>39082</v>
      </c>
      <c r="C156" s="2">
        <f t="shared" si="5"/>
        <v>2.3271731690622861</v>
      </c>
      <c r="D156" s="3">
        <v>64.599999999999994</v>
      </c>
      <c r="E156" s="2">
        <v>6.5</v>
      </c>
      <c r="F156" s="3">
        <v>1</v>
      </c>
      <c r="G156" s="3">
        <v>1</v>
      </c>
      <c r="H156" s="3">
        <v>64.599999999999994</v>
      </c>
      <c r="I156" s="2">
        <v>6.5</v>
      </c>
    </row>
    <row r="157" spans="1:9">
      <c r="A157" s="1">
        <v>38279</v>
      </c>
      <c r="B157" s="1">
        <v>39082</v>
      </c>
      <c r="C157" s="2">
        <f t="shared" si="5"/>
        <v>2.1984941820670771</v>
      </c>
      <c r="D157" s="3">
        <v>64.599999999999994</v>
      </c>
      <c r="E157" s="2">
        <v>8.1</v>
      </c>
      <c r="F157" s="3">
        <v>1</v>
      </c>
      <c r="G157" s="3">
        <v>0</v>
      </c>
      <c r="H157" s="3">
        <v>64.599999999999994</v>
      </c>
      <c r="I157" s="2">
        <v>8.1</v>
      </c>
    </row>
    <row r="158" spans="1:9">
      <c r="A158" s="1">
        <v>38232</v>
      </c>
      <c r="B158" s="1">
        <v>39082</v>
      </c>
      <c r="C158" s="2">
        <f t="shared" si="5"/>
        <v>2.3271731690622861</v>
      </c>
      <c r="D158" s="3">
        <v>64.8</v>
      </c>
      <c r="E158" s="2">
        <v>6.4</v>
      </c>
      <c r="F158" s="3">
        <v>1</v>
      </c>
      <c r="G158" s="3">
        <v>0</v>
      </c>
      <c r="H158" s="3">
        <v>64.8</v>
      </c>
      <c r="I158" s="2">
        <v>6.4</v>
      </c>
    </row>
    <row r="159" spans="1:9">
      <c r="A159" s="1">
        <v>38172</v>
      </c>
      <c r="B159" s="1">
        <v>39082</v>
      </c>
      <c r="C159" s="2">
        <f t="shared" si="5"/>
        <v>2.4914442162902124</v>
      </c>
      <c r="D159" s="3">
        <v>64.900000000000006</v>
      </c>
      <c r="E159" s="2">
        <v>7.1</v>
      </c>
      <c r="F159" s="3">
        <v>1</v>
      </c>
      <c r="G159" s="3">
        <v>1</v>
      </c>
      <c r="H159" s="3">
        <v>64.900000000000006</v>
      </c>
      <c r="I159" s="2">
        <v>7.1</v>
      </c>
    </row>
    <row r="160" spans="1:9">
      <c r="A160" s="1">
        <v>38220</v>
      </c>
      <c r="B160" s="1">
        <v>39082</v>
      </c>
      <c r="C160" s="2">
        <f t="shared" si="5"/>
        <v>2.3600273785078714</v>
      </c>
      <c r="D160" s="3">
        <v>64.900000000000006</v>
      </c>
      <c r="E160" s="2">
        <v>7.5</v>
      </c>
      <c r="F160" s="3">
        <v>1</v>
      </c>
      <c r="G160" s="3">
        <v>1</v>
      </c>
      <c r="H160" s="3">
        <v>64.900000000000006</v>
      </c>
      <c r="I160" s="2">
        <v>7.5</v>
      </c>
    </row>
    <row r="161" spans="1:9">
      <c r="A161" s="1">
        <v>38226</v>
      </c>
      <c r="B161" s="1">
        <v>39082</v>
      </c>
      <c r="C161" s="2">
        <f t="shared" si="5"/>
        <v>2.3436002737850785</v>
      </c>
      <c r="D161" s="3">
        <v>65</v>
      </c>
      <c r="E161" s="2">
        <v>6.8</v>
      </c>
      <c r="F161" s="3">
        <v>1</v>
      </c>
      <c r="G161" s="3">
        <v>1</v>
      </c>
      <c r="H161" s="3">
        <v>65</v>
      </c>
      <c r="I161" s="2">
        <v>6.8</v>
      </c>
    </row>
    <row r="162" spans="1:9">
      <c r="A162" s="1">
        <v>38154</v>
      </c>
      <c r="B162" s="1">
        <v>39082</v>
      </c>
      <c r="C162" s="2">
        <f t="shared" si="5"/>
        <v>2.5407255304585901</v>
      </c>
      <c r="D162" s="3">
        <v>65</v>
      </c>
      <c r="E162" s="2">
        <v>7.5</v>
      </c>
      <c r="F162" s="3">
        <v>1</v>
      </c>
      <c r="G162" s="3">
        <v>0</v>
      </c>
      <c r="H162" s="3">
        <v>65</v>
      </c>
      <c r="I162" s="2">
        <v>7.5</v>
      </c>
    </row>
    <row r="163" spans="1:9">
      <c r="A163" s="1">
        <v>38218</v>
      </c>
      <c r="B163" s="1">
        <v>39082</v>
      </c>
      <c r="C163" s="2">
        <f t="shared" si="5"/>
        <v>2.3655030800821355</v>
      </c>
      <c r="D163" s="3">
        <v>65.099999999999994</v>
      </c>
      <c r="E163" s="2">
        <v>7.5</v>
      </c>
      <c r="F163" s="3">
        <v>1</v>
      </c>
      <c r="G163" s="3">
        <v>1</v>
      </c>
      <c r="H163" s="3">
        <v>65.099999999999994</v>
      </c>
      <c r="I163" s="2">
        <v>7.5</v>
      </c>
    </row>
    <row r="164" spans="1:9">
      <c r="A164" s="1">
        <v>38202</v>
      </c>
      <c r="B164" s="1">
        <v>39082</v>
      </c>
      <c r="C164" s="2">
        <f t="shared" si="5"/>
        <v>2.409308692676249</v>
      </c>
      <c r="D164" s="3">
        <v>65.2</v>
      </c>
      <c r="E164" s="2">
        <v>6.8</v>
      </c>
      <c r="F164" s="3">
        <v>1</v>
      </c>
      <c r="G164" s="3">
        <v>1</v>
      </c>
      <c r="H164" s="3">
        <v>65.2</v>
      </c>
      <c r="I164" s="2">
        <v>6.8</v>
      </c>
    </row>
    <row r="165" spans="1:9">
      <c r="A165" s="1">
        <v>38069</v>
      </c>
      <c r="B165" s="1">
        <v>39082</v>
      </c>
      <c r="C165" s="2">
        <f t="shared" si="5"/>
        <v>2.7734428473648185</v>
      </c>
      <c r="D165" s="3">
        <v>65.2</v>
      </c>
      <c r="E165" s="2">
        <v>5</v>
      </c>
      <c r="F165" s="3">
        <v>1</v>
      </c>
      <c r="G165" s="3">
        <v>1</v>
      </c>
      <c r="H165" s="3">
        <v>65.2</v>
      </c>
      <c r="I165" s="2">
        <v>5</v>
      </c>
    </row>
    <row r="166" spans="1:9">
      <c r="A166" s="1">
        <v>38158</v>
      </c>
      <c r="B166" s="1">
        <v>39082</v>
      </c>
      <c r="C166" s="2">
        <f t="shared" si="5"/>
        <v>2.5297741273100618</v>
      </c>
      <c r="D166" s="3">
        <v>65.3</v>
      </c>
      <c r="E166" s="2">
        <v>7</v>
      </c>
      <c r="F166" s="3">
        <v>1</v>
      </c>
      <c r="G166" s="3">
        <v>0</v>
      </c>
      <c r="H166" s="3">
        <v>65.3</v>
      </c>
      <c r="I166" s="2">
        <v>7</v>
      </c>
    </row>
    <row r="167" spans="1:9">
      <c r="A167" s="1">
        <v>38227</v>
      </c>
      <c r="B167" s="1">
        <v>39082</v>
      </c>
      <c r="C167" s="2">
        <f t="shared" si="5"/>
        <v>2.3408624229979464</v>
      </c>
      <c r="D167" s="3">
        <v>65.3</v>
      </c>
      <c r="E167" s="2">
        <v>7.7</v>
      </c>
      <c r="F167" s="3">
        <v>1</v>
      </c>
      <c r="G167" s="3">
        <v>1</v>
      </c>
      <c r="H167" s="3">
        <v>65.3</v>
      </c>
      <c r="I167" s="2">
        <v>7.7</v>
      </c>
    </row>
    <row r="168" spans="1:9">
      <c r="A168" s="1">
        <v>38270</v>
      </c>
      <c r="B168" s="1">
        <v>39082</v>
      </c>
      <c r="C168" s="2">
        <f t="shared" si="5"/>
        <v>2.2231348391512662</v>
      </c>
      <c r="D168" s="3">
        <v>65.5</v>
      </c>
      <c r="E168" s="2">
        <v>7.2</v>
      </c>
      <c r="F168" s="3">
        <v>1</v>
      </c>
      <c r="G168" s="3">
        <v>1</v>
      </c>
      <c r="H168" s="3">
        <v>65.5</v>
      </c>
      <c r="I168" s="2">
        <v>7.2</v>
      </c>
    </row>
    <row r="169" spans="1:9">
      <c r="A169" s="1">
        <v>38390</v>
      </c>
      <c r="B169" s="1">
        <v>39082</v>
      </c>
      <c r="C169" s="2">
        <f t="shared" si="5"/>
        <v>1.8945927446954141</v>
      </c>
      <c r="D169" s="3">
        <v>65.599999999999994</v>
      </c>
      <c r="E169" s="2">
        <v>5.6</v>
      </c>
      <c r="F169" s="3">
        <v>1</v>
      </c>
      <c r="G169" s="3">
        <v>0</v>
      </c>
      <c r="H169" s="3">
        <v>65.599999999999994</v>
      </c>
      <c r="I169" s="2">
        <v>5.6</v>
      </c>
    </row>
    <row r="170" spans="1:9">
      <c r="A170" s="1">
        <v>38243</v>
      </c>
      <c r="B170" s="1">
        <v>39082</v>
      </c>
      <c r="C170" s="2">
        <f t="shared" si="5"/>
        <v>2.2970568104038329</v>
      </c>
      <c r="D170" s="3">
        <v>65.599999999999994</v>
      </c>
      <c r="E170" s="2">
        <v>7.5</v>
      </c>
      <c r="F170" s="3">
        <v>1</v>
      </c>
      <c r="G170" s="3">
        <v>0</v>
      </c>
      <c r="H170" s="3">
        <v>65.599999999999994</v>
      </c>
      <c r="I170" s="2">
        <v>7.5</v>
      </c>
    </row>
    <row r="171" spans="1:9">
      <c r="A171" s="1">
        <v>38232</v>
      </c>
      <c r="B171" s="1">
        <v>39082</v>
      </c>
      <c r="C171" s="2">
        <f t="shared" si="5"/>
        <v>2.3271731690622861</v>
      </c>
      <c r="D171" s="3">
        <v>65.7</v>
      </c>
      <c r="E171" s="2">
        <v>7.6</v>
      </c>
      <c r="F171" s="3">
        <v>1</v>
      </c>
      <c r="G171" s="3">
        <v>1</v>
      </c>
      <c r="H171" s="3">
        <v>65.7</v>
      </c>
      <c r="I171" s="2">
        <v>7.6</v>
      </c>
    </row>
    <row r="172" spans="1:9">
      <c r="A172" s="1">
        <v>38206</v>
      </c>
      <c r="B172" s="1">
        <v>39082</v>
      </c>
      <c r="C172" s="2">
        <f t="shared" si="5"/>
        <v>2.3983572895277208</v>
      </c>
      <c r="D172" s="3">
        <v>65.7</v>
      </c>
      <c r="E172" s="2">
        <v>6.1</v>
      </c>
      <c r="F172" s="3">
        <v>1</v>
      </c>
      <c r="G172" s="3">
        <v>1</v>
      </c>
      <c r="H172" s="3">
        <v>65.7</v>
      </c>
      <c r="I172" s="2">
        <v>6.1</v>
      </c>
    </row>
    <row r="173" spans="1:9">
      <c r="A173" s="1">
        <v>38183</v>
      </c>
      <c r="B173" s="1">
        <v>39082</v>
      </c>
      <c r="C173" s="2">
        <f t="shared" si="5"/>
        <v>2.4613278576317592</v>
      </c>
      <c r="D173" s="3">
        <v>65.8</v>
      </c>
      <c r="E173" s="2">
        <v>7</v>
      </c>
      <c r="F173" s="3">
        <v>1</v>
      </c>
      <c r="G173" s="3">
        <v>0</v>
      </c>
      <c r="H173" s="3">
        <v>65.8</v>
      </c>
      <c r="I173" s="2">
        <v>7</v>
      </c>
    </row>
    <row r="174" spans="1:9">
      <c r="A174" s="1">
        <v>38223</v>
      </c>
      <c r="B174" s="1">
        <v>39082</v>
      </c>
      <c r="C174" s="2">
        <f t="shared" si="5"/>
        <v>2.3518138261464752</v>
      </c>
      <c r="D174" s="3">
        <v>65.900000000000006</v>
      </c>
      <c r="E174" s="2">
        <v>6</v>
      </c>
      <c r="F174" s="3">
        <v>1</v>
      </c>
      <c r="G174" s="3">
        <v>0</v>
      </c>
      <c r="H174" s="3">
        <v>65.900000000000006</v>
      </c>
      <c r="I174" s="2">
        <v>6</v>
      </c>
    </row>
    <row r="175" spans="1:9">
      <c r="A175" s="1">
        <v>38066</v>
      </c>
      <c r="B175" s="1">
        <v>39082</v>
      </c>
      <c r="C175" s="2">
        <f t="shared" si="5"/>
        <v>2.7816563997262147</v>
      </c>
      <c r="D175" s="3">
        <v>65.900000000000006</v>
      </c>
      <c r="E175" s="2">
        <v>6.3</v>
      </c>
      <c r="F175" s="3">
        <v>1</v>
      </c>
      <c r="G175" s="3">
        <v>1</v>
      </c>
      <c r="H175" s="3">
        <v>65.900000000000006</v>
      </c>
      <c r="I175" s="2">
        <v>6.3</v>
      </c>
    </row>
    <row r="176" spans="1:9">
      <c r="A176" s="1">
        <v>38244</v>
      </c>
      <c r="B176" s="1">
        <v>39082</v>
      </c>
      <c r="C176" s="2">
        <f t="shared" si="5"/>
        <v>2.2943189596167008</v>
      </c>
      <c r="D176" s="3">
        <v>66</v>
      </c>
      <c r="E176" s="2">
        <v>9.1</v>
      </c>
      <c r="F176" s="3">
        <v>1</v>
      </c>
      <c r="G176" s="3">
        <v>1</v>
      </c>
      <c r="H176" s="3">
        <v>66</v>
      </c>
      <c r="I176" s="2">
        <v>9.1</v>
      </c>
    </row>
    <row r="177" spans="1:9">
      <c r="A177" s="1">
        <v>38259</v>
      </c>
      <c r="B177" s="1">
        <v>39082</v>
      </c>
      <c r="C177" s="2">
        <f t="shared" si="5"/>
        <v>2.2532511978097194</v>
      </c>
      <c r="D177" s="3">
        <v>66</v>
      </c>
      <c r="E177" s="2">
        <v>8.1999999999999993</v>
      </c>
      <c r="F177" s="3">
        <v>1</v>
      </c>
      <c r="G177" s="3">
        <v>0</v>
      </c>
      <c r="H177" s="3">
        <v>66</v>
      </c>
      <c r="I177" s="2">
        <v>8.1999999999999993</v>
      </c>
    </row>
    <row r="178" spans="1:9">
      <c r="A178" s="1">
        <v>38200</v>
      </c>
      <c r="B178" s="1">
        <v>39082</v>
      </c>
      <c r="C178" s="2">
        <f t="shared" si="5"/>
        <v>2.4147843942505132</v>
      </c>
      <c r="D178" s="3">
        <v>66</v>
      </c>
      <c r="E178" s="2">
        <v>8.5</v>
      </c>
      <c r="F178" s="3">
        <v>1</v>
      </c>
      <c r="G178" s="3">
        <v>1</v>
      </c>
      <c r="H178" s="3">
        <v>66</v>
      </c>
      <c r="I178" s="2">
        <v>8.5</v>
      </c>
    </row>
    <row r="179" spans="1:9">
      <c r="A179" s="1">
        <v>38201</v>
      </c>
      <c r="B179" s="1">
        <v>39082</v>
      </c>
      <c r="C179" s="2">
        <f t="shared" si="5"/>
        <v>2.4120465434633811</v>
      </c>
      <c r="D179" s="3">
        <v>66</v>
      </c>
      <c r="E179" s="2">
        <v>6.7</v>
      </c>
      <c r="F179" s="3">
        <v>1</v>
      </c>
      <c r="G179" s="3">
        <v>1</v>
      </c>
      <c r="H179" s="3">
        <v>66</v>
      </c>
      <c r="I179" s="2">
        <v>6.7</v>
      </c>
    </row>
    <row r="180" spans="1:9">
      <c r="A180" s="1">
        <v>37926</v>
      </c>
      <c r="B180" s="1">
        <v>39082</v>
      </c>
      <c r="C180" s="2">
        <f t="shared" si="5"/>
        <v>3.1649555099247091</v>
      </c>
      <c r="D180" s="3">
        <v>66</v>
      </c>
      <c r="E180" s="2">
        <v>6.6</v>
      </c>
      <c r="F180" s="3">
        <v>1</v>
      </c>
      <c r="G180" s="3">
        <v>0</v>
      </c>
      <c r="H180" s="3">
        <v>66</v>
      </c>
      <c r="I180" s="2">
        <v>6.6</v>
      </c>
    </row>
    <row r="181" spans="1:9">
      <c r="A181" s="1">
        <v>38129</v>
      </c>
      <c r="B181" s="1">
        <v>39082</v>
      </c>
      <c r="C181" s="2">
        <f t="shared" si="5"/>
        <v>2.6091718001368926</v>
      </c>
      <c r="D181" s="3">
        <v>66.099999999999994</v>
      </c>
      <c r="E181" s="2">
        <v>7.7</v>
      </c>
      <c r="F181" s="3">
        <v>1</v>
      </c>
      <c r="G181" s="3">
        <v>1</v>
      </c>
      <c r="H181" s="3">
        <v>66.099999999999994</v>
      </c>
      <c r="I181" s="2">
        <v>7.7</v>
      </c>
    </row>
    <row r="182" spans="1:9">
      <c r="A182" s="1">
        <v>38232</v>
      </c>
      <c r="B182" s="1">
        <v>39082</v>
      </c>
      <c r="C182" s="2">
        <f t="shared" si="5"/>
        <v>2.3271731690622861</v>
      </c>
      <c r="D182" s="3">
        <v>66.2</v>
      </c>
      <c r="E182" s="2">
        <v>6.8</v>
      </c>
      <c r="F182" s="3">
        <v>1</v>
      </c>
      <c r="G182" s="3">
        <v>1</v>
      </c>
      <c r="H182" s="3">
        <v>66.2</v>
      </c>
      <c r="I182" s="2">
        <v>6.8</v>
      </c>
    </row>
    <row r="183" spans="1:9">
      <c r="A183" s="1">
        <v>38177</v>
      </c>
      <c r="B183" s="1">
        <v>39082</v>
      </c>
      <c r="C183" s="2">
        <f t="shared" si="5"/>
        <v>2.4777549623545516</v>
      </c>
      <c r="D183" s="3">
        <v>66.3</v>
      </c>
      <c r="E183" s="2">
        <v>7.2</v>
      </c>
      <c r="F183" s="3">
        <v>1</v>
      </c>
      <c r="G183" s="3">
        <v>1</v>
      </c>
      <c r="H183" s="3">
        <v>66.3</v>
      </c>
      <c r="I183" s="2">
        <v>7.2</v>
      </c>
    </row>
    <row r="184" spans="1:9">
      <c r="A184" s="1">
        <v>38181</v>
      </c>
      <c r="B184" s="1">
        <v>39082</v>
      </c>
      <c r="C184" s="2">
        <f t="shared" si="5"/>
        <v>2.4668035592060233</v>
      </c>
      <c r="D184" s="3">
        <v>66.400000000000006</v>
      </c>
      <c r="E184" s="2">
        <v>7.7</v>
      </c>
      <c r="F184" s="3">
        <v>1</v>
      </c>
      <c r="G184" s="3">
        <v>1</v>
      </c>
      <c r="H184" s="3">
        <v>66.400000000000006</v>
      </c>
      <c r="I184" s="2">
        <v>7.7</v>
      </c>
    </row>
    <row r="185" spans="1:9">
      <c r="A185" s="1">
        <v>38203</v>
      </c>
      <c r="B185" s="1">
        <v>39082</v>
      </c>
      <c r="C185" s="2">
        <f t="shared" si="5"/>
        <v>2.406570841889117</v>
      </c>
      <c r="D185" s="3">
        <v>66.5</v>
      </c>
      <c r="E185" s="2">
        <v>6.4</v>
      </c>
      <c r="F185" s="3">
        <v>1</v>
      </c>
      <c r="G185" s="3">
        <v>0</v>
      </c>
      <c r="H185" s="3">
        <v>66.5</v>
      </c>
      <c r="I185" s="2">
        <v>6.4</v>
      </c>
    </row>
    <row r="186" spans="1:9">
      <c r="A186" s="1">
        <v>38093</v>
      </c>
      <c r="B186" s="1">
        <v>39082</v>
      </c>
      <c r="C186" s="2">
        <f t="shared" si="5"/>
        <v>2.707734428473648</v>
      </c>
      <c r="D186" s="3">
        <v>66.5</v>
      </c>
      <c r="E186" s="2">
        <v>7</v>
      </c>
      <c r="F186" s="3">
        <v>1</v>
      </c>
      <c r="G186" s="3">
        <v>1</v>
      </c>
      <c r="H186" s="3">
        <v>66.5</v>
      </c>
      <c r="I186" s="2">
        <v>7</v>
      </c>
    </row>
    <row r="187" spans="1:9">
      <c r="A187" s="1">
        <v>38159</v>
      </c>
      <c r="B187" s="1">
        <v>39082</v>
      </c>
      <c r="C187" s="2">
        <f t="shared" si="5"/>
        <v>2.5270362765229293</v>
      </c>
      <c r="D187" s="3">
        <v>66.5</v>
      </c>
      <c r="E187" s="2">
        <v>6.9</v>
      </c>
      <c r="F187" s="3">
        <v>1</v>
      </c>
      <c r="G187" s="3">
        <v>1</v>
      </c>
      <c r="H187" s="3">
        <v>66.5</v>
      </c>
      <c r="I187" s="2">
        <v>6.9</v>
      </c>
    </row>
    <row r="188" spans="1:9">
      <c r="A188" s="1">
        <v>38152</v>
      </c>
      <c r="B188" s="1">
        <v>39082</v>
      </c>
      <c r="C188" s="2">
        <f t="shared" si="5"/>
        <v>2.5462012320328542</v>
      </c>
      <c r="D188" s="3">
        <v>66.5</v>
      </c>
      <c r="E188" s="2">
        <v>6.5</v>
      </c>
      <c r="F188" s="3">
        <v>1</v>
      </c>
      <c r="G188" s="3">
        <v>0</v>
      </c>
      <c r="H188" s="3">
        <v>66.5</v>
      </c>
      <c r="I188" s="2">
        <v>6.5</v>
      </c>
    </row>
    <row r="189" spans="1:9">
      <c r="A189" s="1">
        <v>38228</v>
      </c>
      <c r="B189" s="1">
        <v>39082</v>
      </c>
      <c r="C189" s="2">
        <f t="shared" si="5"/>
        <v>2.3381245722108144</v>
      </c>
      <c r="D189" s="3">
        <v>66.7</v>
      </c>
      <c r="E189" s="2">
        <v>7.1</v>
      </c>
      <c r="F189" s="3">
        <v>1</v>
      </c>
      <c r="G189" s="3">
        <v>0</v>
      </c>
      <c r="H189" s="3">
        <v>66.7</v>
      </c>
      <c r="I189" s="2">
        <v>7.1</v>
      </c>
    </row>
    <row r="190" spans="1:9">
      <c r="A190" s="1">
        <v>38159</v>
      </c>
      <c r="B190" s="1">
        <v>39082</v>
      </c>
      <c r="C190" s="2">
        <f t="shared" si="5"/>
        <v>2.5270362765229293</v>
      </c>
      <c r="D190" s="3">
        <v>66.7</v>
      </c>
      <c r="E190" s="2">
        <v>7.5</v>
      </c>
      <c r="F190" s="3">
        <v>1</v>
      </c>
      <c r="G190" s="3">
        <v>1</v>
      </c>
      <c r="H190" s="3">
        <v>66.7</v>
      </c>
      <c r="I190" s="2">
        <v>7.5</v>
      </c>
    </row>
    <row r="191" spans="1:9">
      <c r="A191" s="1">
        <v>38111</v>
      </c>
      <c r="B191" s="1">
        <v>39082</v>
      </c>
      <c r="C191" s="2">
        <f t="shared" si="5"/>
        <v>2.6584531143052703</v>
      </c>
      <c r="D191" s="3">
        <v>66.7</v>
      </c>
      <c r="E191" s="2">
        <v>6.5</v>
      </c>
      <c r="F191" s="3">
        <v>0</v>
      </c>
      <c r="G191" s="3">
        <v>1</v>
      </c>
      <c r="H191" s="3">
        <v>66.7</v>
      </c>
      <c r="I191" s="2">
        <v>6.5</v>
      </c>
    </row>
    <row r="192" spans="1:9">
      <c r="A192" s="1">
        <v>38105</v>
      </c>
      <c r="B192" s="1">
        <v>39082</v>
      </c>
      <c r="C192" s="2">
        <f t="shared" si="5"/>
        <v>2.6748802190280632</v>
      </c>
      <c r="D192" s="3">
        <v>66.8</v>
      </c>
      <c r="E192" s="2">
        <v>6.9</v>
      </c>
      <c r="F192" s="3">
        <v>1</v>
      </c>
      <c r="G192" s="3">
        <v>0</v>
      </c>
      <c r="H192" s="3">
        <v>66.8</v>
      </c>
      <c r="I192" s="2">
        <v>6.9</v>
      </c>
    </row>
    <row r="193" spans="1:9">
      <c r="A193" s="1">
        <v>38200</v>
      </c>
      <c r="B193" s="1">
        <v>39082</v>
      </c>
      <c r="C193" s="2">
        <f t="shared" si="5"/>
        <v>2.4147843942505132</v>
      </c>
      <c r="D193" s="3">
        <v>66.8</v>
      </c>
      <c r="E193" s="2">
        <v>7</v>
      </c>
      <c r="F193" s="3">
        <v>0</v>
      </c>
      <c r="G193" s="3">
        <v>1</v>
      </c>
      <c r="H193" s="3">
        <v>66.8</v>
      </c>
      <c r="I193" s="2">
        <v>7</v>
      </c>
    </row>
    <row r="194" spans="1:9">
      <c r="A194" s="1">
        <v>38499</v>
      </c>
      <c r="B194" s="1">
        <v>39082</v>
      </c>
      <c r="C194" s="2">
        <f t="shared" ref="C194:C257" si="6">(B194-A194)/365.25</f>
        <v>1.5961670088980151</v>
      </c>
      <c r="D194" s="3">
        <v>66.8</v>
      </c>
      <c r="E194" s="2">
        <v>6.3</v>
      </c>
      <c r="F194" s="3">
        <v>1</v>
      </c>
      <c r="G194" s="3">
        <v>1</v>
      </c>
      <c r="H194" s="3">
        <v>66.8</v>
      </c>
      <c r="I194" s="2">
        <v>6.3</v>
      </c>
    </row>
    <row r="195" spans="1:9">
      <c r="A195" s="1">
        <v>38239</v>
      </c>
      <c r="B195" s="1">
        <v>39082</v>
      </c>
      <c r="C195" s="2">
        <f t="shared" si="6"/>
        <v>2.3080082135523612</v>
      </c>
      <c r="D195" s="3">
        <v>66.8</v>
      </c>
      <c r="E195" s="2">
        <v>7.8</v>
      </c>
      <c r="F195" s="3">
        <v>1</v>
      </c>
      <c r="G195" s="3">
        <v>0</v>
      </c>
      <c r="H195" s="3">
        <v>66.8</v>
      </c>
      <c r="I195" s="2">
        <v>7.8</v>
      </c>
    </row>
    <row r="196" spans="1:9">
      <c r="A196" s="1">
        <v>37996</v>
      </c>
      <c r="B196" s="1">
        <v>39082</v>
      </c>
      <c r="C196" s="2">
        <f t="shared" si="6"/>
        <v>2.9733059548254621</v>
      </c>
      <c r="D196" s="3">
        <v>67</v>
      </c>
      <c r="E196" s="2">
        <v>7.5</v>
      </c>
      <c r="F196" s="3">
        <v>1</v>
      </c>
      <c r="G196" s="3">
        <v>1</v>
      </c>
      <c r="H196" s="3">
        <v>67</v>
      </c>
      <c r="I196" s="2">
        <v>7.5</v>
      </c>
    </row>
    <row r="197" spans="1:9">
      <c r="A197" s="1">
        <v>38200</v>
      </c>
      <c r="B197" s="1">
        <v>39082</v>
      </c>
      <c r="C197" s="2">
        <f t="shared" si="6"/>
        <v>2.4147843942505132</v>
      </c>
      <c r="D197" s="3">
        <v>67</v>
      </c>
      <c r="E197" s="2">
        <v>6.6</v>
      </c>
      <c r="F197" s="3">
        <v>1</v>
      </c>
      <c r="G197" s="3">
        <v>1</v>
      </c>
      <c r="H197" s="3">
        <v>67</v>
      </c>
      <c r="I197" s="2">
        <v>6.6</v>
      </c>
    </row>
    <row r="198" spans="1:9">
      <c r="A198" s="1">
        <v>38209</v>
      </c>
      <c r="B198" s="1">
        <v>39082</v>
      </c>
      <c r="C198" s="2">
        <f t="shared" si="6"/>
        <v>2.3901437371663246</v>
      </c>
      <c r="D198" s="3">
        <v>67</v>
      </c>
      <c r="E198" s="2">
        <v>7.4</v>
      </c>
      <c r="F198" s="3">
        <v>1</v>
      </c>
      <c r="G198" s="3">
        <v>1</v>
      </c>
      <c r="H198" s="3">
        <v>67</v>
      </c>
      <c r="I198" s="2">
        <v>7.4</v>
      </c>
    </row>
    <row r="199" spans="1:9">
      <c r="A199" s="1">
        <v>38242</v>
      </c>
      <c r="B199" s="1">
        <v>39082</v>
      </c>
      <c r="C199" s="2">
        <f t="shared" si="6"/>
        <v>2.299794661190965</v>
      </c>
      <c r="D199" s="3">
        <v>67</v>
      </c>
      <c r="E199" s="2">
        <v>8.6</v>
      </c>
      <c r="F199" s="3">
        <v>1</v>
      </c>
      <c r="G199" s="3">
        <v>0</v>
      </c>
      <c r="H199" s="3">
        <v>67</v>
      </c>
      <c r="I199" s="2">
        <v>8.6</v>
      </c>
    </row>
    <row r="200" spans="1:9">
      <c r="A200" s="1">
        <v>38080</v>
      </c>
      <c r="B200" s="1">
        <v>39082</v>
      </c>
      <c r="C200" s="2">
        <f t="shared" si="6"/>
        <v>2.7433264887063653</v>
      </c>
      <c r="D200" s="3">
        <v>67.099999999999994</v>
      </c>
      <c r="E200" s="2">
        <v>8.1</v>
      </c>
      <c r="F200" s="3">
        <v>1</v>
      </c>
      <c r="G200" s="3">
        <v>1</v>
      </c>
      <c r="H200" s="3">
        <v>67.099999999999994</v>
      </c>
      <c r="I200" s="2">
        <v>8.1</v>
      </c>
    </row>
    <row r="201" spans="1:9">
      <c r="A201" s="1">
        <v>38168</v>
      </c>
      <c r="B201" s="1">
        <v>39082</v>
      </c>
      <c r="C201" s="2">
        <f t="shared" si="6"/>
        <v>2.5023956194387407</v>
      </c>
      <c r="D201" s="3">
        <v>67.2</v>
      </c>
      <c r="E201" s="2">
        <v>9.1</v>
      </c>
      <c r="F201" s="3">
        <v>1</v>
      </c>
      <c r="G201" s="3">
        <v>1</v>
      </c>
      <c r="H201" s="3">
        <v>67.2</v>
      </c>
      <c r="I201" s="2">
        <v>9.1</v>
      </c>
    </row>
    <row r="202" spans="1:9">
      <c r="A202" s="1">
        <v>38099</v>
      </c>
      <c r="B202" s="1">
        <v>39082</v>
      </c>
      <c r="C202" s="2">
        <f t="shared" si="6"/>
        <v>2.6913073237508556</v>
      </c>
      <c r="D202" s="3">
        <v>67.2</v>
      </c>
      <c r="E202" s="2">
        <v>7.1</v>
      </c>
      <c r="F202" s="3">
        <v>1</v>
      </c>
      <c r="G202" s="3">
        <v>1</v>
      </c>
      <c r="H202" s="3">
        <v>67.2</v>
      </c>
      <c r="I202" s="2">
        <v>7.1</v>
      </c>
    </row>
    <row r="203" spans="1:9">
      <c r="A203" s="1">
        <v>38166</v>
      </c>
      <c r="B203" s="1">
        <v>39082</v>
      </c>
      <c r="C203" s="2">
        <f t="shared" si="6"/>
        <v>2.5078713210130048</v>
      </c>
      <c r="D203" s="3">
        <v>67.3</v>
      </c>
      <c r="E203" s="2">
        <v>7.1</v>
      </c>
      <c r="F203" s="3">
        <v>1</v>
      </c>
      <c r="G203" s="3">
        <v>0</v>
      </c>
      <c r="H203" s="3">
        <v>67.3</v>
      </c>
      <c r="I203" s="2">
        <v>7.1</v>
      </c>
    </row>
    <row r="204" spans="1:9">
      <c r="A204" s="1">
        <v>38063</v>
      </c>
      <c r="B204" s="1">
        <v>39082</v>
      </c>
      <c r="C204" s="2">
        <f t="shared" si="6"/>
        <v>2.7898699520876113</v>
      </c>
      <c r="D204" s="3">
        <v>67.3</v>
      </c>
      <c r="E204" s="2">
        <v>6.6</v>
      </c>
      <c r="F204" s="3">
        <v>1</v>
      </c>
      <c r="G204" s="3">
        <v>1</v>
      </c>
      <c r="H204" s="3">
        <v>67.3</v>
      </c>
      <c r="I204" s="2">
        <v>6.6</v>
      </c>
    </row>
    <row r="205" spans="1:9">
      <c r="A205" s="1">
        <v>38038</v>
      </c>
      <c r="B205" s="1">
        <v>39082</v>
      </c>
      <c r="C205" s="2">
        <f t="shared" si="6"/>
        <v>2.8583162217659139</v>
      </c>
      <c r="D205" s="3">
        <v>67.3</v>
      </c>
      <c r="E205" s="2">
        <v>7</v>
      </c>
      <c r="F205" s="3">
        <v>1</v>
      </c>
      <c r="G205" s="3">
        <v>1</v>
      </c>
      <c r="H205" s="3">
        <v>67.3</v>
      </c>
      <c r="I205" s="2">
        <v>7</v>
      </c>
    </row>
    <row r="206" spans="1:9">
      <c r="A206" s="1">
        <v>38080</v>
      </c>
      <c r="B206" s="1">
        <v>39082</v>
      </c>
      <c r="C206" s="2">
        <f t="shared" si="6"/>
        <v>2.7433264887063653</v>
      </c>
      <c r="D206" s="3">
        <v>67.400000000000006</v>
      </c>
      <c r="E206" s="2">
        <v>7.3</v>
      </c>
      <c r="F206" s="3">
        <v>1</v>
      </c>
      <c r="G206" s="3">
        <v>1</v>
      </c>
      <c r="H206" s="3">
        <v>67.400000000000006</v>
      </c>
      <c r="I206" s="2">
        <v>7.3</v>
      </c>
    </row>
    <row r="207" spans="1:9">
      <c r="A207" s="1">
        <v>38124</v>
      </c>
      <c r="B207" s="1">
        <v>39082</v>
      </c>
      <c r="C207" s="2">
        <f t="shared" si="6"/>
        <v>2.622861054072553</v>
      </c>
      <c r="D207" s="3">
        <v>67.5</v>
      </c>
      <c r="E207" s="2">
        <v>8</v>
      </c>
      <c r="F207" s="3">
        <v>1</v>
      </c>
      <c r="G207" s="3">
        <v>0</v>
      </c>
      <c r="H207" s="3">
        <v>67.5</v>
      </c>
      <c r="I207" s="2">
        <v>8</v>
      </c>
    </row>
    <row r="208" spans="1:9">
      <c r="A208" s="1">
        <v>38125</v>
      </c>
      <c r="B208" s="1">
        <v>39082</v>
      </c>
      <c r="C208" s="2">
        <f t="shared" si="6"/>
        <v>2.6201232032854209</v>
      </c>
      <c r="D208" s="3">
        <v>67.5</v>
      </c>
      <c r="E208" s="2">
        <v>6.2</v>
      </c>
      <c r="F208" s="3">
        <v>1</v>
      </c>
      <c r="G208" s="3">
        <v>0</v>
      </c>
      <c r="H208" s="3">
        <v>67.5</v>
      </c>
      <c r="I208" s="2">
        <v>6.2</v>
      </c>
    </row>
    <row r="209" spans="1:9">
      <c r="A209" s="1">
        <v>38139</v>
      </c>
      <c r="B209" s="1">
        <v>39082</v>
      </c>
      <c r="C209" s="2">
        <f t="shared" si="6"/>
        <v>2.5817932922655715</v>
      </c>
      <c r="D209" s="3">
        <v>67.599999999999994</v>
      </c>
      <c r="E209" s="2">
        <v>6.9</v>
      </c>
      <c r="F209" s="3">
        <v>1</v>
      </c>
      <c r="G209" s="3">
        <v>0</v>
      </c>
      <c r="H209" s="3">
        <v>67.599999999999994</v>
      </c>
      <c r="I209" s="2">
        <v>6.9</v>
      </c>
    </row>
    <row r="210" spans="1:9">
      <c r="A210" s="1">
        <v>38200</v>
      </c>
      <c r="B210" s="1">
        <v>39082</v>
      </c>
      <c r="C210" s="2">
        <f t="shared" si="6"/>
        <v>2.4147843942505132</v>
      </c>
      <c r="D210" s="3">
        <v>67.599999999999994</v>
      </c>
      <c r="E210" s="2">
        <v>7.1</v>
      </c>
      <c r="F210" s="3">
        <v>1</v>
      </c>
      <c r="G210" s="3">
        <v>1</v>
      </c>
      <c r="H210" s="3">
        <v>67.599999999999994</v>
      </c>
      <c r="I210" s="2">
        <v>7.1</v>
      </c>
    </row>
    <row r="211" spans="1:9">
      <c r="A211" s="1">
        <v>38061</v>
      </c>
      <c r="B211" s="1">
        <v>39082</v>
      </c>
      <c r="C211" s="2">
        <f t="shared" si="6"/>
        <v>2.7953456536618755</v>
      </c>
      <c r="D211" s="3">
        <v>67.8</v>
      </c>
      <c r="E211" s="2">
        <v>8</v>
      </c>
      <c r="F211" s="3">
        <v>1</v>
      </c>
      <c r="G211" s="3">
        <v>1</v>
      </c>
      <c r="H211" s="3">
        <v>67.8</v>
      </c>
      <c r="I211" s="2">
        <v>8</v>
      </c>
    </row>
    <row r="212" spans="1:9">
      <c r="A212" s="1">
        <v>38078</v>
      </c>
      <c r="B212" s="1">
        <v>39082</v>
      </c>
      <c r="C212" s="2">
        <f t="shared" si="6"/>
        <v>2.7488021902806299</v>
      </c>
      <c r="D212" s="3">
        <v>67.900000000000006</v>
      </c>
      <c r="E212" s="2">
        <v>7.6</v>
      </c>
      <c r="F212" s="3">
        <v>1</v>
      </c>
      <c r="G212" s="3">
        <v>1</v>
      </c>
      <c r="H212" s="3">
        <v>67.900000000000006</v>
      </c>
      <c r="I212" s="2">
        <v>7.6</v>
      </c>
    </row>
    <row r="213" spans="1:9">
      <c r="A213" s="1">
        <v>38187</v>
      </c>
      <c r="B213" s="1">
        <v>39082</v>
      </c>
      <c r="C213" s="2">
        <f t="shared" si="6"/>
        <v>2.4503764544832305</v>
      </c>
      <c r="D213" s="3">
        <v>68.099999999999994</v>
      </c>
      <c r="E213" s="2">
        <v>7.6</v>
      </c>
      <c r="F213" s="3">
        <v>1</v>
      </c>
      <c r="G213" s="3">
        <v>0</v>
      </c>
      <c r="H213" s="3">
        <v>68.099999999999994</v>
      </c>
      <c r="I213" s="2">
        <v>7.6</v>
      </c>
    </row>
    <row r="214" spans="1:9">
      <c r="A214" s="1">
        <v>38023</v>
      </c>
      <c r="B214" s="1">
        <v>39082</v>
      </c>
      <c r="C214" s="2">
        <f t="shared" si="6"/>
        <v>2.8993839835728954</v>
      </c>
      <c r="D214" s="3">
        <v>68.099999999999994</v>
      </c>
      <c r="E214" s="2">
        <v>6.7</v>
      </c>
      <c r="F214" s="3">
        <v>1</v>
      </c>
      <c r="G214" s="3">
        <v>1</v>
      </c>
      <c r="H214" s="3">
        <v>68.099999999999994</v>
      </c>
      <c r="I214" s="2">
        <v>6.7</v>
      </c>
    </row>
    <row r="215" spans="1:9">
      <c r="A215" s="1">
        <v>38027</v>
      </c>
      <c r="B215" s="1">
        <v>39082</v>
      </c>
      <c r="C215" s="2">
        <f t="shared" si="6"/>
        <v>2.8884325804243667</v>
      </c>
      <c r="D215" s="3">
        <v>68.2</v>
      </c>
      <c r="E215" s="2">
        <v>6.9</v>
      </c>
      <c r="F215" s="3">
        <v>1</v>
      </c>
      <c r="G215" s="3">
        <v>1</v>
      </c>
      <c r="H215" s="3">
        <v>68.2</v>
      </c>
      <c r="I215" s="2">
        <v>6.9</v>
      </c>
    </row>
    <row r="216" spans="1:9">
      <c r="A216" s="1">
        <v>37962</v>
      </c>
      <c r="B216" s="1">
        <v>39082</v>
      </c>
      <c r="C216" s="2">
        <f t="shared" si="6"/>
        <v>3.0663928815879533</v>
      </c>
      <c r="D216" s="3">
        <v>68.2</v>
      </c>
      <c r="E216" s="2">
        <v>8.5</v>
      </c>
      <c r="F216" s="3">
        <v>1</v>
      </c>
      <c r="G216" s="3">
        <v>1</v>
      </c>
      <c r="H216" s="3">
        <v>68.2</v>
      </c>
      <c r="I216" s="2">
        <v>8.5</v>
      </c>
    </row>
    <row r="217" spans="1:9">
      <c r="A217" s="1">
        <v>38158</v>
      </c>
      <c r="B217" s="1">
        <v>39082</v>
      </c>
      <c r="C217" s="2">
        <f t="shared" si="6"/>
        <v>2.5297741273100618</v>
      </c>
      <c r="D217" s="3">
        <v>68.400000000000006</v>
      </c>
      <c r="E217" s="2">
        <v>6.7</v>
      </c>
      <c r="F217" s="3">
        <v>1</v>
      </c>
      <c r="G217" s="3">
        <v>1</v>
      </c>
      <c r="H217" s="3">
        <v>68.400000000000006</v>
      </c>
      <c r="I217" s="2">
        <v>6.7</v>
      </c>
    </row>
    <row r="218" spans="1:9">
      <c r="A218" s="1">
        <v>38257</v>
      </c>
      <c r="B218" s="1">
        <v>39082</v>
      </c>
      <c r="C218" s="2">
        <f t="shared" si="6"/>
        <v>2.2587268993839835</v>
      </c>
      <c r="D218" s="3">
        <v>68.400000000000006</v>
      </c>
      <c r="E218" s="2">
        <v>9.3000000000000007</v>
      </c>
      <c r="F218" s="3">
        <v>1</v>
      </c>
      <c r="G218" s="3">
        <v>1</v>
      </c>
      <c r="H218" s="3">
        <v>68.400000000000006</v>
      </c>
      <c r="I218" s="2">
        <v>9.3000000000000007</v>
      </c>
    </row>
    <row r="219" spans="1:9">
      <c r="A219" s="1">
        <v>38018</v>
      </c>
      <c r="B219" s="1">
        <v>39082</v>
      </c>
      <c r="C219" s="2">
        <f t="shared" si="6"/>
        <v>2.9130732375085557</v>
      </c>
      <c r="D219" s="3">
        <v>68.400000000000006</v>
      </c>
      <c r="E219" s="2">
        <v>7.4</v>
      </c>
      <c r="F219" s="3">
        <v>1</v>
      </c>
      <c r="G219" s="3">
        <v>1</v>
      </c>
      <c r="H219" s="3">
        <v>68.400000000000006</v>
      </c>
      <c r="I219" s="2">
        <v>7.4</v>
      </c>
    </row>
    <row r="220" spans="1:9">
      <c r="A220" s="1">
        <v>38054</v>
      </c>
      <c r="B220" s="1">
        <v>39082</v>
      </c>
      <c r="C220" s="2">
        <f t="shared" si="6"/>
        <v>2.8145106091718</v>
      </c>
      <c r="D220" s="3">
        <v>68.400000000000006</v>
      </c>
      <c r="E220" s="2">
        <v>7.6</v>
      </c>
      <c r="F220" s="3">
        <v>1</v>
      </c>
      <c r="G220" s="3">
        <v>0</v>
      </c>
      <c r="H220" s="3">
        <v>68.400000000000006</v>
      </c>
      <c r="I220" s="2">
        <v>7.6</v>
      </c>
    </row>
    <row r="221" spans="1:9">
      <c r="A221" s="1">
        <v>38290</v>
      </c>
      <c r="B221" s="1">
        <v>39082</v>
      </c>
      <c r="C221" s="2">
        <f t="shared" si="6"/>
        <v>2.1683778234086244</v>
      </c>
      <c r="D221" s="3">
        <v>68.5</v>
      </c>
      <c r="E221" s="2">
        <v>8.5</v>
      </c>
      <c r="F221" s="3">
        <v>1</v>
      </c>
      <c r="G221" s="3">
        <v>0</v>
      </c>
      <c r="H221" s="3">
        <v>68.5</v>
      </c>
      <c r="I221" s="2">
        <v>8.5</v>
      </c>
    </row>
    <row r="222" spans="1:9">
      <c r="A222" s="1">
        <v>38109</v>
      </c>
      <c r="B222" s="1">
        <v>39082</v>
      </c>
      <c r="C222" s="2">
        <f t="shared" si="6"/>
        <v>2.6639288158795345</v>
      </c>
      <c r="D222" s="3">
        <v>68.5</v>
      </c>
      <c r="E222" s="2">
        <v>7.6</v>
      </c>
      <c r="F222" s="3">
        <v>1</v>
      </c>
      <c r="G222" s="3">
        <v>0</v>
      </c>
      <c r="H222" s="3">
        <v>68.5</v>
      </c>
      <c r="I222" s="2">
        <v>7.6</v>
      </c>
    </row>
    <row r="223" spans="1:9">
      <c r="A223" s="1">
        <v>37996</v>
      </c>
      <c r="B223" s="1">
        <v>39082</v>
      </c>
      <c r="C223" s="2">
        <f t="shared" si="6"/>
        <v>2.9733059548254621</v>
      </c>
      <c r="D223" s="3">
        <v>68.599999999999994</v>
      </c>
      <c r="E223" s="2">
        <v>7.8</v>
      </c>
      <c r="F223" s="3">
        <v>1</v>
      </c>
      <c r="G223" s="3">
        <v>1</v>
      </c>
      <c r="H223" s="3">
        <v>68.599999999999994</v>
      </c>
      <c r="I223" s="2">
        <v>7.8</v>
      </c>
    </row>
    <row r="224" spans="1:9">
      <c r="A224" s="1">
        <v>38106</v>
      </c>
      <c r="B224" s="1">
        <v>39082</v>
      </c>
      <c r="C224" s="2">
        <f t="shared" si="6"/>
        <v>2.6721423682409307</v>
      </c>
      <c r="D224" s="3">
        <v>68.599999999999994</v>
      </c>
      <c r="E224" s="2">
        <v>6.6</v>
      </c>
      <c r="F224" s="3">
        <v>1</v>
      </c>
      <c r="G224" s="3">
        <v>1</v>
      </c>
      <c r="H224" s="3">
        <v>68.599999999999994</v>
      </c>
      <c r="I224" s="2">
        <v>6.6</v>
      </c>
    </row>
    <row r="225" spans="1:9">
      <c r="A225" s="1">
        <v>38093</v>
      </c>
      <c r="B225" s="1">
        <v>39082</v>
      </c>
      <c r="C225" s="2">
        <f t="shared" si="6"/>
        <v>2.707734428473648</v>
      </c>
      <c r="D225" s="3">
        <v>68.7</v>
      </c>
      <c r="E225" s="2">
        <v>8</v>
      </c>
      <c r="F225" s="3">
        <v>1</v>
      </c>
      <c r="G225" s="3">
        <v>0</v>
      </c>
      <c r="H225" s="3">
        <v>68.7</v>
      </c>
      <c r="I225" s="2">
        <v>8</v>
      </c>
    </row>
    <row r="226" spans="1:9">
      <c r="A226" s="1">
        <v>38177</v>
      </c>
      <c r="B226" s="1">
        <v>39082</v>
      </c>
      <c r="C226" s="2">
        <f t="shared" si="6"/>
        <v>2.4777549623545516</v>
      </c>
      <c r="D226" s="3">
        <v>68.7</v>
      </c>
      <c r="E226" s="2">
        <v>6.1</v>
      </c>
      <c r="F226" s="3">
        <v>1</v>
      </c>
      <c r="G226" s="3">
        <v>1</v>
      </c>
      <c r="H226" s="3">
        <v>68.7</v>
      </c>
      <c r="I226" s="2">
        <v>6.1</v>
      </c>
    </row>
    <row r="227" spans="1:9">
      <c r="A227" s="1">
        <v>37990</v>
      </c>
      <c r="B227" s="1">
        <v>39082</v>
      </c>
      <c r="C227" s="2">
        <f t="shared" si="6"/>
        <v>2.9897330595482545</v>
      </c>
      <c r="D227" s="3">
        <v>68.7</v>
      </c>
      <c r="E227" s="2">
        <v>7.3</v>
      </c>
      <c r="F227" s="3">
        <v>1</v>
      </c>
      <c r="G227" s="3">
        <v>1</v>
      </c>
      <c r="H227" s="3">
        <v>68.7</v>
      </c>
      <c r="I227" s="2">
        <v>7.3</v>
      </c>
    </row>
    <row r="228" spans="1:9">
      <c r="A228" s="1">
        <v>38084</v>
      </c>
      <c r="B228" s="1">
        <v>39082</v>
      </c>
      <c r="C228" s="2">
        <f t="shared" si="6"/>
        <v>2.732375085557837</v>
      </c>
      <c r="D228" s="3">
        <v>68.8</v>
      </c>
      <c r="E228" s="2">
        <v>7.6</v>
      </c>
      <c r="F228" s="3">
        <v>1</v>
      </c>
      <c r="G228" s="3">
        <v>1</v>
      </c>
      <c r="H228" s="3">
        <v>68.8</v>
      </c>
      <c r="I228" s="2">
        <v>7.6</v>
      </c>
    </row>
    <row r="229" spans="1:9">
      <c r="A229" s="1">
        <v>38081</v>
      </c>
      <c r="B229" s="1">
        <v>39082</v>
      </c>
      <c r="C229" s="2">
        <f t="shared" si="6"/>
        <v>2.7405886379192332</v>
      </c>
      <c r="D229" s="3">
        <v>68.900000000000006</v>
      </c>
      <c r="E229" s="2">
        <v>7.1</v>
      </c>
      <c r="F229" s="3">
        <v>1</v>
      </c>
      <c r="G229" s="3">
        <v>0</v>
      </c>
      <c r="H229" s="3">
        <v>68.900000000000006</v>
      </c>
      <c r="I229" s="2">
        <v>7.1</v>
      </c>
    </row>
    <row r="230" spans="1:9">
      <c r="A230" s="1">
        <v>38105</v>
      </c>
      <c r="B230" s="1">
        <v>39082</v>
      </c>
      <c r="C230" s="2">
        <f t="shared" si="6"/>
        <v>2.6748802190280632</v>
      </c>
      <c r="D230" s="3">
        <v>69</v>
      </c>
      <c r="E230" s="2">
        <v>8.1</v>
      </c>
      <c r="F230" s="3">
        <v>1</v>
      </c>
      <c r="G230" s="3">
        <v>0</v>
      </c>
      <c r="H230" s="3">
        <v>69</v>
      </c>
      <c r="I230" s="2">
        <v>8.1</v>
      </c>
    </row>
    <row r="231" spans="1:9">
      <c r="A231" s="1">
        <v>38228</v>
      </c>
      <c r="B231" s="1">
        <v>39082</v>
      </c>
      <c r="C231" s="2">
        <f t="shared" si="6"/>
        <v>2.3381245722108144</v>
      </c>
      <c r="D231" s="3">
        <v>69</v>
      </c>
      <c r="E231" s="2">
        <v>7.4</v>
      </c>
      <c r="F231" s="3">
        <v>1</v>
      </c>
      <c r="G231" s="3">
        <v>1</v>
      </c>
      <c r="H231" s="3">
        <v>69</v>
      </c>
      <c r="I231" s="2">
        <v>7.4</v>
      </c>
    </row>
    <row r="232" spans="1:9">
      <c r="A232" s="1">
        <v>38048</v>
      </c>
      <c r="B232" s="1">
        <v>39082</v>
      </c>
      <c r="C232" s="2">
        <f t="shared" si="6"/>
        <v>2.8309377138945928</v>
      </c>
      <c r="D232" s="3">
        <v>69</v>
      </c>
      <c r="E232" s="2">
        <v>8.1999999999999993</v>
      </c>
      <c r="F232" s="3">
        <v>0</v>
      </c>
      <c r="G232" s="3">
        <v>1</v>
      </c>
      <c r="H232" s="3">
        <v>69</v>
      </c>
      <c r="I232" s="2">
        <v>8.1999999999999993</v>
      </c>
    </row>
    <row r="233" spans="1:9">
      <c r="A233" s="1">
        <v>38050</v>
      </c>
      <c r="B233" s="1">
        <v>39082</v>
      </c>
      <c r="C233" s="2">
        <f t="shared" si="6"/>
        <v>2.8254620123203287</v>
      </c>
      <c r="D233" s="3">
        <v>69.099999999999994</v>
      </c>
      <c r="E233" s="2">
        <v>7.8</v>
      </c>
      <c r="F233" s="3">
        <v>1</v>
      </c>
      <c r="G233" s="3">
        <v>1</v>
      </c>
      <c r="H233" s="3">
        <v>69.099999999999994</v>
      </c>
      <c r="I233" s="2">
        <v>7.8</v>
      </c>
    </row>
    <row r="234" spans="1:9">
      <c r="A234" s="1">
        <v>38120</v>
      </c>
      <c r="B234" s="1">
        <v>39082</v>
      </c>
      <c r="C234" s="2">
        <f t="shared" si="6"/>
        <v>2.6338124572210813</v>
      </c>
      <c r="D234" s="3">
        <v>69.099999999999994</v>
      </c>
      <c r="E234" s="2">
        <v>9.4</v>
      </c>
      <c r="F234" s="3">
        <v>1</v>
      </c>
      <c r="G234" s="3">
        <v>0</v>
      </c>
      <c r="H234" s="3">
        <v>69.099999999999994</v>
      </c>
      <c r="I234" s="2">
        <v>9.4</v>
      </c>
    </row>
    <row r="235" spans="1:9">
      <c r="A235" s="1">
        <v>38054</v>
      </c>
      <c r="B235" s="1">
        <v>39082</v>
      </c>
      <c r="C235" s="2">
        <f t="shared" si="6"/>
        <v>2.8145106091718</v>
      </c>
      <c r="D235" s="3">
        <v>69.099999999999994</v>
      </c>
      <c r="E235" s="2">
        <v>6.8</v>
      </c>
      <c r="F235" s="3">
        <v>1</v>
      </c>
      <c r="G235" s="3">
        <v>0</v>
      </c>
      <c r="H235" s="3">
        <v>69.099999999999994</v>
      </c>
      <c r="I235" s="2">
        <v>6.8</v>
      </c>
    </row>
    <row r="236" spans="1:9">
      <c r="A236" s="1">
        <v>37870</v>
      </c>
      <c r="B236" s="1">
        <v>39082</v>
      </c>
      <c r="C236" s="2">
        <f t="shared" si="6"/>
        <v>3.3182751540041067</v>
      </c>
      <c r="D236" s="3">
        <v>69.2</v>
      </c>
      <c r="E236" s="2">
        <v>6.6</v>
      </c>
      <c r="F236" s="3">
        <v>0</v>
      </c>
      <c r="G236" s="3">
        <v>1</v>
      </c>
      <c r="H236" s="3">
        <v>69.2</v>
      </c>
      <c r="I236" s="2">
        <v>6.6</v>
      </c>
    </row>
    <row r="237" spans="1:9">
      <c r="A237" s="1">
        <v>38154</v>
      </c>
      <c r="B237" s="1">
        <v>39082</v>
      </c>
      <c r="C237" s="2">
        <f t="shared" si="6"/>
        <v>2.5407255304585901</v>
      </c>
      <c r="D237" s="3">
        <v>69.2</v>
      </c>
      <c r="E237" s="2">
        <v>7.9</v>
      </c>
      <c r="F237" s="3">
        <v>1</v>
      </c>
      <c r="G237" s="3">
        <v>0</v>
      </c>
      <c r="H237" s="3">
        <v>69.2</v>
      </c>
      <c r="I237" s="2">
        <v>7.9</v>
      </c>
    </row>
    <row r="238" spans="1:9">
      <c r="A238" s="1">
        <v>38091</v>
      </c>
      <c r="B238" s="1">
        <v>39082</v>
      </c>
      <c r="C238" s="2">
        <f t="shared" si="6"/>
        <v>2.7132101300479126</v>
      </c>
      <c r="D238" s="3">
        <v>69.2</v>
      </c>
      <c r="E238" s="2">
        <v>7.4</v>
      </c>
      <c r="F238" s="3">
        <v>1</v>
      </c>
      <c r="G238" s="3">
        <v>1</v>
      </c>
      <c r="H238" s="3">
        <v>69.2</v>
      </c>
      <c r="I238" s="2">
        <v>7.4</v>
      </c>
    </row>
    <row r="239" spans="1:9">
      <c r="A239" s="1">
        <v>38032</v>
      </c>
      <c r="B239" s="1">
        <v>39082</v>
      </c>
      <c r="C239" s="2">
        <f t="shared" si="6"/>
        <v>2.8747433264887063</v>
      </c>
      <c r="D239" s="3">
        <v>69.2</v>
      </c>
      <c r="E239" s="2">
        <v>7</v>
      </c>
      <c r="F239" s="3">
        <v>1</v>
      </c>
      <c r="G239" s="3">
        <v>1</v>
      </c>
      <c r="H239" s="3">
        <v>69.2</v>
      </c>
      <c r="I239" s="2">
        <v>7</v>
      </c>
    </row>
    <row r="240" spans="1:9">
      <c r="A240" s="1">
        <v>38154</v>
      </c>
      <c r="B240" s="1">
        <v>39082</v>
      </c>
      <c r="C240" s="2">
        <f t="shared" si="6"/>
        <v>2.5407255304585901</v>
      </c>
      <c r="D240" s="3">
        <v>69.3</v>
      </c>
      <c r="E240" s="2">
        <v>9.1999999999999993</v>
      </c>
      <c r="F240" s="3">
        <v>1</v>
      </c>
      <c r="G240" s="3">
        <v>0</v>
      </c>
      <c r="H240" s="3">
        <v>69.3</v>
      </c>
      <c r="I240" s="2">
        <v>9.1999999999999993</v>
      </c>
    </row>
    <row r="241" spans="1:9">
      <c r="A241" s="1">
        <v>38047</v>
      </c>
      <c r="B241" s="1">
        <v>39082</v>
      </c>
      <c r="C241" s="2">
        <f t="shared" si="6"/>
        <v>2.8336755646817249</v>
      </c>
      <c r="D241" s="3">
        <v>69.3</v>
      </c>
      <c r="E241" s="2">
        <v>7.1</v>
      </c>
      <c r="F241" s="3">
        <v>1</v>
      </c>
      <c r="G241" s="3">
        <v>1</v>
      </c>
      <c r="H241" s="3">
        <v>69.3</v>
      </c>
      <c r="I241" s="2">
        <v>7.1</v>
      </c>
    </row>
    <row r="242" spans="1:9">
      <c r="A242" s="1">
        <v>38277</v>
      </c>
      <c r="B242" s="1">
        <v>39082</v>
      </c>
      <c r="C242" s="2">
        <f t="shared" si="6"/>
        <v>2.2039698836413417</v>
      </c>
      <c r="D242" s="3">
        <v>69.5</v>
      </c>
      <c r="E242" s="2">
        <v>8.1</v>
      </c>
      <c r="F242" s="3">
        <v>1</v>
      </c>
      <c r="G242" s="3">
        <v>0</v>
      </c>
      <c r="H242" s="3">
        <v>69.5</v>
      </c>
      <c r="I242" s="2">
        <v>8.1</v>
      </c>
    </row>
    <row r="243" spans="1:9">
      <c r="A243" s="1">
        <v>36647</v>
      </c>
      <c r="B243" s="1">
        <v>39082</v>
      </c>
      <c r="C243" s="2">
        <f t="shared" si="6"/>
        <v>6.666666666666667</v>
      </c>
      <c r="D243" s="3">
        <v>69.5</v>
      </c>
      <c r="E243" s="2">
        <v>13.4</v>
      </c>
      <c r="F243" s="3">
        <v>0</v>
      </c>
      <c r="G243" s="3">
        <v>1</v>
      </c>
      <c r="H243" s="3">
        <v>69.5</v>
      </c>
      <c r="I243" s="2">
        <v>13.4</v>
      </c>
    </row>
    <row r="244" spans="1:9">
      <c r="A244" s="1">
        <v>38078</v>
      </c>
      <c r="B244" s="1">
        <v>39082</v>
      </c>
      <c r="C244" s="2">
        <f t="shared" si="6"/>
        <v>2.7488021902806299</v>
      </c>
      <c r="D244" s="3">
        <v>69.5</v>
      </c>
      <c r="E244" s="2">
        <v>6.9</v>
      </c>
      <c r="F244" s="3">
        <v>1</v>
      </c>
      <c r="G244" s="3">
        <v>1</v>
      </c>
      <c r="H244" s="3">
        <v>69.5</v>
      </c>
      <c r="I244" s="2">
        <v>6.9</v>
      </c>
    </row>
    <row r="245" spans="1:9">
      <c r="A245" s="1">
        <v>38019</v>
      </c>
      <c r="B245" s="1">
        <v>39082</v>
      </c>
      <c r="C245" s="2">
        <f t="shared" si="6"/>
        <v>2.9103353867214237</v>
      </c>
      <c r="D245" s="3">
        <v>69.5</v>
      </c>
      <c r="E245" s="2">
        <v>6.9</v>
      </c>
      <c r="F245" s="3">
        <v>0</v>
      </c>
      <c r="G245" s="3">
        <v>0</v>
      </c>
      <c r="H245" s="3">
        <v>69.5</v>
      </c>
      <c r="I245" s="2">
        <v>6.9</v>
      </c>
    </row>
    <row r="246" spans="1:9">
      <c r="A246" s="1">
        <v>38032</v>
      </c>
      <c r="B246" s="1">
        <v>39082</v>
      </c>
      <c r="C246" s="2">
        <f t="shared" si="6"/>
        <v>2.8747433264887063</v>
      </c>
      <c r="D246" s="3">
        <v>69.5</v>
      </c>
      <c r="E246" s="2">
        <v>7.2</v>
      </c>
      <c r="F246" s="3">
        <v>0</v>
      </c>
      <c r="G246" s="3">
        <v>0</v>
      </c>
      <c r="H246" s="3">
        <v>69.5</v>
      </c>
      <c r="I246" s="2">
        <v>7.2</v>
      </c>
    </row>
    <row r="247" spans="1:9">
      <c r="A247" s="1">
        <v>38079</v>
      </c>
      <c r="B247" s="1">
        <v>39082</v>
      </c>
      <c r="C247" s="2">
        <f t="shared" si="6"/>
        <v>2.7460643394934978</v>
      </c>
      <c r="D247" s="3">
        <v>69.599999999999994</v>
      </c>
      <c r="E247" s="2">
        <v>7</v>
      </c>
      <c r="F247" s="3">
        <v>1</v>
      </c>
      <c r="G247" s="3">
        <v>1</v>
      </c>
      <c r="H247" s="3">
        <v>69.599999999999994</v>
      </c>
      <c r="I247" s="2">
        <v>7</v>
      </c>
    </row>
    <row r="248" spans="1:9">
      <c r="A248" s="1">
        <v>38346</v>
      </c>
      <c r="B248" s="1">
        <v>39082</v>
      </c>
      <c r="C248" s="2">
        <f t="shared" si="6"/>
        <v>2.0150581793292264</v>
      </c>
      <c r="D248" s="3">
        <v>69.599999999999994</v>
      </c>
      <c r="E248" s="2">
        <v>7.6</v>
      </c>
      <c r="F248" s="3">
        <v>1</v>
      </c>
      <c r="G248" s="3">
        <v>1</v>
      </c>
      <c r="H248" s="3">
        <v>69.599999999999994</v>
      </c>
      <c r="I248" s="2">
        <v>7.6</v>
      </c>
    </row>
    <row r="249" spans="1:9">
      <c r="A249" s="1">
        <v>38069</v>
      </c>
      <c r="B249" s="1">
        <v>39082</v>
      </c>
      <c r="C249" s="2">
        <f t="shared" si="6"/>
        <v>2.7734428473648185</v>
      </c>
      <c r="D249" s="3">
        <v>69.7</v>
      </c>
      <c r="E249" s="2">
        <v>9.5</v>
      </c>
      <c r="F249" s="3">
        <v>1</v>
      </c>
      <c r="G249" s="3">
        <v>0</v>
      </c>
      <c r="H249" s="3">
        <v>69.7</v>
      </c>
      <c r="I249" s="2">
        <v>9.5</v>
      </c>
    </row>
    <row r="250" spans="1:9">
      <c r="A250" s="1">
        <v>38182</v>
      </c>
      <c r="B250" s="1">
        <v>39082</v>
      </c>
      <c r="C250" s="2">
        <f t="shared" si="6"/>
        <v>2.4640657084188913</v>
      </c>
      <c r="D250" s="3">
        <v>69.7</v>
      </c>
      <c r="E250" s="2">
        <v>8.4</v>
      </c>
      <c r="F250" s="3">
        <v>1</v>
      </c>
      <c r="G250" s="3">
        <v>0</v>
      </c>
      <c r="H250" s="3">
        <v>69.7</v>
      </c>
      <c r="I250" s="2">
        <v>8.4</v>
      </c>
    </row>
    <row r="251" spans="1:9">
      <c r="A251" s="1">
        <v>37995</v>
      </c>
      <c r="B251" s="1">
        <v>39082</v>
      </c>
      <c r="C251" s="2">
        <f t="shared" si="6"/>
        <v>2.9760438056125942</v>
      </c>
      <c r="D251" s="3">
        <v>69.7</v>
      </c>
      <c r="E251" s="2">
        <v>8.1</v>
      </c>
      <c r="F251" s="3">
        <v>1</v>
      </c>
      <c r="G251" s="3">
        <v>1</v>
      </c>
      <c r="H251" s="3">
        <v>69.7</v>
      </c>
      <c r="I251" s="2">
        <v>8.1</v>
      </c>
    </row>
    <row r="252" spans="1:9">
      <c r="A252" s="1">
        <v>38052</v>
      </c>
      <c r="B252" s="1">
        <v>39082</v>
      </c>
      <c r="C252" s="2">
        <f t="shared" si="6"/>
        <v>2.8199863107460645</v>
      </c>
      <c r="D252" s="3">
        <v>69.8</v>
      </c>
      <c r="E252" s="2">
        <v>9.3000000000000007</v>
      </c>
      <c r="F252" s="3">
        <v>1</v>
      </c>
      <c r="G252" s="3">
        <v>0</v>
      </c>
      <c r="H252" s="3">
        <v>69.8</v>
      </c>
      <c r="I252" s="2">
        <v>9.3000000000000007</v>
      </c>
    </row>
    <row r="253" spans="1:9">
      <c r="A253" s="1">
        <v>38073</v>
      </c>
      <c r="B253" s="1">
        <v>39082</v>
      </c>
      <c r="C253" s="2">
        <f t="shared" si="6"/>
        <v>2.7624914442162902</v>
      </c>
      <c r="D253" s="3">
        <v>69.8</v>
      </c>
      <c r="E253" s="2">
        <v>7.8</v>
      </c>
      <c r="F253" s="3">
        <v>1</v>
      </c>
      <c r="G253" s="3">
        <v>0</v>
      </c>
      <c r="H253" s="3">
        <v>69.8</v>
      </c>
      <c r="I253" s="2">
        <v>7.8</v>
      </c>
    </row>
    <row r="254" spans="1:9">
      <c r="A254" s="1">
        <v>38047</v>
      </c>
      <c r="B254" s="1">
        <v>39082</v>
      </c>
      <c r="C254" s="2">
        <f t="shared" si="6"/>
        <v>2.8336755646817249</v>
      </c>
      <c r="D254" s="3">
        <v>70</v>
      </c>
      <c r="E254" s="2">
        <v>8.1</v>
      </c>
      <c r="F254" s="3">
        <v>1</v>
      </c>
      <c r="G254" s="3">
        <v>1</v>
      </c>
      <c r="H254" s="3">
        <v>70</v>
      </c>
      <c r="I254" s="2">
        <v>8.1</v>
      </c>
    </row>
    <row r="255" spans="1:9">
      <c r="A255" s="1">
        <v>38308</v>
      </c>
      <c r="B255" s="1">
        <v>39082</v>
      </c>
      <c r="C255" s="2">
        <f t="shared" si="6"/>
        <v>2.1190965092402463</v>
      </c>
      <c r="D255" s="3">
        <v>70</v>
      </c>
      <c r="E255" s="2">
        <v>8.1999999999999993</v>
      </c>
      <c r="F255" s="3">
        <v>1</v>
      </c>
      <c r="G255" s="3">
        <v>0</v>
      </c>
      <c r="H255" s="3">
        <v>70</v>
      </c>
      <c r="I255" s="2">
        <v>8.1999999999999993</v>
      </c>
    </row>
    <row r="256" spans="1:9">
      <c r="A256" s="1">
        <v>38069</v>
      </c>
      <c r="B256" s="1">
        <v>39082</v>
      </c>
      <c r="C256" s="2">
        <f t="shared" si="6"/>
        <v>2.7734428473648185</v>
      </c>
      <c r="D256" s="3">
        <v>70.099999999999994</v>
      </c>
      <c r="E256" s="2">
        <v>8.6999999999999993</v>
      </c>
      <c r="F256" s="3">
        <v>1</v>
      </c>
      <c r="G256" s="3">
        <v>1</v>
      </c>
      <c r="H256" s="3">
        <v>70.099999999999994</v>
      </c>
      <c r="I256" s="2">
        <v>8.6999999999999993</v>
      </c>
    </row>
    <row r="257" spans="1:9">
      <c r="A257" s="1">
        <v>38228</v>
      </c>
      <c r="B257" s="1">
        <v>39082</v>
      </c>
      <c r="C257" s="2">
        <f t="shared" si="6"/>
        <v>2.3381245722108144</v>
      </c>
      <c r="D257" s="3">
        <v>70.099999999999994</v>
      </c>
      <c r="E257" s="2">
        <v>7.4</v>
      </c>
      <c r="F257" s="3">
        <v>1</v>
      </c>
      <c r="G257" s="3">
        <v>0</v>
      </c>
      <c r="H257" s="3">
        <v>70.099999999999994</v>
      </c>
      <c r="I257" s="2">
        <v>7.4</v>
      </c>
    </row>
    <row r="258" spans="1:9">
      <c r="A258" s="1">
        <v>38013</v>
      </c>
      <c r="B258" s="1">
        <v>39082</v>
      </c>
      <c r="C258" s="2">
        <f t="shared" ref="C258:C321" si="7">(B258-A258)/365.25</f>
        <v>2.9267624914442161</v>
      </c>
      <c r="D258" s="3">
        <v>70.2</v>
      </c>
      <c r="E258" s="2">
        <v>7.4</v>
      </c>
      <c r="F258" s="3">
        <v>1</v>
      </c>
      <c r="G258" s="3">
        <v>0</v>
      </c>
      <c r="H258" s="3">
        <v>70.2</v>
      </c>
      <c r="I258" s="2">
        <v>7.4</v>
      </c>
    </row>
    <row r="259" spans="1:9">
      <c r="A259" s="1">
        <v>37990</v>
      </c>
      <c r="B259" s="1">
        <v>39082</v>
      </c>
      <c r="C259" s="2">
        <f t="shared" si="7"/>
        <v>2.9897330595482545</v>
      </c>
      <c r="D259" s="3">
        <v>70.2</v>
      </c>
      <c r="E259" s="2">
        <v>7.8</v>
      </c>
      <c r="F259" s="3">
        <v>1</v>
      </c>
      <c r="G259" s="3">
        <v>1</v>
      </c>
      <c r="H259" s="3">
        <v>70.2</v>
      </c>
      <c r="I259" s="2">
        <v>7.8</v>
      </c>
    </row>
    <row r="260" spans="1:9">
      <c r="A260" s="1">
        <v>37879</v>
      </c>
      <c r="B260" s="1">
        <v>39082</v>
      </c>
      <c r="C260" s="2">
        <f t="shared" si="7"/>
        <v>3.2936344969199181</v>
      </c>
      <c r="D260" s="3">
        <v>70.3</v>
      </c>
      <c r="E260" s="2">
        <v>8.3000000000000007</v>
      </c>
      <c r="F260" s="3">
        <v>1</v>
      </c>
      <c r="G260" s="3">
        <v>1</v>
      </c>
      <c r="H260" s="3">
        <v>70.3</v>
      </c>
      <c r="I260" s="2">
        <v>8.3000000000000007</v>
      </c>
    </row>
    <row r="261" spans="1:9">
      <c r="A261" s="1">
        <v>38326</v>
      </c>
      <c r="B261" s="1">
        <v>39082</v>
      </c>
      <c r="C261" s="2">
        <f t="shared" si="7"/>
        <v>2.0698151950718686</v>
      </c>
      <c r="D261" s="3">
        <v>70.3</v>
      </c>
      <c r="E261" s="2">
        <v>8.6</v>
      </c>
      <c r="F261" s="3">
        <v>0</v>
      </c>
      <c r="G261" s="3">
        <v>1</v>
      </c>
      <c r="H261" s="3">
        <v>70.3</v>
      </c>
      <c r="I261" s="2">
        <v>8.6</v>
      </c>
    </row>
    <row r="262" spans="1:9">
      <c r="A262" s="1">
        <v>37749</v>
      </c>
      <c r="B262" s="1">
        <v>39082</v>
      </c>
      <c r="C262" s="2">
        <f t="shared" si="7"/>
        <v>3.6495550992470909</v>
      </c>
      <c r="D262" s="3">
        <v>70.3</v>
      </c>
      <c r="E262" s="2">
        <v>7.2</v>
      </c>
      <c r="F262" s="3">
        <v>1</v>
      </c>
      <c r="G262" s="3">
        <v>1</v>
      </c>
      <c r="H262" s="3">
        <v>70.3</v>
      </c>
      <c r="I262" s="2">
        <v>7.2</v>
      </c>
    </row>
    <row r="263" spans="1:9">
      <c r="A263" s="1">
        <v>38169</v>
      </c>
      <c r="B263" s="1">
        <v>39082</v>
      </c>
      <c r="C263" s="2">
        <f t="shared" si="7"/>
        <v>2.4996577686516086</v>
      </c>
      <c r="D263" s="3">
        <v>70.3</v>
      </c>
      <c r="E263" s="2">
        <v>9.1</v>
      </c>
      <c r="F263" s="3">
        <v>1</v>
      </c>
      <c r="G263" s="3">
        <v>0</v>
      </c>
      <c r="H263" s="3">
        <v>70.3</v>
      </c>
      <c r="I263" s="2">
        <v>9.1</v>
      </c>
    </row>
    <row r="264" spans="1:9">
      <c r="A264" s="1">
        <v>38165</v>
      </c>
      <c r="B264" s="1">
        <v>39082</v>
      </c>
      <c r="C264" s="2">
        <f t="shared" si="7"/>
        <v>2.5106091718001369</v>
      </c>
      <c r="D264" s="3">
        <v>70.3</v>
      </c>
      <c r="E264" s="2">
        <v>7.2</v>
      </c>
      <c r="F264" s="3">
        <v>1</v>
      </c>
      <c r="G264" s="3">
        <v>1</v>
      </c>
      <c r="H264" s="3">
        <v>70.3</v>
      </c>
      <c r="I264" s="2">
        <v>7.2</v>
      </c>
    </row>
    <row r="265" spans="1:9">
      <c r="A265" s="1">
        <v>38043</v>
      </c>
      <c r="B265" s="1">
        <v>39082</v>
      </c>
      <c r="C265" s="2">
        <f t="shared" si="7"/>
        <v>2.8446269678302532</v>
      </c>
      <c r="D265" s="3">
        <v>70.400000000000006</v>
      </c>
      <c r="E265" s="2">
        <v>8.6999999999999993</v>
      </c>
      <c r="F265" s="3">
        <v>1</v>
      </c>
      <c r="G265" s="3">
        <v>1</v>
      </c>
      <c r="H265" s="3">
        <v>70.400000000000006</v>
      </c>
      <c r="I265" s="2">
        <v>8.6999999999999993</v>
      </c>
    </row>
    <row r="266" spans="1:9">
      <c r="A266" s="1">
        <v>37980</v>
      </c>
      <c r="B266" s="1">
        <v>39082</v>
      </c>
      <c r="C266" s="2">
        <f t="shared" si="7"/>
        <v>3.0171115674195756</v>
      </c>
      <c r="D266" s="3">
        <v>70.400000000000006</v>
      </c>
      <c r="E266" s="2">
        <v>8</v>
      </c>
      <c r="F266" s="3">
        <v>1</v>
      </c>
      <c r="G266" s="3">
        <v>0</v>
      </c>
      <c r="H266" s="3">
        <v>70.400000000000006</v>
      </c>
      <c r="I266" s="2">
        <v>8</v>
      </c>
    </row>
    <row r="267" spans="1:9">
      <c r="A267" s="1">
        <v>38065</v>
      </c>
      <c r="B267" s="1">
        <v>39082</v>
      </c>
      <c r="C267" s="2">
        <f t="shared" si="7"/>
        <v>2.7843942505133472</v>
      </c>
      <c r="D267" s="3">
        <v>70.400000000000006</v>
      </c>
      <c r="E267" s="2">
        <v>7.9</v>
      </c>
      <c r="F267" s="3">
        <v>1</v>
      </c>
      <c r="G267" s="3">
        <v>1</v>
      </c>
      <c r="H267" s="3">
        <v>70.400000000000006</v>
      </c>
      <c r="I267" s="2">
        <v>7.9</v>
      </c>
    </row>
    <row r="268" spans="1:9">
      <c r="A268" s="1">
        <v>38019</v>
      </c>
      <c r="B268" s="1">
        <v>39082</v>
      </c>
      <c r="C268" s="2">
        <f t="shared" si="7"/>
        <v>2.9103353867214237</v>
      </c>
      <c r="D268" s="3">
        <v>70.5</v>
      </c>
      <c r="E268" s="2">
        <v>7.1</v>
      </c>
      <c r="F268" s="3">
        <v>1</v>
      </c>
      <c r="G268" s="3">
        <v>1</v>
      </c>
      <c r="H268" s="3">
        <v>70.5</v>
      </c>
      <c r="I268" s="2">
        <v>7.1</v>
      </c>
    </row>
    <row r="269" spans="1:9">
      <c r="A269" s="1">
        <v>38030</v>
      </c>
      <c r="B269" s="1">
        <v>39082</v>
      </c>
      <c r="C269" s="2">
        <f t="shared" si="7"/>
        <v>2.8802190280629705</v>
      </c>
      <c r="D269" s="3">
        <v>70.5</v>
      </c>
      <c r="E269" s="2">
        <v>8.1999999999999993</v>
      </c>
      <c r="F269" s="3">
        <v>1</v>
      </c>
      <c r="G269" s="3">
        <v>1</v>
      </c>
      <c r="H269" s="3">
        <v>70.5</v>
      </c>
      <c r="I269" s="2">
        <v>8.1999999999999993</v>
      </c>
    </row>
    <row r="270" spans="1:9">
      <c r="A270" s="1">
        <v>38078</v>
      </c>
      <c r="B270" s="1">
        <v>39082</v>
      </c>
      <c r="C270" s="2">
        <f t="shared" si="7"/>
        <v>2.7488021902806299</v>
      </c>
      <c r="D270" s="3">
        <v>70.5</v>
      </c>
      <c r="E270" s="2">
        <v>8.1999999999999993</v>
      </c>
      <c r="F270" s="3">
        <v>1</v>
      </c>
      <c r="G270" s="3">
        <v>1</v>
      </c>
      <c r="H270" s="3">
        <v>70.5</v>
      </c>
      <c r="I270" s="2">
        <v>8.1999999999999993</v>
      </c>
    </row>
    <row r="271" spans="1:9">
      <c r="A271" s="1">
        <v>38098</v>
      </c>
      <c r="B271" s="1">
        <v>39082</v>
      </c>
      <c r="C271" s="2">
        <f t="shared" si="7"/>
        <v>2.6940451745379876</v>
      </c>
      <c r="D271" s="3">
        <v>70.5</v>
      </c>
      <c r="E271" s="2">
        <v>8.1999999999999993</v>
      </c>
      <c r="F271" s="3">
        <v>1</v>
      </c>
      <c r="G271" s="3">
        <v>1</v>
      </c>
      <c r="H271" s="3">
        <v>70.5</v>
      </c>
      <c r="I271" s="2">
        <v>8.1999999999999993</v>
      </c>
    </row>
    <row r="272" spans="1:9">
      <c r="A272" s="1">
        <v>37996</v>
      </c>
      <c r="B272" s="1">
        <v>39082</v>
      </c>
      <c r="C272" s="2">
        <f t="shared" si="7"/>
        <v>2.9733059548254621</v>
      </c>
      <c r="D272" s="3">
        <v>70.599999999999994</v>
      </c>
      <c r="E272" s="2">
        <v>6.7</v>
      </c>
      <c r="F272" s="3">
        <v>1</v>
      </c>
      <c r="G272" s="5" t="e">
        <v>#NULL!</v>
      </c>
      <c r="H272" s="3">
        <v>70.599999999999994</v>
      </c>
      <c r="I272" s="2">
        <v>6.7</v>
      </c>
    </row>
    <row r="273" spans="1:9">
      <c r="A273" s="1">
        <v>38099</v>
      </c>
      <c r="B273" s="1">
        <v>39082</v>
      </c>
      <c r="C273" s="2">
        <f t="shared" si="7"/>
        <v>2.6913073237508556</v>
      </c>
      <c r="D273" s="3">
        <v>70.599999999999994</v>
      </c>
      <c r="E273" s="2">
        <v>8.9</v>
      </c>
      <c r="F273" s="3">
        <v>1</v>
      </c>
      <c r="G273" s="3">
        <v>1</v>
      </c>
      <c r="H273" s="3">
        <v>70.599999999999994</v>
      </c>
      <c r="I273" s="2">
        <v>8.9</v>
      </c>
    </row>
    <row r="274" spans="1:9">
      <c r="A274" s="1">
        <v>37987</v>
      </c>
      <c r="B274" s="1">
        <v>39082</v>
      </c>
      <c r="C274" s="2">
        <f t="shared" si="7"/>
        <v>2.9979466119096507</v>
      </c>
      <c r="D274" s="3">
        <v>70.7</v>
      </c>
      <c r="E274" s="2">
        <v>8.5</v>
      </c>
      <c r="F274" s="3">
        <v>1</v>
      </c>
      <c r="G274" s="3">
        <v>0</v>
      </c>
      <c r="H274" s="3">
        <v>70.7</v>
      </c>
      <c r="I274" s="2">
        <v>8.5</v>
      </c>
    </row>
    <row r="275" spans="1:9">
      <c r="A275" s="1">
        <v>37880</v>
      </c>
      <c r="B275" s="1">
        <v>39082</v>
      </c>
      <c r="C275" s="2">
        <f t="shared" si="7"/>
        <v>3.2908966461327855</v>
      </c>
      <c r="D275" s="3">
        <v>70.8</v>
      </c>
      <c r="E275" s="2">
        <v>7.8</v>
      </c>
      <c r="F275" s="3">
        <v>1</v>
      </c>
      <c r="G275" s="3">
        <v>1</v>
      </c>
      <c r="H275" s="3">
        <v>70.8</v>
      </c>
      <c r="I275" s="2">
        <v>7.8</v>
      </c>
    </row>
    <row r="276" spans="1:9">
      <c r="A276" s="1">
        <v>37952</v>
      </c>
      <c r="B276" s="1">
        <v>39082</v>
      </c>
      <c r="C276" s="2">
        <f t="shared" si="7"/>
        <v>3.0937713894592744</v>
      </c>
      <c r="D276" s="3">
        <v>70.8</v>
      </c>
      <c r="E276" s="2">
        <v>8</v>
      </c>
      <c r="F276" s="3">
        <v>0</v>
      </c>
      <c r="G276" s="3">
        <v>0</v>
      </c>
      <c r="H276" s="3">
        <v>70.8</v>
      </c>
      <c r="I276" s="2">
        <v>8</v>
      </c>
    </row>
    <row r="277" spans="1:9">
      <c r="A277" s="1">
        <v>38002</v>
      </c>
      <c r="B277" s="1">
        <v>39082</v>
      </c>
      <c r="C277" s="2">
        <f t="shared" si="7"/>
        <v>2.9568788501026693</v>
      </c>
      <c r="D277" s="3">
        <v>70.900000000000006</v>
      </c>
      <c r="E277" s="2">
        <v>7.4</v>
      </c>
      <c r="F277" s="3">
        <v>1</v>
      </c>
      <c r="G277" s="3">
        <v>0</v>
      </c>
      <c r="H277" s="3">
        <v>70.900000000000006</v>
      </c>
      <c r="I277" s="2">
        <v>7.4</v>
      </c>
    </row>
    <row r="278" spans="1:9">
      <c r="A278" s="1">
        <v>38018</v>
      </c>
      <c r="B278" s="1">
        <v>39082</v>
      </c>
      <c r="C278" s="2">
        <f t="shared" si="7"/>
        <v>2.9130732375085557</v>
      </c>
      <c r="D278" s="3">
        <v>71</v>
      </c>
      <c r="E278" s="2">
        <v>8.4</v>
      </c>
      <c r="F278" s="3">
        <v>1</v>
      </c>
      <c r="G278" s="3">
        <v>1</v>
      </c>
      <c r="H278" s="3">
        <v>71</v>
      </c>
      <c r="I278" s="2">
        <v>8.4</v>
      </c>
    </row>
    <row r="279" spans="1:9">
      <c r="A279" s="1">
        <v>38183</v>
      </c>
      <c r="B279" s="1">
        <v>39082</v>
      </c>
      <c r="C279" s="2">
        <f t="shared" si="7"/>
        <v>2.4613278576317592</v>
      </c>
      <c r="D279" s="3">
        <v>71</v>
      </c>
      <c r="E279" s="2">
        <v>7.9</v>
      </c>
      <c r="F279" s="3">
        <v>1</v>
      </c>
      <c r="G279" s="3">
        <v>1</v>
      </c>
      <c r="H279" s="3">
        <v>71</v>
      </c>
      <c r="I279" s="2">
        <v>7.9</v>
      </c>
    </row>
    <row r="280" spans="1:9">
      <c r="A280" s="1">
        <v>37945</v>
      </c>
      <c r="B280" s="1">
        <v>39082</v>
      </c>
      <c r="C280" s="2">
        <f t="shared" si="7"/>
        <v>3.1129363449691994</v>
      </c>
      <c r="D280" s="3">
        <v>71.099999999999994</v>
      </c>
      <c r="E280" s="2">
        <v>8</v>
      </c>
      <c r="F280" s="3">
        <v>1</v>
      </c>
      <c r="G280" s="3">
        <v>1</v>
      </c>
      <c r="H280" s="3">
        <v>71.099999999999994</v>
      </c>
      <c r="I280" s="2">
        <v>8</v>
      </c>
    </row>
    <row r="281" spans="1:9">
      <c r="A281" s="1">
        <v>38092</v>
      </c>
      <c r="B281" s="1">
        <v>39082</v>
      </c>
      <c r="C281" s="2">
        <f t="shared" si="7"/>
        <v>2.7104722792607805</v>
      </c>
      <c r="D281" s="3">
        <v>71.099999999999994</v>
      </c>
      <c r="E281" s="2">
        <v>7.6</v>
      </c>
      <c r="F281" s="3">
        <v>1</v>
      </c>
      <c r="G281" s="3">
        <v>1</v>
      </c>
      <c r="H281" s="3">
        <v>71.099999999999994</v>
      </c>
      <c r="I281" s="2">
        <v>7.6</v>
      </c>
    </row>
    <row r="282" spans="1:9">
      <c r="A282" s="1">
        <v>37934</v>
      </c>
      <c r="B282" s="1">
        <v>39082</v>
      </c>
      <c r="C282" s="2">
        <f t="shared" si="7"/>
        <v>3.1430527036276521</v>
      </c>
      <c r="D282" s="3">
        <v>71.2</v>
      </c>
      <c r="E282" s="2">
        <v>7.1</v>
      </c>
      <c r="F282" s="3">
        <v>0</v>
      </c>
      <c r="G282" s="3">
        <v>1</v>
      </c>
      <c r="H282" s="3">
        <v>71.2</v>
      </c>
      <c r="I282" s="2">
        <v>7.1</v>
      </c>
    </row>
    <row r="283" spans="1:9">
      <c r="A283" s="1">
        <v>38058</v>
      </c>
      <c r="B283" s="1">
        <v>39082</v>
      </c>
      <c r="C283" s="2">
        <f t="shared" si="7"/>
        <v>2.8035592060232717</v>
      </c>
      <c r="D283" s="3">
        <v>71.2</v>
      </c>
      <c r="E283" s="2">
        <v>7.8</v>
      </c>
      <c r="F283" s="3">
        <v>1</v>
      </c>
      <c r="G283" s="3">
        <v>1</v>
      </c>
      <c r="H283" s="3">
        <v>71.2</v>
      </c>
      <c r="I283" s="2">
        <v>7.8</v>
      </c>
    </row>
    <row r="284" spans="1:9">
      <c r="A284" s="1">
        <v>38096</v>
      </c>
      <c r="B284" s="1">
        <v>39082</v>
      </c>
      <c r="C284" s="2">
        <f t="shared" si="7"/>
        <v>2.6995208761122518</v>
      </c>
      <c r="D284" s="3">
        <v>71.2</v>
      </c>
      <c r="E284" s="2">
        <v>8.6999999999999993</v>
      </c>
      <c r="F284" s="3">
        <v>1</v>
      </c>
      <c r="G284" s="3">
        <v>1</v>
      </c>
      <c r="H284" s="3">
        <v>71.2</v>
      </c>
      <c r="I284" s="2">
        <v>8.6999999999999993</v>
      </c>
    </row>
    <row r="285" spans="1:9">
      <c r="A285" s="1">
        <v>38218</v>
      </c>
      <c r="B285" s="1">
        <v>39082</v>
      </c>
      <c r="C285" s="2">
        <f t="shared" si="7"/>
        <v>2.3655030800821355</v>
      </c>
      <c r="D285" s="3">
        <v>71.2</v>
      </c>
      <c r="E285" s="2">
        <v>7.6</v>
      </c>
      <c r="F285" s="3">
        <v>1</v>
      </c>
      <c r="G285" s="3">
        <v>1</v>
      </c>
      <c r="H285" s="3">
        <v>71.2</v>
      </c>
      <c r="I285" s="2">
        <v>7.6</v>
      </c>
    </row>
    <row r="286" spans="1:9">
      <c r="A286" s="1">
        <v>38072</v>
      </c>
      <c r="B286" s="1">
        <v>39082</v>
      </c>
      <c r="C286" s="2">
        <f t="shared" si="7"/>
        <v>2.7652292950034223</v>
      </c>
      <c r="D286" s="3">
        <v>71.2</v>
      </c>
      <c r="E286" s="2">
        <v>8.1</v>
      </c>
      <c r="F286" s="3">
        <v>1</v>
      </c>
      <c r="G286" s="3">
        <v>0</v>
      </c>
      <c r="H286" s="3">
        <v>71.2</v>
      </c>
      <c r="I286" s="2">
        <v>8.1</v>
      </c>
    </row>
    <row r="287" spans="1:9">
      <c r="A287" s="1">
        <v>38047</v>
      </c>
      <c r="B287" s="1">
        <v>39082</v>
      </c>
      <c r="C287" s="2">
        <f t="shared" si="7"/>
        <v>2.8336755646817249</v>
      </c>
      <c r="D287" s="3">
        <v>71.2</v>
      </c>
      <c r="E287" s="2">
        <v>8.3000000000000007</v>
      </c>
      <c r="F287" s="3">
        <v>0</v>
      </c>
      <c r="G287" s="3">
        <v>1</v>
      </c>
      <c r="H287" s="3">
        <v>71.2</v>
      </c>
      <c r="I287" s="2">
        <v>8.3000000000000007</v>
      </c>
    </row>
    <row r="288" spans="1:9">
      <c r="A288" s="1">
        <v>38172</v>
      </c>
      <c r="B288" s="1">
        <v>39082</v>
      </c>
      <c r="C288" s="2">
        <f t="shared" si="7"/>
        <v>2.4914442162902124</v>
      </c>
      <c r="D288" s="3">
        <v>71.2</v>
      </c>
      <c r="E288" s="2">
        <v>9.9</v>
      </c>
      <c r="F288" s="3">
        <v>1</v>
      </c>
      <c r="G288" s="3">
        <v>1</v>
      </c>
      <c r="H288" s="3">
        <v>71.2</v>
      </c>
      <c r="I288" s="2">
        <v>9.9</v>
      </c>
    </row>
    <row r="289" spans="1:9">
      <c r="A289" s="1">
        <v>38170</v>
      </c>
      <c r="B289" s="1">
        <v>39082</v>
      </c>
      <c r="C289" s="2">
        <f t="shared" si="7"/>
        <v>2.4969199178644765</v>
      </c>
      <c r="D289" s="3">
        <v>71.3</v>
      </c>
      <c r="E289" s="2">
        <v>7.5</v>
      </c>
      <c r="F289" s="3">
        <v>1</v>
      </c>
      <c r="G289" s="3">
        <v>1</v>
      </c>
      <c r="H289" s="3">
        <v>71.3</v>
      </c>
      <c r="I289" s="2">
        <v>7.5</v>
      </c>
    </row>
    <row r="290" spans="1:9">
      <c r="A290" s="1">
        <v>38140</v>
      </c>
      <c r="B290" s="1">
        <v>39082</v>
      </c>
      <c r="C290" s="2">
        <f t="shared" si="7"/>
        <v>2.5790554414784395</v>
      </c>
      <c r="D290" s="3">
        <v>71.3</v>
      </c>
      <c r="E290" s="2">
        <v>8.6</v>
      </c>
      <c r="F290" s="3">
        <v>1</v>
      </c>
      <c r="G290" s="3">
        <v>0</v>
      </c>
      <c r="H290" s="3">
        <v>71.3</v>
      </c>
      <c r="I290" s="2">
        <v>8.6</v>
      </c>
    </row>
    <row r="291" spans="1:9">
      <c r="A291" s="1">
        <v>38320</v>
      </c>
      <c r="B291" s="1">
        <v>39082</v>
      </c>
      <c r="C291" s="2">
        <f t="shared" si="7"/>
        <v>2.086242299794661</v>
      </c>
      <c r="D291" s="3">
        <v>71.3</v>
      </c>
      <c r="E291" s="2">
        <v>8.3000000000000007</v>
      </c>
      <c r="F291" s="3">
        <v>1</v>
      </c>
      <c r="G291" s="3">
        <v>1</v>
      </c>
      <c r="H291" s="3">
        <v>71.3</v>
      </c>
      <c r="I291" s="2">
        <v>8.3000000000000007</v>
      </c>
    </row>
    <row r="292" spans="1:9">
      <c r="A292" s="1">
        <v>38106</v>
      </c>
      <c r="B292" s="1">
        <v>39082</v>
      </c>
      <c r="C292" s="2">
        <f t="shared" si="7"/>
        <v>2.6721423682409307</v>
      </c>
      <c r="D292" s="3">
        <v>71.400000000000006</v>
      </c>
      <c r="E292" s="2">
        <v>8.1</v>
      </c>
      <c r="F292" s="3">
        <v>1</v>
      </c>
      <c r="G292" s="3">
        <v>0</v>
      </c>
      <c r="H292" s="3">
        <v>71.400000000000006</v>
      </c>
      <c r="I292" s="2">
        <v>8.1</v>
      </c>
    </row>
    <row r="293" spans="1:9">
      <c r="A293" s="1">
        <v>38163</v>
      </c>
      <c r="B293" s="1">
        <v>39082</v>
      </c>
      <c r="C293" s="2">
        <f t="shared" si="7"/>
        <v>2.516084873374401</v>
      </c>
      <c r="D293" s="3">
        <v>71.5</v>
      </c>
      <c r="E293" s="2">
        <v>8.9</v>
      </c>
      <c r="F293" s="3">
        <v>1</v>
      </c>
      <c r="G293" s="3">
        <v>0</v>
      </c>
      <c r="H293" s="3">
        <v>71.5</v>
      </c>
      <c r="I293" s="2">
        <v>8.9</v>
      </c>
    </row>
    <row r="294" spans="1:9">
      <c r="A294" s="1">
        <v>38134</v>
      </c>
      <c r="B294" s="1">
        <v>39082</v>
      </c>
      <c r="C294" s="2">
        <f t="shared" si="7"/>
        <v>2.5954825462012319</v>
      </c>
      <c r="D294" s="3">
        <v>71.5</v>
      </c>
      <c r="E294" s="2">
        <v>8</v>
      </c>
      <c r="F294" s="3">
        <v>1</v>
      </c>
      <c r="G294" s="3">
        <v>1</v>
      </c>
      <c r="H294" s="3">
        <v>71.5</v>
      </c>
      <c r="I294" s="2">
        <v>8</v>
      </c>
    </row>
    <row r="295" spans="1:9">
      <c r="A295" s="1">
        <v>38341</v>
      </c>
      <c r="B295" s="1">
        <v>39082</v>
      </c>
      <c r="C295" s="2">
        <f t="shared" si="7"/>
        <v>2.0287474332648872</v>
      </c>
      <c r="D295" s="3">
        <v>71.5</v>
      </c>
      <c r="E295" s="2">
        <v>9.3000000000000007</v>
      </c>
      <c r="F295" s="3">
        <v>1</v>
      </c>
      <c r="G295" s="3">
        <v>0</v>
      </c>
      <c r="H295" s="3">
        <v>71.5</v>
      </c>
      <c r="I295" s="2">
        <v>9.3000000000000007</v>
      </c>
    </row>
    <row r="296" spans="1:9">
      <c r="A296" s="1">
        <v>37893</v>
      </c>
      <c r="B296" s="1">
        <v>39082</v>
      </c>
      <c r="C296" s="2">
        <f t="shared" si="7"/>
        <v>3.2553045859000687</v>
      </c>
      <c r="D296" s="3">
        <v>71.5</v>
      </c>
      <c r="E296" s="2">
        <v>10</v>
      </c>
      <c r="F296" s="3">
        <v>0</v>
      </c>
      <c r="G296" s="3">
        <v>1</v>
      </c>
      <c r="H296" s="3">
        <v>71.5</v>
      </c>
      <c r="I296" s="2">
        <v>10</v>
      </c>
    </row>
    <row r="297" spans="1:9">
      <c r="A297" s="1">
        <v>37900</v>
      </c>
      <c r="B297" s="1">
        <v>39082</v>
      </c>
      <c r="C297" s="2">
        <f t="shared" si="7"/>
        <v>3.2361396303901437</v>
      </c>
      <c r="D297" s="3">
        <v>71.5</v>
      </c>
      <c r="E297" s="2">
        <v>7.5</v>
      </c>
      <c r="F297" s="3">
        <v>0</v>
      </c>
      <c r="G297" s="3">
        <v>0</v>
      </c>
      <c r="H297" s="3">
        <v>71.5</v>
      </c>
      <c r="I297" s="2">
        <v>7.5</v>
      </c>
    </row>
    <row r="298" spans="1:9">
      <c r="A298" s="1">
        <v>37998</v>
      </c>
      <c r="B298" s="1">
        <v>39082</v>
      </c>
      <c r="C298" s="2">
        <f t="shared" si="7"/>
        <v>2.967830253251198</v>
      </c>
      <c r="D298" s="3">
        <v>71.599999999999994</v>
      </c>
      <c r="E298" s="2">
        <v>7.9</v>
      </c>
      <c r="F298" s="3">
        <v>1</v>
      </c>
      <c r="G298" s="3">
        <v>1</v>
      </c>
      <c r="H298" s="3">
        <v>71.599999999999994</v>
      </c>
      <c r="I298" s="2">
        <v>7.9</v>
      </c>
    </row>
    <row r="299" spans="1:9">
      <c r="A299" s="1">
        <v>38004</v>
      </c>
      <c r="B299" s="1">
        <v>39082</v>
      </c>
      <c r="C299" s="2">
        <f t="shared" si="7"/>
        <v>2.9514031485284051</v>
      </c>
      <c r="D299" s="3">
        <v>71.599999999999994</v>
      </c>
      <c r="E299" s="2">
        <v>7.8</v>
      </c>
      <c r="F299" s="3">
        <v>1</v>
      </c>
      <c r="G299" s="3">
        <v>0</v>
      </c>
      <c r="H299" s="3">
        <v>71.599999999999994</v>
      </c>
      <c r="I299" s="2">
        <v>7.8</v>
      </c>
    </row>
    <row r="300" spans="1:9">
      <c r="A300" s="1">
        <v>38109</v>
      </c>
      <c r="B300" s="1">
        <v>39082</v>
      </c>
      <c r="C300" s="2">
        <f t="shared" si="7"/>
        <v>2.6639288158795345</v>
      </c>
      <c r="D300" s="3">
        <v>71.599999999999994</v>
      </c>
      <c r="E300" s="2">
        <v>8.8000000000000007</v>
      </c>
      <c r="F300" s="3">
        <v>1</v>
      </c>
      <c r="G300" s="3">
        <v>0</v>
      </c>
      <c r="H300" s="3">
        <v>71.599999999999994</v>
      </c>
      <c r="I300" s="2">
        <v>8.8000000000000007</v>
      </c>
    </row>
    <row r="301" spans="1:9">
      <c r="A301" s="1">
        <v>38136</v>
      </c>
      <c r="B301" s="1">
        <v>39082</v>
      </c>
      <c r="C301" s="2">
        <f t="shared" si="7"/>
        <v>2.5900068446269677</v>
      </c>
      <c r="D301" s="3">
        <v>71.599999999999994</v>
      </c>
      <c r="E301" s="2">
        <v>10.6</v>
      </c>
      <c r="F301" s="3">
        <v>1</v>
      </c>
      <c r="G301" s="3">
        <v>1</v>
      </c>
      <c r="H301" s="3">
        <v>71.599999999999994</v>
      </c>
      <c r="I301" s="2">
        <v>10.6</v>
      </c>
    </row>
    <row r="302" spans="1:9">
      <c r="A302" s="1">
        <v>38015</v>
      </c>
      <c r="B302" s="1">
        <v>39082</v>
      </c>
      <c r="C302" s="2">
        <f t="shared" si="7"/>
        <v>2.9212867898699519</v>
      </c>
      <c r="D302" s="3">
        <v>71.599999999999994</v>
      </c>
      <c r="E302" s="2">
        <v>8.6</v>
      </c>
      <c r="F302" s="3">
        <v>1</v>
      </c>
      <c r="G302" s="3">
        <v>0</v>
      </c>
      <c r="H302" s="3">
        <v>71.599999999999994</v>
      </c>
      <c r="I302" s="2">
        <v>8.6</v>
      </c>
    </row>
    <row r="303" spans="1:9">
      <c r="A303" s="1">
        <v>37650</v>
      </c>
      <c r="B303" s="1">
        <v>39082</v>
      </c>
      <c r="C303" s="2">
        <f t="shared" si="7"/>
        <v>3.9206023271731691</v>
      </c>
      <c r="D303" s="3">
        <v>71.599999999999994</v>
      </c>
      <c r="E303" s="2">
        <v>7.6</v>
      </c>
      <c r="F303" s="3">
        <v>0</v>
      </c>
      <c r="G303" s="3">
        <v>1</v>
      </c>
      <c r="H303" s="3">
        <v>71.599999999999994</v>
      </c>
      <c r="I303" s="2">
        <v>7.6</v>
      </c>
    </row>
    <row r="304" spans="1:9">
      <c r="A304" s="1">
        <v>38233</v>
      </c>
      <c r="B304" s="1">
        <v>39082</v>
      </c>
      <c r="C304" s="2">
        <f t="shared" si="7"/>
        <v>2.324435318275154</v>
      </c>
      <c r="D304" s="3">
        <v>71.599999999999994</v>
      </c>
      <c r="E304" s="2">
        <v>8</v>
      </c>
      <c r="F304" s="3">
        <v>1</v>
      </c>
      <c r="G304" s="3">
        <v>0</v>
      </c>
      <c r="H304" s="3">
        <v>71.599999999999994</v>
      </c>
      <c r="I304" s="2">
        <v>8</v>
      </c>
    </row>
    <row r="305" spans="1:9">
      <c r="A305" s="1">
        <v>38111</v>
      </c>
      <c r="B305" s="1">
        <v>39082</v>
      </c>
      <c r="C305" s="2">
        <f t="shared" si="7"/>
        <v>2.6584531143052703</v>
      </c>
      <c r="D305" s="3">
        <v>71.599999999999994</v>
      </c>
      <c r="E305" s="2">
        <v>9.6</v>
      </c>
      <c r="F305" s="3">
        <v>1</v>
      </c>
      <c r="G305" s="3">
        <v>1</v>
      </c>
      <c r="H305" s="3">
        <v>71.599999999999994</v>
      </c>
      <c r="I305" s="2">
        <v>9.6</v>
      </c>
    </row>
    <row r="306" spans="1:9">
      <c r="A306" s="1">
        <v>38113</v>
      </c>
      <c r="B306" s="1">
        <v>39082</v>
      </c>
      <c r="C306" s="2">
        <f t="shared" si="7"/>
        <v>2.6529774127310062</v>
      </c>
      <c r="D306" s="3">
        <v>71.7</v>
      </c>
      <c r="E306" s="2">
        <v>7.7</v>
      </c>
      <c r="F306" s="3">
        <v>1</v>
      </c>
      <c r="G306" s="3">
        <v>1</v>
      </c>
      <c r="H306" s="3">
        <v>71.7</v>
      </c>
      <c r="I306" s="2">
        <v>7.7</v>
      </c>
    </row>
    <row r="307" spans="1:9">
      <c r="A307" s="1">
        <v>38065</v>
      </c>
      <c r="B307" s="1">
        <v>39082</v>
      </c>
      <c r="C307" s="2">
        <f t="shared" si="7"/>
        <v>2.7843942505133472</v>
      </c>
      <c r="D307" s="3">
        <v>72</v>
      </c>
      <c r="E307" s="2">
        <v>8.6</v>
      </c>
      <c r="F307" s="3">
        <v>0</v>
      </c>
      <c r="G307" s="3">
        <v>1</v>
      </c>
      <c r="H307" s="3">
        <v>72</v>
      </c>
      <c r="I307" s="2">
        <v>8.6</v>
      </c>
    </row>
    <row r="308" spans="1:9">
      <c r="A308" s="1">
        <v>38024</v>
      </c>
      <c r="B308" s="1">
        <v>39082</v>
      </c>
      <c r="C308" s="2">
        <f t="shared" si="7"/>
        <v>2.8966461327857633</v>
      </c>
      <c r="D308" s="3">
        <v>72</v>
      </c>
      <c r="E308" s="2">
        <v>7.9</v>
      </c>
      <c r="F308" s="3">
        <v>1</v>
      </c>
      <c r="G308" s="3">
        <v>1</v>
      </c>
      <c r="H308" s="3">
        <v>72</v>
      </c>
      <c r="I308" s="2">
        <v>7.9</v>
      </c>
    </row>
    <row r="309" spans="1:9">
      <c r="A309" s="1">
        <v>37912</v>
      </c>
      <c r="B309" s="1">
        <v>39082</v>
      </c>
      <c r="C309" s="2">
        <f t="shared" si="7"/>
        <v>3.2032854209445585</v>
      </c>
      <c r="D309" s="3">
        <v>72.099999999999994</v>
      </c>
      <c r="E309" s="2">
        <v>8.1</v>
      </c>
      <c r="F309" s="3">
        <v>1</v>
      </c>
      <c r="G309" s="3">
        <v>1</v>
      </c>
      <c r="H309" s="3">
        <v>72.099999999999994</v>
      </c>
      <c r="I309" s="2">
        <v>8.1</v>
      </c>
    </row>
    <row r="310" spans="1:9">
      <c r="A310" s="1">
        <v>38079</v>
      </c>
      <c r="B310" s="1">
        <v>39082</v>
      </c>
      <c r="C310" s="2">
        <f t="shared" si="7"/>
        <v>2.7460643394934978</v>
      </c>
      <c r="D310" s="3">
        <v>72.099999999999994</v>
      </c>
      <c r="E310" s="2">
        <v>8.6</v>
      </c>
      <c r="F310" s="3">
        <v>1</v>
      </c>
      <c r="G310" s="3">
        <v>0</v>
      </c>
      <c r="H310" s="3">
        <v>72.099999999999994</v>
      </c>
      <c r="I310" s="2">
        <v>8.6</v>
      </c>
    </row>
    <row r="311" spans="1:9">
      <c r="A311" s="1">
        <v>37912</v>
      </c>
      <c r="B311" s="1">
        <v>39082</v>
      </c>
      <c r="C311" s="2">
        <f t="shared" si="7"/>
        <v>3.2032854209445585</v>
      </c>
      <c r="D311" s="3">
        <v>72.2</v>
      </c>
      <c r="E311" s="2">
        <v>8.3000000000000007</v>
      </c>
      <c r="F311" s="3">
        <v>1</v>
      </c>
      <c r="G311" s="3">
        <v>0</v>
      </c>
      <c r="H311" s="3">
        <v>72.2</v>
      </c>
      <c r="I311" s="2">
        <v>8.3000000000000007</v>
      </c>
    </row>
    <row r="312" spans="1:9">
      <c r="A312" s="1">
        <v>38276</v>
      </c>
      <c r="B312" s="1">
        <v>39082</v>
      </c>
      <c r="C312" s="2">
        <f t="shared" si="7"/>
        <v>2.2067077344284738</v>
      </c>
      <c r="D312" s="3">
        <v>72.2</v>
      </c>
      <c r="E312" s="2">
        <v>8.1</v>
      </c>
      <c r="F312" s="3">
        <v>1</v>
      </c>
      <c r="G312" s="3">
        <v>1</v>
      </c>
      <c r="H312" s="3">
        <v>72.2</v>
      </c>
      <c r="I312" s="2">
        <v>8.1</v>
      </c>
    </row>
    <row r="313" spans="1:9">
      <c r="A313" s="1">
        <v>36827</v>
      </c>
      <c r="B313" s="1">
        <v>39082</v>
      </c>
      <c r="C313" s="2">
        <f t="shared" si="7"/>
        <v>6.1738535249828885</v>
      </c>
      <c r="D313" s="3">
        <v>72.2</v>
      </c>
      <c r="E313" s="2">
        <v>8.1999999999999993</v>
      </c>
      <c r="F313" s="3">
        <v>1</v>
      </c>
      <c r="G313" s="3">
        <v>1</v>
      </c>
      <c r="H313" s="3">
        <v>72.2</v>
      </c>
      <c r="I313" s="2">
        <v>8.1999999999999993</v>
      </c>
    </row>
    <row r="314" spans="1:9">
      <c r="A314" s="1">
        <v>38017</v>
      </c>
      <c r="B314" s="1">
        <v>39082</v>
      </c>
      <c r="C314" s="2">
        <f t="shared" si="7"/>
        <v>2.9158110882956878</v>
      </c>
      <c r="D314" s="3">
        <v>72.2</v>
      </c>
      <c r="E314" s="2">
        <v>9</v>
      </c>
      <c r="F314" s="3">
        <v>1</v>
      </c>
      <c r="G314" s="3">
        <v>0</v>
      </c>
      <c r="H314" s="3">
        <v>72.2</v>
      </c>
      <c r="I314" s="2">
        <v>9</v>
      </c>
    </row>
    <row r="315" spans="1:9">
      <c r="A315" s="1">
        <v>37994</v>
      </c>
      <c r="B315" s="1">
        <v>39082</v>
      </c>
      <c r="C315" s="2">
        <f t="shared" si="7"/>
        <v>2.9787816563997263</v>
      </c>
      <c r="D315" s="3">
        <v>72.2</v>
      </c>
      <c r="E315" s="2">
        <v>7.1</v>
      </c>
      <c r="F315" s="3">
        <v>1</v>
      </c>
      <c r="G315" s="3">
        <v>1</v>
      </c>
      <c r="H315" s="3">
        <v>72.2</v>
      </c>
      <c r="I315" s="2">
        <v>7.1</v>
      </c>
    </row>
    <row r="316" spans="1:9">
      <c r="A316" s="1">
        <v>38033</v>
      </c>
      <c r="B316" s="1">
        <v>39082</v>
      </c>
      <c r="C316" s="2">
        <f t="shared" si="7"/>
        <v>2.8720054757015743</v>
      </c>
      <c r="D316" s="3">
        <v>72.3</v>
      </c>
      <c r="E316" s="2">
        <v>7.7</v>
      </c>
      <c r="F316" s="3">
        <v>1</v>
      </c>
      <c r="G316" s="3">
        <v>1</v>
      </c>
      <c r="H316" s="3">
        <v>72.3</v>
      </c>
      <c r="I316" s="2">
        <v>7.7</v>
      </c>
    </row>
    <row r="317" spans="1:9">
      <c r="A317" s="1">
        <v>38078</v>
      </c>
      <c r="B317" s="1">
        <v>39082</v>
      </c>
      <c r="C317" s="2">
        <f t="shared" si="7"/>
        <v>2.7488021902806299</v>
      </c>
      <c r="D317" s="3">
        <v>72.3</v>
      </c>
      <c r="E317" s="2">
        <v>8.8000000000000007</v>
      </c>
      <c r="F317" s="3">
        <v>1</v>
      </c>
      <c r="G317" s="3">
        <v>1</v>
      </c>
      <c r="H317" s="3">
        <v>72.3</v>
      </c>
      <c r="I317" s="2">
        <v>8.8000000000000007</v>
      </c>
    </row>
    <row r="318" spans="1:9">
      <c r="A318" s="1">
        <v>38034</v>
      </c>
      <c r="B318" s="1">
        <v>39082</v>
      </c>
      <c r="C318" s="2">
        <f t="shared" si="7"/>
        <v>2.8692676249144422</v>
      </c>
      <c r="D318" s="3">
        <v>72.3</v>
      </c>
      <c r="E318" s="2">
        <v>9.5</v>
      </c>
      <c r="F318" s="3">
        <v>1</v>
      </c>
      <c r="G318" s="3">
        <v>0</v>
      </c>
      <c r="H318" s="3">
        <v>72.3</v>
      </c>
      <c r="I318" s="2">
        <v>9.5</v>
      </c>
    </row>
    <row r="319" spans="1:9">
      <c r="A319" s="1">
        <v>38260</v>
      </c>
      <c r="B319" s="1">
        <v>39082</v>
      </c>
      <c r="C319" s="2">
        <f t="shared" si="7"/>
        <v>2.2505133470225873</v>
      </c>
      <c r="D319" s="3">
        <v>72.3</v>
      </c>
      <c r="E319" s="2">
        <v>9.1999999999999993</v>
      </c>
      <c r="F319" s="3">
        <v>1</v>
      </c>
      <c r="G319" s="3">
        <v>0</v>
      </c>
      <c r="H319" s="3">
        <v>72.3</v>
      </c>
      <c r="I319" s="2">
        <v>9.1999999999999993</v>
      </c>
    </row>
    <row r="320" spans="1:9">
      <c r="A320" s="1">
        <v>38126</v>
      </c>
      <c r="B320" s="1">
        <v>39082</v>
      </c>
      <c r="C320" s="2">
        <f t="shared" si="7"/>
        <v>2.6173853524982889</v>
      </c>
      <c r="D320" s="3">
        <v>72.3</v>
      </c>
      <c r="E320" s="2">
        <v>8.3000000000000007</v>
      </c>
      <c r="F320" s="3">
        <v>1</v>
      </c>
      <c r="G320" s="3">
        <v>0</v>
      </c>
      <c r="H320" s="3">
        <v>72.3</v>
      </c>
      <c r="I320" s="2">
        <v>8.3000000000000007</v>
      </c>
    </row>
    <row r="321" spans="1:9">
      <c r="A321" s="1">
        <v>38295</v>
      </c>
      <c r="B321" s="1">
        <v>39082</v>
      </c>
      <c r="C321" s="2">
        <f t="shared" si="7"/>
        <v>2.1546885694729636</v>
      </c>
      <c r="D321" s="3">
        <v>72.400000000000006</v>
      </c>
      <c r="E321" s="2">
        <v>8.4</v>
      </c>
      <c r="F321" s="3">
        <v>1</v>
      </c>
      <c r="G321" s="3">
        <v>1</v>
      </c>
      <c r="H321" s="3">
        <v>72.400000000000006</v>
      </c>
      <c r="I321" s="2">
        <v>8.4</v>
      </c>
    </row>
    <row r="322" spans="1:9">
      <c r="A322" s="1">
        <v>38067</v>
      </c>
      <c r="B322" s="1">
        <v>39082</v>
      </c>
      <c r="C322" s="2">
        <f t="shared" ref="C322:C385" si="8">(B322-A322)/365.25</f>
        <v>2.7789185489390826</v>
      </c>
      <c r="D322" s="3">
        <v>72.5</v>
      </c>
      <c r="E322" s="2">
        <v>8.6</v>
      </c>
      <c r="F322" s="3">
        <v>1</v>
      </c>
      <c r="G322" s="3">
        <v>1</v>
      </c>
      <c r="H322" s="3">
        <v>72.5</v>
      </c>
      <c r="I322" s="2">
        <v>8.6</v>
      </c>
    </row>
    <row r="323" spans="1:9">
      <c r="A323" s="1">
        <v>37988</v>
      </c>
      <c r="B323" s="1">
        <v>39082</v>
      </c>
      <c r="C323" s="2">
        <f t="shared" si="8"/>
        <v>2.9952087611225187</v>
      </c>
      <c r="D323" s="3">
        <v>72.5</v>
      </c>
      <c r="E323" s="2">
        <v>8.4</v>
      </c>
      <c r="F323" s="3">
        <v>1</v>
      </c>
      <c r="G323" s="3">
        <v>1</v>
      </c>
      <c r="H323" s="3">
        <v>72.5</v>
      </c>
      <c r="I323" s="2">
        <v>8.4</v>
      </c>
    </row>
    <row r="324" spans="1:9">
      <c r="A324" s="1">
        <v>37888</v>
      </c>
      <c r="B324" s="1">
        <v>39082</v>
      </c>
      <c r="C324" s="2">
        <f t="shared" si="8"/>
        <v>3.268993839835729</v>
      </c>
      <c r="D324" s="3">
        <v>72.5</v>
      </c>
      <c r="E324" s="2">
        <v>7.9</v>
      </c>
      <c r="F324" s="3">
        <v>1</v>
      </c>
      <c r="G324" s="3">
        <v>0</v>
      </c>
      <c r="H324" s="3">
        <v>72.5</v>
      </c>
      <c r="I324" s="2">
        <v>7.9</v>
      </c>
    </row>
    <row r="325" spans="1:9">
      <c r="A325" s="1">
        <v>38222</v>
      </c>
      <c r="B325" s="1">
        <v>39082</v>
      </c>
      <c r="C325" s="2">
        <f t="shared" si="8"/>
        <v>2.3545516769336072</v>
      </c>
      <c r="D325" s="3">
        <v>72.5</v>
      </c>
      <c r="E325" s="2">
        <v>9.4</v>
      </c>
      <c r="F325" s="3">
        <v>1</v>
      </c>
      <c r="G325" s="3">
        <v>0</v>
      </c>
      <c r="H325" s="3">
        <v>72.5</v>
      </c>
      <c r="I325" s="2">
        <v>9.4</v>
      </c>
    </row>
    <row r="326" spans="1:9">
      <c r="A326" s="1">
        <v>38294</v>
      </c>
      <c r="B326" s="1">
        <v>39082</v>
      </c>
      <c r="C326" s="2">
        <f t="shared" si="8"/>
        <v>2.1574264202600957</v>
      </c>
      <c r="D326" s="3">
        <v>72.599999999999994</v>
      </c>
      <c r="E326" s="2">
        <v>8.1999999999999993</v>
      </c>
      <c r="F326" s="3">
        <v>1</v>
      </c>
      <c r="G326" s="3">
        <v>1</v>
      </c>
      <c r="H326" s="3">
        <v>72.599999999999994</v>
      </c>
      <c r="I326" s="2">
        <v>8.1999999999999993</v>
      </c>
    </row>
    <row r="327" spans="1:9">
      <c r="A327" s="1">
        <v>38030</v>
      </c>
      <c r="B327" s="1">
        <v>39082</v>
      </c>
      <c r="C327" s="2">
        <f t="shared" si="8"/>
        <v>2.8802190280629705</v>
      </c>
      <c r="D327" s="3">
        <v>72.599999999999994</v>
      </c>
      <c r="E327" s="2">
        <v>8</v>
      </c>
      <c r="F327" s="3">
        <v>0</v>
      </c>
      <c r="G327" s="3">
        <v>1</v>
      </c>
      <c r="H327" s="3">
        <v>72.599999999999994</v>
      </c>
      <c r="I327" s="2">
        <v>8</v>
      </c>
    </row>
    <row r="328" spans="1:9">
      <c r="A328" s="1">
        <v>38271</v>
      </c>
      <c r="B328" s="1">
        <v>39082</v>
      </c>
      <c r="C328" s="2">
        <f t="shared" si="8"/>
        <v>2.2203969883641341</v>
      </c>
      <c r="D328" s="3">
        <v>72.599999999999994</v>
      </c>
      <c r="E328" s="2">
        <v>9.1999999999999993</v>
      </c>
      <c r="F328" s="3">
        <v>1</v>
      </c>
      <c r="G328" s="3">
        <v>1</v>
      </c>
      <c r="H328" s="3">
        <v>72.599999999999994</v>
      </c>
      <c r="I328" s="2">
        <v>9.1999999999999993</v>
      </c>
    </row>
    <row r="329" spans="1:9">
      <c r="A329" s="1">
        <v>37582</v>
      </c>
      <c r="B329" s="1">
        <v>39082</v>
      </c>
      <c r="C329" s="2">
        <f t="shared" si="8"/>
        <v>4.1067761806981515</v>
      </c>
      <c r="D329" s="3">
        <v>72.7</v>
      </c>
      <c r="E329" s="2">
        <v>7.5</v>
      </c>
      <c r="F329" s="3">
        <v>1</v>
      </c>
      <c r="G329" s="3">
        <v>0</v>
      </c>
      <c r="H329" s="3">
        <v>72.7</v>
      </c>
      <c r="I329" s="2">
        <v>7.5</v>
      </c>
    </row>
    <row r="330" spans="1:9">
      <c r="A330" s="1">
        <v>37828</v>
      </c>
      <c r="B330" s="1">
        <v>39082</v>
      </c>
      <c r="C330" s="2">
        <f t="shared" si="8"/>
        <v>3.4332648870636548</v>
      </c>
      <c r="D330" s="3">
        <v>72.7</v>
      </c>
      <c r="E330" s="2">
        <v>8.4</v>
      </c>
      <c r="F330" s="3">
        <v>1</v>
      </c>
      <c r="G330" s="3">
        <v>0</v>
      </c>
      <c r="H330" s="3">
        <v>72.7</v>
      </c>
      <c r="I330" s="2">
        <v>8.4</v>
      </c>
    </row>
    <row r="331" spans="1:9">
      <c r="A331" s="1">
        <v>37972</v>
      </c>
      <c r="B331" s="1">
        <v>39082</v>
      </c>
      <c r="C331" s="2">
        <f t="shared" si="8"/>
        <v>3.0390143737166326</v>
      </c>
      <c r="D331" s="3">
        <v>72.8</v>
      </c>
      <c r="E331" s="2">
        <v>8.6</v>
      </c>
      <c r="F331" s="3">
        <v>0</v>
      </c>
      <c r="G331" s="3">
        <v>1</v>
      </c>
      <c r="H331" s="3">
        <v>72.8</v>
      </c>
      <c r="I331" s="2">
        <v>8.6</v>
      </c>
    </row>
    <row r="332" spans="1:9">
      <c r="A332" s="1">
        <v>38056</v>
      </c>
      <c r="B332" s="1">
        <v>39082</v>
      </c>
      <c r="C332" s="2">
        <f t="shared" si="8"/>
        <v>2.8090349075975358</v>
      </c>
      <c r="D332" s="3">
        <v>72.900000000000006</v>
      </c>
      <c r="E332" s="2">
        <v>8.1999999999999993</v>
      </c>
      <c r="F332" s="3">
        <v>1</v>
      </c>
      <c r="G332" s="3">
        <v>1</v>
      </c>
      <c r="H332" s="3">
        <v>72.900000000000006</v>
      </c>
      <c r="I332" s="2">
        <v>8.1999999999999993</v>
      </c>
    </row>
    <row r="333" spans="1:9">
      <c r="A333" s="1">
        <v>38020</v>
      </c>
      <c r="B333" s="1">
        <v>39082</v>
      </c>
      <c r="C333" s="2">
        <f t="shared" si="8"/>
        <v>2.9075975359342916</v>
      </c>
      <c r="D333" s="3">
        <v>73</v>
      </c>
      <c r="E333" s="2">
        <v>8.6</v>
      </c>
      <c r="F333" s="3">
        <v>1</v>
      </c>
      <c r="G333" s="3">
        <v>0</v>
      </c>
      <c r="H333" s="3">
        <v>73</v>
      </c>
      <c r="I333" s="2">
        <v>8.6</v>
      </c>
    </row>
    <row r="334" spans="1:9">
      <c r="A334" s="1">
        <v>37790</v>
      </c>
      <c r="B334" s="1">
        <v>39082</v>
      </c>
      <c r="C334" s="2">
        <f t="shared" si="8"/>
        <v>3.5373032169746748</v>
      </c>
      <c r="D334" s="3">
        <v>73.099999999999994</v>
      </c>
      <c r="E334" s="2">
        <v>7.7</v>
      </c>
      <c r="F334" s="3">
        <v>0</v>
      </c>
      <c r="G334" s="3">
        <v>1</v>
      </c>
      <c r="H334" s="3">
        <v>73.099999999999994</v>
      </c>
      <c r="I334" s="2">
        <v>7.7</v>
      </c>
    </row>
    <row r="335" spans="1:9">
      <c r="A335" s="1">
        <v>38020</v>
      </c>
      <c r="B335" s="1">
        <v>39082</v>
      </c>
      <c r="C335" s="2">
        <f t="shared" si="8"/>
        <v>2.9075975359342916</v>
      </c>
      <c r="D335" s="3">
        <v>73.099999999999994</v>
      </c>
      <c r="E335" s="2">
        <v>9</v>
      </c>
      <c r="F335" s="3">
        <v>1</v>
      </c>
      <c r="G335" s="3">
        <v>1</v>
      </c>
      <c r="H335" s="3">
        <v>73.099999999999994</v>
      </c>
      <c r="I335" s="2">
        <v>9</v>
      </c>
    </row>
    <row r="336" spans="1:9">
      <c r="A336" s="1">
        <v>38052</v>
      </c>
      <c r="B336" s="1">
        <v>39082</v>
      </c>
      <c r="C336" s="2">
        <f t="shared" si="8"/>
        <v>2.8199863107460645</v>
      </c>
      <c r="D336" s="3">
        <v>73.099999999999994</v>
      </c>
      <c r="E336" s="2">
        <v>6.7</v>
      </c>
      <c r="F336" s="3">
        <v>1</v>
      </c>
      <c r="G336" s="3">
        <v>1</v>
      </c>
      <c r="H336" s="3">
        <v>73.099999999999994</v>
      </c>
      <c r="I336" s="2">
        <v>6.7</v>
      </c>
    </row>
    <row r="337" spans="1:9">
      <c r="A337" s="1">
        <v>38015</v>
      </c>
      <c r="B337" s="1">
        <v>39082</v>
      </c>
      <c r="C337" s="2">
        <f t="shared" si="8"/>
        <v>2.9212867898699519</v>
      </c>
      <c r="D337" s="3">
        <v>73.099999999999994</v>
      </c>
      <c r="E337" s="2">
        <v>8.1999999999999993</v>
      </c>
      <c r="F337" s="3">
        <v>1</v>
      </c>
      <c r="G337" s="3">
        <v>0</v>
      </c>
      <c r="H337" s="3">
        <v>73.099999999999994</v>
      </c>
      <c r="I337" s="2">
        <v>8.1999999999999993</v>
      </c>
    </row>
    <row r="338" spans="1:9">
      <c r="A338" s="1">
        <v>37683</v>
      </c>
      <c r="B338" s="1">
        <v>39082</v>
      </c>
      <c r="C338" s="2">
        <f t="shared" si="8"/>
        <v>3.8302532511978096</v>
      </c>
      <c r="D338" s="3">
        <v>73.099999999999994</v>
      </c>
      <c r="E338" s="2">
        <v>7.6</v>
      </c>
      <c r="F338" s="3">
        <v>0</v>
      </c>
      <c r="G338" s="3">
        <v>0</v>
      </c>
      <c r="H338" s="3">
        <v>73.099999999999994</v>
      </c>
      <c r="I338" s="2">
        <v>7.6</v>
      </c>
    </row>
    <row r="339" spans="1:9">
      <c r="A339" s="1">
        <v>38076</v>
      </c>
      <c r="B339" s="1">
        <v>39082</v>
      </c>
      <c r="C339" s="2">
        <f t="shared" si="8"/>
        <v>2.754277891854894</v>
      </c>
      <c r="D339" s="3">
        <v>73.2</v>
      </c>
      <c r="E339" s="2">
        <v>8.1999999999999993</v>
      </c>
      <c r="F339" s="3">
        <v>1</v>
      </c>
      <c r="G339" s="3">
        <v>0</v>
      </c>
      <c r="H339" s="3">
        <v>73.2</v>
      </c>
      <c r="I339" s="2">
        <v>8.1999999999999993</v>
      </c>
    </row>
    <row r="340" spans="1:9">
      <c r="A340" s="1">
        <v>38058</v>
      </c>
      <c r="B340" s="1">
        <v>39082</v>
      </c>
      <c r="C340" s="2">
        <f t="shared" si="8"/>
        <v>2.8035592060232717</v>
      </c>
      <c r="D340" s="3">
        <v>73.2</v>
      </c>
      <c r="E340" s="2">
        <v>7.3</v>
      </c>
      <c r="F340" s="3">
        <v>1</v>
      </c>
      <c r="G340" s="3">
        <v>0</v>
      </c>
      <c r="H340" s="3">
        <v>73.2</v>
      </c>
      <c r="I340" s="2">
        <v>7.3</v>
      </c>
    </row>
    <row r="341" spans="1:9">
      <c r="A341" s="1">
        <v>37970</v>
      </c>
      <c r="B341" s="1">
        <v>39082</v>
      </c>
      <c r="C341" s="2">
        <f t="shared" si="8"/>
        <v>3.0444900752908968</v>
      </c>
      <c r="D341" s="3">
        <v>73.3</v>
      </c>
      <c r="E341" s="2">
        <v>8.3000000000000007</v>
      </c>
      <c r="F341" s="3">
        <v>0</v>
      </c>
      <c r="G341" s="3">
        <v>0</v>
      </c>
      <c r="H341" s="3">
        <v>73.3</v>
      </c>
      <c r="I341" s="2">
        <v>8.3000000000000007</v>
      </c>
    </row>
    <row r="342" spans="1:9">
      <c r="A342" s="1">
        <v>38157</v>
      </c>
      <c r="B342" s="1">
        <v>39082</v>
      </c>
      <c r="C342" s="2">
        <f t="shared" si="8"/>
        <v>2.5325119780971939</v>
      </c>
      <c r="D342" s="3">
        <v>73.5</v>
      </c>
      <c r="E342" s="2">
        <v>9</v>
      </c>
      <c r="F342" s="3">
        <v>0</v>
      </c>
      <c r="G342" s="3">
        <v>0</v>
      </c>
      <c r="H342" s="3">
        <v>73.5</v>
      </c>
      <c r="I342" s="2">
        <v>9</v>
      </c>
    </row>
    <row r="343" spans="1:9">
      <c r="A343" s="1">
        <v>37889</v>
      </c>
      <c r="B343" s="1">
        <v>39082</v>
      </c>
      <c r="C343" s="2">
        <f t="shared" si="8"/>
        <v>3.2662559890485969</v>
      </c>
      <c r="D343" s="3">
        <v>73.5</v>
      </c>
      <c r="E343" s="2">
        <v>8.1999999999999993</v>
      </c>
      <c r="F343" s="3">
        <v>1</v>
      </c>
      <c r="G343" s="3">
        <v>0</v>
      </c>
      <c r="H343" s="3">
        <v>73.5</v>
      </c>
      <c r="I343" s="2">
        <v>8.1999999999999993</v>
      </c>
    </row>
    <row r="344" spans="1:9">
      <c r="A344" s="1">
        <v>38173</v>
      </c>
      <c r="B344" s="1">
        <v>39082</v>
      </c>
      <c r="C344" s="2">
        <f t="shared" si="8"/>
        <v>2.4887063655030799</v>
      </c>
      <c r="D344" s="3">
        <v>73.5</v>
      </c>
      <c r="E344" s="2">
        <v>8.4</v>
      </c>
      <c r="F344" s="3">
        <v>1</v>
      </c>
      <c r="G344" s="3">
        <v>0</v>
      </c>
      <c r="H344" s="3">
        <v>73.5</v>
      </c>
      <c r="I344" s="2">
        <v>8.4</v>
      </c>
    </row>
    <row r="345" spans="1:9">
      <c r="A345" s="1">
        <v>38264</v>
      </c>
      <c r="B345" s="1">
        <v>39082</v>
      </c>
      <c r="C345" s="2">
        <f t="shared" si="8"/>
        <v>2.239561943874059</v>
      </c>
      <c r="D345" s="3">
        <v>73.5</v>
      </c>
      <c r="E345" s="2">
        <v>8.6</v>
      </c>
      <c r="F345" s="3">
        <v>1</v>
      </c>
      <c r="G345" s="3">
        <v>0</v>
      </c>
      <c r="H345" s="3">
        <v>73.5</v>
      </c>
      <c r="I345" s="2">
        <v>8.6</v>
      </c>
    </row>
    <row r="346" spans="1:9">
      <c r="A346" s="1">
        <v>37840</v>
      </c>
      <c r="B346" s="1">
        <v>39082</v>
      </c>
      <c r="C346" s="2">
        <f t="shared" si="8"/>
        <v>3.40041067761807</v>
      </c>
      <c r="D346" s="3">
        <v>73.5</v>
      </c>
      <c r="E346" s="2">
        <v>9</v>
      </c>
      <c r="F346" s="3">
        <v>0</v>
      </c>
      <c r="G346" s="3">
        <v>0</v>
      </c>
      <c r="H346" s="3">
        <v>73.5</v>
      </c>
      <c r="I346" s="2">
        <v>9</v>
      </c>
    </row>
    <row r="347" spans="1:9">
      <c r="A347" s="1">
        <v>38044</v>
      </c>
      <c r="B347" s="1">
        <v>39082</v>
      </c>
      <c r="C347" s="2">
        <f t="shared" si="8"/>
        <v>2.8418891170431211</v>
      </c>
      <c r="D347" s="3">
        <v>73.599999999999994</v>
      </c>
      <c r="E347" s="2">
        <v>8.4</v>
      </c>
      <c r="F347" s="3">
        <v>1</v>
      </c>
      <c r="G347" s="3">
        <v>0</v>
      </c>
      <c r="H347" s="3">
        <v>73.599999999999994</v>
      </c>
      <c r="I347" s="2">
        <v>8.4</v>
      </c>
    </row>
    <row r="348" spans="1:9">
      <c r="A348" s="1">
        <v>37988</v>
      </c>
      <c r="B348" s="1">
        <v>39082</v>
      </c>
      <c r="C348" s="2">
        <f t="shared" si="8"/>
        <v>2.9952087611225187</v>
      </c>
      <c r="D348" s="3">
        <v>73.599999999999994</v>
      </c>
      <c r="E348" s="2">
        <v>7.6</v>
      </c>
      <c r="F348" s="3">
        <v>1</v>
      </c>
      <c r="G348" s="3">
        <v>0</v>
      </c>
      <c r="H348" s="3">
        <v>73.599999999999994</v>
      </c>
      <c r="I348" s="2">
        <v>7.6</v>
      </c>
    </row>
    <row r="349" spans="1:9">
      <c r="A349" s="1">
        <v>37920</v>
      </c>
      <c r="B349" s="1">
        <v>39082</v>
      </c>
      <c r="C349" s="2">
        <f t="shared" si="8"/>
        <v>3.1813826146475015</v>
      </c>
      <c r="D349" s="3">
        <v>73.599999999999994</v>
      </c>
      <c r="E349" s="2">
        <v>8</v>
      </c>
      <c r="F349" s="3">
        <v>0</v>
      </c>
      <c r="G349" s="3">
        <v>1</v>
      </c>
      <c r="H349" s="3">
        <v>73.599999999999994</v>
      </c>
      <c r="I349" s="2">
        <v>8</v>
      </c>
    </row>
    <row r="350" spans="1:9">
      <c r="A350" s="1">
        <v>37946</v>
      </c>
      <c r="B350" s="1">
        <v>39082</v>
      </c>
      <c r="C350" s="2">
        <f t="shared" si="8"/>
        <v>3.1101984941820673</v>
      </c>
      <c r="D350" s="3">
        <v>73.599999999999994</v>
      </c>
      <c r="E350" s="2">
        <v>7.7</v>
      </c>
      <c r="F350" s="3">
        <v>1</v>
      </c>
      <c r="G350" s="3">
        <v>0</v>
      </c>
      <c r="H350" s="3">
        <v>73.599999999999994</v>
      </c>
      <c r="I350" s="2">
        <v>7.7</v>
      </c>
    </row>
    <row r="351" spans="1:9">
      <c r="A351" s="1">
        <v>38306</v>
      </c>
      <c r="B351" s="1">
        <v>39082</v>
      </c>
      <c r="C351" s="2">
        <f t="shared" si="8"/>
        <v>2.1245722108145104</v>
      </c>
      <c r="D351" s="3">
        <v>73.599999999999994</v>
      </c>
      <c r="E351" s="2">
        <v>8.5</v>
      </c>
      <c r="F351" s="3">
        <v>1</v>
      </c>
      <c r="G351" s="3">
        <v>0</v>
      </c>
      <c r="H351" s="3">
        <v>73.599999999999994</v>
      </c>
      <c r="I351" s="2">
        <v>8.5</v>
      </c>
    </row>
    <row r="352" spans="1:9">
      <c r="A352" s="1">
        <v>38101</v>
      </c>
      <c r="B352" s="1">
        <v>39082</v>
      </c>
      <c r="C352" s="2">
        <f t="shared" si="8"/>
        <v>2.6858316221765914</v>
      </c>
      <c r="D352" s="3">
        <v>73.599999999999994</v>
      </c>
      <c r="E352" s="2">
        <v>9.8000000000000007</v>
      </c>
      <c r="F352" s="3">
        <v>1</v>
      </c>
      <c r="G352" s="3">
        <v>0</v>
      </c>
      <c r="H352" s="3">
        <v>73.599999999999994</v>
      </c>
      <c r="I352" s="2">
        <v>9.8000000000000007</v>
      </c>
    </row>
    <row r="353" spans="1:9">
      <c r="A353" s="1">
        <v>38023</v>
      </c>
      <c r="B353" s="1">
        <v>39082</v>
      </c>
      <c r="C353" s="2">
        <f t="shared" si="8"/>
        <v>2.8993839835728954</v>
      </c>
      <c r="D353" s="3">
        <v>73.7</v>
      </c>
      <c r="E353" s="2">
        <v>9</v>
      </c>
      <c r="F353" s="3">
        <v>1</v>
      </c>
      <c r="G353" s="3">
        <v>0</v>
      </c>
      <c r="H353" s="3">
        <v>73.7</v>
      </c>
      <c r="I353" s="2">
        <v>9</v>
      </c>
    </row>
    <row r="354" spans="1:9">
      <c r="A354" s="1">
        <v>38027</v>
      </c>
      <c r="B354" s="1">
        <v>39082</v>
      </c>
      <c r="C354" s="2">
        <f t="shared" si="8"/>
        <v>2.8884325804243667</v>
      </c>
      <c r="D354" s="3">
        <v>73.7</v>
      </c>
      <c r="E354" s="2">
        <v>9.8000000000000007</v>
      </c>
      <c r="F354" s="3">
        <v>1</v>
      </c>
      <c r="G354" s="3">
        <v>1</v>
      </c>
      <c r="H354" s="3">
        <v>73.7</v>
      </c>
      <c r="I354" s="2">
        <v>9.8000000000000007</v>
      </c>
    </row>
    <row r="355" spans="1:9">
      <c r="A355" s="1">
        <v>37742</v>
      </c>
      <c r="B355" s="1">
        <v>39082</v>
      </c>
      <c r="C355" s="2">
        <f t="shared" si="8"/>
        <v>3.6687200547570158</v>
      </c>
      <c r="D355" s="3">
        <v>73.8</v>
      </c>
      <c r="E355" s="2">
        <v>9.5</v>
      </c>
      <c r="F355" s="3">
        <v>0</v>
      </c>
      <c r="G355" s="3">
        <v>1</v>
      </c>
      <c r="H355" s="3">
        <v>73.8</v>
      </c>
      <c r="I355" s="2">
        <v>9.5</v>
      </c>
    </row>
    <row r="356" spans="1:9">
      <c r="A356" s="1">
        <v>38082</v>
      </c>
      <c r="B356" s="1">
        <v>39082</v>
      </c>
      <c r="C356" s="2">
        <f t="shared" si="8"/>
        <v>2.7378507871321012</v>
      </c>
      <c r="D356" s="3">
        <v>74</v>
      </c>
      <c r="E356" s="2">
        <v>9.3000000000000007</v>
      </c>
      <c r="F356" s="3">
        <v>1</v>
      </c>
      <c r="G356" s="3">
        <v>0</v>
      </c>
      <c r="H356" s="3">
        <v>74</v>
      </c>
      <c r="I356" s="2">
        <v>9.3000000000000007</v>
      </c>
    </row>
    <row r="357" spans="1:9">
      <c r="A357" s="1">
        <v>37904</v>
      </c>
      <c r="B357" s="1">
        <v>39082</v>
      </c>
      <c r="C357" s="2">
        <f t="shared" si="8"/>
        <v>3.2251882272416155</v>
      </c>
      <c r="D357" s="3">
        <v>74</v>
      </c>
      <c r="E357" s="2">
        <v>10</v>
      </c>
      <c r="F357" s="3">
        <v>0</v>
      </c>
      <c r="G357" s="3">
        <v>0</v>
      </c>
      <c r="H357" s="3">
        <v>74</v>
      </c>
      <c r="I357" s="2">
        <v>10</v>
      </c>
    </row>
    <row r="358" spans="1:9">
      <c r="A358" s="1">
        <v>37865</v>
      </c>
      <c r="B358" s="1">
        <v>39082</v>
      </c>
      <c r="C358" s="2">
        <f t="shared" si="8"/>
        <v>3.3319644079397674</v>
      </c>
      <c r="D358" s="3">
        <v>74</v>
      </c>
      <c r="E358" s="2">
        <v>8.6999999999999993</v>
      </c>
      <c r="F358" s="3">
        <v>0</v>
      </c>
      <c r="G358" s="3">
        <v>0</v>
      </c>
      <c r="H358" s="3">
        <v>74</v>
      </c>
      <c r="I358" s="2">
        <v>8.6999999999999993</v>
      </c>
    </row>
    <row r="359" spans="1:9">
      <c r="A359" s="1">
        <v>37862</v>
      </c>
      <c r="B359" s="1">
        <v>39082</v>
      </c>
      <c r="C359" s="2">
        <f t="shared" si="8"/>
        <v>3.3401779603011637</v>
      </c>
      <c r="D359" s="3">
        <v>74</v>
      </c>
      <c r="E359" s="2">
        <v>8</v>
      </c>
      <c r="F359" s="3">
        <v>1</v>
      </c>
      <c r="G359" s="3">
        <v>0</v>
      </c>
      <c r="H359" s="3">
        <v>74</v>
      </c>
      <c r="I359" s="2">
        <v>8</v>
      </c>
    </row>
    <row r="360" spans="1:9">
      <c r="A360" s="1">
        <v>37895</v>
      </c>
      <c r="B360" s="1">
        <v>39082</v>
      </c>
      <c r="C360" s="2">
        <f t="shared" si="8"/>
        <v>3.2498288843258041</v>
      </c>
      <c r="D360" s="3">
        <v>74.099999999999994</v>
      </c>
      <c r="E360" s="2">
        <v>9.6</v>
      </c>
      <c r="F360" s="3">
        <v>1</v>
      </c>
      <c r="G360" s="3">
        <v>0</v>
      </c>
      <c r="H360" s="3">
        <v>74.099999999999994</v>
      </c>
      <c r="I360" s="2">
        <v>9.6</v>
      </c>
    </row>
    <row r="361" spans="1:9">
      <c r="A361" s="1">
        <v>37923</v>
      </c>
      <c r="B361" s="1">
        <v>39082</v>
      </c>
      <c r="C361" s="2">
        <f t="shared" si="8"/>
        <v>3.1731690622861053</v>
      </c>
      <c r="D361" s="3">
        <v>74.2</v>
      </c>
      <c r="E361" s="2">
        <v>8.1</v>
      </c>
      <c r="F361" s="3">
        <v>1</v>
      </c>
      <c r="G361" s="3">
        <v>0</v>
      </c>
      <c r="H361" s="3">
        <v>74.2</v>
      </c>
      <c r="I361" s="2">
        <v>8.1</v>
      </c>
    </row>
    <row r="362" spans="1:9">
      <c r="A362" s="1">
        <v>37902</v>
      </c>
      <c r="B362" s="1">
        <v>39082</v>
      </c>
      <c r="C362" s="2">
        <f t="shared" si="8"/>
        <v>3.2306639288158796</v>
      </c>
      <c r="D362" s="3">
        <v>74.2</v>
      </c>
      <c r="E362" s="2">
        <v>8.9</v>
      </c>
      <c r="F362" s="3">
        <v>1</v>
      </c>
      <c r="G362" s="3">
        <v>1</v>
      </c>
      <c r="H362" s="3">
        <v>74.2</v>
      </c>
      <c r="I362" s="2">
        <v>8.9</v>
      </c>
    </row>
    <row r="363" spans="1:9">
      <c r="A363" s="1">
        <v>37926</v>
      </c>
      <c r="B363" s="1">
        <v>39082</v>
      </c>
      <c r="C363" s="2">
        <f t="shared" si="8"/>
        <v>3.1649555099247091</v>
      </c>
      <c r="D363" s="3">
        <v>74.3</v>
      </c>
      <c r="E363" s="2">
        <v>8.3000000000000007</v>
      </c>
      <c r="F363" s="3">
        <v>1</v>
      </c>
      <c r="G363" s="3">
        <v>1</v>
      </c>
      <c r="H363" s="3">
        <v>74.3</v>
      </c>
      <c r="I363" s="2">
        <v>8.3000000000000007</v>
      </c>
    </row>
    <row r="364" spans="1:9">
      <c r="A364" s="1">
        <v>38249</v>
      </c>
      <c r="B364" s="1">
        <v>39082</v>
      </c>
      <c r="C364" s="2">
        <f t="shared" si="8"/>
        <v>2.2806297056810405</v>
      </c>
      <c r="D364" s="3">
        <v>74.400000000000006</v>
      </c>
      <c r="E364" s="2">
        <v>9.6999999999999993</v>
      </c>
      <c r="F364" s="3">
        <v>1</v>
      </c>
      <c r="G364" s="3">
        <v>0</v>
      </c>
      <c r="H364" s="3">
        <v>74.400000000000006</v>
      </c>
      <c r="I364" s="2">
        <v>9.6999999999999993</v>
      </c>
    </row>
    <row r="365" spans="1:9">
      <c r="A365" s="1">
        <v>37877</v>
      </c>
      <c r="B365" s="1">
        <v>39082</v>
      </c>
      <c r="C365" s="2">
        <f t="shared" si="8"/>
        <v>3.2991101984941822</v>
      </c>
      <c r="D365" s="3">
        <v>74.599999999999994</v>
      </c>
      <c r="E365" s="2">
        <v>7.8</v>
      </c>
      <c r="F365" s="3">
        <v>1</v>
      </c>
      <c r="G365" s="3">
        <v>1</v>
      </c>
      <c r="H365" s="3">
        <v>74.599999999999994</v>
      </c>
      <c r="I365" s="2">
        <v>7.8</v>
      </c>
    </row>
    <row r="366" spans="1:9">
      <c r="A366" s="1">
        <v>37929</v>
      </c>
      <c r="B366" s="1">
        <v>39082</v>
      </c>
      <c r="C366" s="2">
        <f t="shared" si="8"/>
        <v>3.1567419575633129</v>
      </c>
      <c r="D366" s="3">
        <v>74.599999999999994</v>
      </c>
      <c r="E366" s="2">
        <v>9.6</v>
      </c>
      <c r="F366" s="3">
        <v>0</v>
      </c>
      <c r="G366" s="3">
        <v>0</v>
      </c>
      <c r="H366" s="3">
        <v>74.599999999999994</v>
      </c>
      <c r="I366" s="2">
        <v>9.6</v>
      </c>
    </row>
    <row r="367" spans="1:9">
      <c r="A367" s="1">
        <v>37884</v>
      </c>
      <c r="B367" s="1">
        <v>39082</v>
      </c>
      <c r="C367" s="2">
        <f t="shared" si="8"/>
        <v>3.2799452429842573</v>
      </c>
      <c r="D367" s="3">
        <v>74.7</v>
      </c>
      <c r="E367" s="2">
        <v>8.1</v>
      </c>
      <c r="F367" s="3">
        <v>1</v>
      </c>
      <c r="G367" s="3">
        <v>1</v>
      </c>
      <c r="H367" s="3">
        <v>74.7</v>
      </c>
      <c r="I367" s="2">
        <v>8.1</v>
      </c>
    </row>
    <row r="368" spans="1:9">
      <c r="A368" s="1">
        <v>37839</v>
      </c>
      <c r="B368" s="1">
        <v>39082</v>
      </c>
      <c r="C368" s="2">
        <f t="shared" si="8"/>
        <v>3.4031485284052021</v>
      </c>
      <c r="D368" s="3">
        <v>74.7</v>
      </c>
      <c r="E368" s="2">
        <v>8.4</v>
      </c>
      <c r="F368" s="3">
        <v>1</v>
      </c>
      <c r="G368" s="3">
        <v>0</v>
      </c>
      <c r="H368" s="3">
        <v>74.7</v>
      </c>
      <c r="I368" s="2">
        <v>8.4</v>
      </c>
    </row>
    <row r="369" spans="1:9">
      <c r="A369" s="1">
        <v>37924</v>
      </c>
      <c r="B369" s="1">
        <v>39082</v>
      </c>
      <c r="C369" s="2">
        <f t="shared" si="8"/>
        <v>3.1704312114989732</v>
      </c>
      <c r="D369" s="3">
        <v>74.8</v>
      </c>
      <c r="E369" s="2">
        <v>9.8000000000000007</v>
      </c>
      <c r="F369" s="3">
        <v>0</v>
      </c>
      <c r="G369" s="3">
        <v>1</v>
      </c>
      <c r="H369" s="3">
        <v>74.8</v>
      </c>
      <c r="I369" s="2">
        <v>9.8000000000000007</v>
      </c>
    </row>
    <row r="370" spans="1:9">
      <c r="A370" s="1">
        <v>38037</v>
      </c>
      <c r="B370" s="1">
        <v>39082</v>
      </c>
      <c r="C370" s="2">
        <f t="shared" si="8"/>
        <v>2.861054072553046</v>
      </c>
      <c r="D370" s="3">
        <v>74.8</v>
      </c>
      <c r="E370" s="2">
        <v>9</v>
      </c>
      <c r="F370" s="3">
        <v>1</v>
      </c>
      <c r="G370" s="3">
        <v>1</v>
      </c>
      <c r="H370" s="3">
        <v>74.8</v>
      </c>
      <c r="I370" s="2">
        <v>9</v>
      </c>
    </row>
    <row r="371" spans="1:9">
      <c r="A371" s="1">
        <v>37956</v>
      </c>
      <c r="B371" s="1">
        <v>39082</v>
      </c>
      <c r="C371" s="2">
        <f t="shared" si="8"/>
        <v>3.0828199863107462</v>
      </c>
      <c r="D371" s="3">
        <v>74.8</v>
      </c>
      <c r="E371" s="2">
        <v>10</v>
      </c>
      <c r="F371" s="3">
        <v>1</v>
      </c>
      <c r="G371" s="3">
        <v>1</v>
      </c>
      <c r="H371" s="3">
        <v>74.8</v>
      </c>
      <c r="I371" s="2">
        <v>10</v>
      </c>
    </row>
    <row r="372" spans="1:9">
      <c r="A372" s="1">
        <v>38023</v>
      </c>
      <c r="B372" s="1">
        <v>39082</v>
      </c>
      <c r="C372" s="2">
        <f t="shared" si="8"/>
        <v>2.8993839835728954</v>
      </c>
      <c r="D372" s="3">
        <v>74.8</v>
      </c>
      <c r="E372" s="2">
        <v>9.4</v>
      </c>
      <c r="F372" s="3">
        <v>1</v>
      </c>
      <c r="G372" s="3">
        <v>1</v>
      </c>
      <c r="H372" s="3">
        <v>74.8</v>
      </c>
      <c r="I372" s="2">
        <v>9.4</v>
      </c>
    </row>
    <row r="373" spans="1:9">
      <c r="A373" s="1">
        <v>38261</v>
      </c>
      <c r="B373" s="1">
        <v>39082</v>
      </c>
      <c r="C373" s="2">
        <f t="shared" si="8"/>
        <v>2.2477754962354553</v>
      </c>
      <c r="D373" s="3">
        <v>74.8</v>
      </c>
      <c r="E373" s="2">
        <v>9.1999999999999993</v>
      </c>
      <c r="F373" s="3">
        <v>1</v>
      </c>
      <c r="G373" s="3">
        <v>1</v>
      </c>
      <c r="H373" s="3">
        <v>74.8</v>
      </c>
      <c r="I373" s="2">
        <v>9.1999999999999993</v>
      </c>
    </row>
    <row r="374" spans="1:9">
      <c r="A374" s="1">
        <v>37707</v>
      </c>
      <c r="B374" s="1">
        <v>39082</v>
      </c>
      <c r="C374" s="2">
        <f t="shared" si="8"/>
        <v>3.7645448323066395</v>
      </c>
      <c r="D374" s="3">
        <v>74.8</v>
      </c>
      <c r="E374" s="2">
        <v>8.4</v>
      </c>
      <c r="F374" s="3">
        <v>0</v>
      </c>
      <c r="G374" s="3">
        <v>1</v>
      </c>
      <c r="H374" s="3">
        <v>74.8</v>
      </c>
      <c r="I374" s="2">
        <v>8.4</v>
      </c>
    </row>
    <row r="375" spans="1:9">
      <c r="A375" s="1">
        <v>38089</v>
      </c>
      <c r="B375" s="1">
        <v>39082</v>
      </c>
      <c r="C375" s="2">
        <f t="shared" si="8"/>
        <v>2.7186858316221767</v>
      </c>
      <c r="D375" s="3">
        <v>74.900000000000006</v>
      </c>
      <c r="E375" s="2">
        <v>9</v>
      </c>
      <c r="F375" s="3">
        <v>1</v>
      </c>
      <c r="G375" s="3">
        <v>0</v>
      </c>
      <c r="H375" s="3">
        <v>74.900000000000006</v>
      </c>
      <c r="I375" s="2">
        <v>9</v>
      </c>
    </row>
    <row r="376" spans="1:9">
      <c r="A376" s="1">
        <v>38062</v>
      </c>
      <c r="B376" s="1">
        <v>39082</v>
      </c>
      <c r="C376" s="2">
        <f t="shared" si="8"/>
        <v>2.7926078028747434</v>
      </c>
      <c r="D376" s="3">
        <v>75</v>
      </c>
      <c r="E376" s="2">
        <v>9.4</v>
      </c>
      <c r="F376" s="3">
        <v>1</v>
      </c>
      <c r="G376" s="3">
        <v>0</v>
      </c>
      <c r="H376" s="3">
        <v>75</v>
      </c>
      <c r="I376" s="2">
        <v>9.4</v>
      </c>
    </row>
    <row r="377" spans="1:9">
      <c r="A377" s="1">
        <v>37980</v>
      </c>
      <c r="B377" s="1">
        <v>39082</v>
      </c>
      <c r="C377" s="2">
        <f t="shared" si="8"/>
        <v>3.0171115674195756</v>
      </c>
      <c r="D377" s="3">
        <v>75</v>
      </c>
      <c r="E377" s="2">
        <v>8.4</v>
      </c>
      <c r="F377" s="3">
        <v>1</v>
      </c>
      <c r="G377" s="3">
        <v>0</v>
      </c>
      <c r="H377" s="3">
        <v>75</v>
      </c>
      <c r="I377" s="2">
        <v>8.4</v>
      </c>
    </row>
    <row r="378" spans="1:9">
      <c r="A378" s="1">
        <v>37948</v>
      </c>
      <c r="B378" s="1">
        <v>39082</v>
      </c>
      <c r="C378" s="2">
        <f t="shared" si="8"/>
        <v>3.1047227926078027</v>
      </c>
      <c r="D378" s="3">
        <v>75</v>
      </c>
      <c r="E378" s="2">
        <v>9.8000000000000007</v>
      </c>
      <c r="F378" s="3">
        <v>0</v>
      </c>
      <c r="G378" s="3">
        <v>1</v>
      </c>
      <c r="H378" s="3">
        <v>75</v>
      </c>
      <c r="I378" s="2">
        <v>9.8000000000000007</v>
      </c>
    </row>
    <row r="379" spans="1:9">
      <c r="A379" s="1">
        <v>38205</v>
      </c>
      <c r="B379" s="1">
        <v>39082</v>
      </c>
      <c r="C379" s="2">
        <f t="shared" si="8"/>
        <v>2.4010951403148528</v>
      </c>
      <c r="D379" s="3">
        <v>75</v>
      </c>
      <c r="E379" s="2">
        <v>9.1</v>
      </c>
      <c r="F379" s="3">
        <v>1</v>
      </c>
      <c r="G379" s="3">
        <v>1</v>
      </c>
      <c r="H379" s="3">
        <v>75</v>
      </c>
      <c r="I379" s="2">
        <v>9.1</v>
      </c>
    </row>
    <row r="380" spans="1:9">
      <c r="A380" s="1">
        <v>37902</v>
      </c>
      <c r="B380" s="1">
        <v>39082</v>
      </c>
      <c r="C380" s="2">
        <f t="shared" si="8"/>
        <v>3.2306639288158796</v>
      </c>
      <c r="D380" s="3">
        <v>75</v>
      </c>
      <c r="E380" s="2">
        <v>8.3000000000000007</v>
      </c>
      <c r="F380" s="3">
        <v>0</v>
      </c>
      <c r="G380" s="3">
        <v>1</v>
      </c>
      <c r="H380" s="3">
        <v>75</v>
      </c>
      <c r="I380" s="2">
        <v>8.3000000000000007</v>
      </c>
    </row>
    <row r="381" spans="1:9">
      <c r="A381" s="1">
        <v>37878</v>
      </c>
      <c r="B381" s="1">
        <v>39082</v>
      </c>
      <c r="C381" s="2">
        <f t="shared" si="8"/>
        <v>3.2963723477070501</v>
      </c>
      <c r="D381" s="3">
        <v>75</v>
      </c>
      <c r="E381" s="2">
        <v>7.4</v>
      </c>
      <c r="F381" s="3">
        <v>0</v>
      </c>
      <c r="G381" s="3">
        <v>0</v>
      </c>
      <c r="H381" s="3">
        <v>75</v>
      </c>
      <c r="I381" s="2">
        <v>7.4</v>
      </c>
    </row>
    <row r="382" spans="1:9">
      <c r="A382" s="1">
        <v>37977</v>
      </c>
      <c r="B382" s="1">
        <v>39082</v>
      </c>
      <c r="C382" s="2">
        <f t="shared" si="8"/>
        <v>3.0253251197809718</v>
      </c>
      <c r="D382" s="3">
        <v>75.099999999999994</v>
      </c>
      <c r="E382" s="2">
        <v>9.1999999999999993</v>
      </c>
      <c r="F382" s="3">
        <v>1</v>
      </c>
      <c r="G382" s="3">
        <v>0</v>
      </c>
      <c r="H382" s="3">
        <v>75.099999999999994</v>
      </c>
      <c r="I382" s="2">
        <v>9.1999999999999993</v>
      </c>
    </row>
    <row r="383" spans="1:9">
      <c r="A383" s="1">
        <v>37916</v>
      </c>
      <c r="B383" s="1">
        <v>39082</v>
      </c>
      <c r="C383" s="2">
        <f t="shared" si="8"/>
        <v>3.1923340177960302</v>
      </c>
      <c r="D383" s="3">
        <v>75.099999999999994</v>
      </c>
      <c r="E383" s="2">
        <v>8.1</v>
      </c>
      <c r="F383" s="3">
        <v>1</v>
      </c>
      <c r="G383" s="3">
        <v>1</v>
      </c>
      <c r="H383" s="3">
        <v>75.099999999999994</v>
      </c>
      <c r="I383" s="2">
        <v>8.1</v>
      </c>
    </row>
    <row r="384" spans="1:9">
      <c r="A384" s="1">
        <v>37748</v>
      </c>
      <c r="B384" s="1">
        <v>39082</v>
      </c>
      <c r="C384" s="2">
        <f t="shared" si="8"/>
        <v>3.6522929500342229</v>
      </c>
      <c r="D384" s="3">
        <v>75.099999999999994</v>
      </c>
      <c r="E384" s="2">
        <v>8.4</v>
      </c>
      <c r="F384" s="3">
        <v>1</v>
      </c>
      <c r="G384" s="3">
        <v>0</v>
      </c>
      <c r="H384" s="3">
        <v>75.099999999999994</v>
      </c>
      <c r="I384" s="2">
        <v>8.4</v>
      </c>
    </row>
    <row r="385" spans="1:9">
      <c r="A385" s="1">
        <v>38142</v>
      </c>
      <c r="B385" s="1">
        <v>39082</v>
      </c>
      <c r="C385" s="2">
        <f t="shared" si="8"/>
        <v>2.5735797399041753</v>
      </c>
      <c r="D385" s="3">
        <v>75.099999999999994</v>
      </c>
      <c r="E385" s="2">
        <v>9.1999999999999993</v>
      </c>
      <c r="F385" s="3">
        <v>1</v>
      </c>
      <c r="G385" s="3">
        <v>1</v>
      </c>
      <c r="H385" s="3">
        <v>75.099999999999994</v>
      </c>
      <c r="I385" s="2">
        <v>9.1999999999999993</v>
      </c>
    </row>
    <row r="386" spans="1:9">
      <c r="A386" s="1">
        <v>37760</v>
      </c>
      <c r="B386" s="1">
        <v>39082</v>
      </c>
      <c r="C386" s="2">
        <f t="shared" ref="C386:C449" si="9">(B386-A386)/365.25</f>
        <v>3.6194387405886381</v>
      </c>
      <c r="D386" s="3">
        <v>75.2</v>
      </c>
      <c r="E386" s="2">
        <v>8.8000000000000007</v>
      </c>
      <c r="F386" s="3">
        <v>0</v>
      </c>
      <c r="G386" s="3">
        <v>1</v>
      </c>
      <c r="H386" s="3">
        <v>75.2</v>
      </c>
      <c r="I386" s="2">
        <v>8.8000000000000007</v>
      </c>
    </row>
    <row r="387" spans="1:9">
      <c r="A387" s="1">
        <v>38106</v>
      </c>
      <c r="B387" s="1">
        <v>39082</v>
      </c>
      <c r="C387" s="2">
        <f t="shared" si="9"/>
        <v>2.6721423682409307</v>
      </c>
      <c r="D387" s="3">
        <v>75.2</v>
      </c>
      <c r="E387" s="2">
        <v>9.9</v>
      </c>
      <c r="F387" s="3">
        <v>0</v>
      </c>
      <c r="G387" s="3">
        <v>1</v>
      </c>
      <c r="H387" s="3">
        <v>75.2</v>
      </c>
      <c r="I387" s="2">
        <v>9.9</v>
      </c>
    </row>
    <row r="388" spans="1:9">
      <c r="A388" s="1">
        <v>37967</v>
      </c>
      <c r="B388" s="1">
        <v>39082</v>
      </c>
      <c r="C388" s="2">
        <f t="shared" si="9"/>
        <v>3.052703627652293</v>
      </c>
      <c r="D388" s="3">
        <v>75.2</v>
      </c>
      <c r="E388" s="2">
        <v>9.9</v>
      </c>
      <c r="F388" s="3">
        <v>1</v>
      </c>
      <c r="G388" s="3">
        <v>1</v>
      </c>
      <c r="H388" s="3">
        <v>75.2</v>
      </c>
      <c r="I388" s="2">
        <v>9.9</v>
      </c>
    </row>
    <row r="389" spans="1:9">
      <c r="A389" s="1">
        <v>38204</v>
      </c>
      <c r="B389" s="1">
        <v>39082</v>
      </c>
      <c r="C389" s="2">
        <f t="shared" si="9"/>
        <v>2.4038329911019849</v>
      </c>
      <c r="D389" s="3">
        <v>75.2</v>
      </c>
      <c r="E389" s="2">
        <v>7</v>
      </c>
      <c r="F389" s="3">
        <v>1</v>
      </c>
      <c r="G389" s="3">
        <v>1</v>
      </c>
      <c r="H389" s="3">
        <v>75.2</v>
      </c>
      <c r="I389" s="2">
        <v>7</v>
      </c>
    </row>
    <row r="390" spans="1:9">
      <c r="A390" s="1">
        <v>38329</v>
      </c>
      <c r="B390" s="1">
        <v>39082</v>
      </c>
      <c r="C390" s="2">
        <f t="shared" si="9"/>
        <v>2.0616016427104724</v>
      </c>
      <c r="D390" s="3">
        <v>75.2</v>
      </c>
      <c r="E390" s="2">
        <v>9.6</v>
      </c>
      <c r="F390" s="3">
        <v>1</v>
      </c>
      <c r="G390" s="3">
        <v>0</v>
      </c>
      <c r="H390" s="3">
        <v>75.2</v>
      </c>
      <c r="I390" s="2">
        <v>9.6</v>
      </c>
    </row>
    <row r="391" spans="1:9">
      <c r="A391" s="1">
        <v>37895</v>
      </c>
      <c r="B391" s="1">
        <v>39082</v>
      </c>
      <c r="C391" s="2">
        <f t="shared" si="9"/>
        <v>3.2498288843258041</v>
      </c>
      <c r="D391" s="3">
        <v>75.2</v>
      </c>
      <c r="E391" s="2">
        <v>8.5</v>
      </c>
      <c r="F391" s="3">
        <v>1</v>
      </c>
      <c r="G391" s="3">
        <v>1</v>
      </c>
      <c r="H391" s="3">
        <v>75.2</v>
      </c>
      <c r="I391" s="2">
        <v>8.5</v>
      </c>
    </row>
    <row r="392" spans="1:9">
      <c r="A392" s="1">
        <v>37834</v>
      </c>
      <c r="B392" s="1">
        <v>39082</v>
      </c>
      <c r="C392" s="2">
        <f t="shared" si="9"/>
        <v>3.4168377823408624</v>
      </c>
      <c r="D392" s="3">
        <v>75.3</v>
      </c>
      <c r="E392" s="2">
        <v>8.9</v>
      </c>
      <c r="F392" s="3">
        <v>1</v>
      </c>
      <c r="G392" s="3">
        <v>0</v>
      </c>
      <c r="H392" s="3">
        <v>75.3</v>
      </c>
      <c r="I392" s="2">
        <v>8.9</v>
      </c>
    </row>
    <row r="393" spans="1:9">
      <c r="A393" s="1">
        <v>37828</v>
      </c>
      <c r="B393" s="1">
        <v>39082</v>
      </c>
      <c r="C393" s="2">
        <f t="shared" si="9"/>
        <v>3.4332648870636548</v>
      </c>
      <c r="D393" s="3">
        <v>75.3</v>
      </c>
      <c r="E393" s="2">
        <v>9.3000000000000007</v>
      </c>
      <c r="F393" s="3">
        <v>0</v>
      </c>
      <c r="G393" s="3">
        <v>0</v>
      </c>
      <c r="H393" s="3">
        <v>75.3</v>
      </c>
      <c r="I393" s="2">
        <v>9.3000000000000007</v>
      </c>
    </row>
    <row r="394" spans="1:9">
      <c r="A394" s="1">
        <v>37732</v>
      </c>
      <c r="B394" s="1">
        <v>39082</v>
      </c>
      <c r="C394" s="2">
        <f t="shared" si="9"/>
        <v>3.6960985626283369</v>
      </c>
      <c r="D394" s="3">
        <v>75.3</v>
      </c>
      <c r="E394" s="2">
        <v>9.1</v>
      </c>
      <c r="F394" s="3">
        <v>0</v>
      </c>
      <c r="G394" s="3">
        <v>1</v>
      </c>
      <c r="H394" s="3">
        <v>75.3</v>
      </c>
      <c r="I394" s="2">
        <v>9.1</v>
      </c>
    </row>
    <row r="395" spans="1:9">
      <c r="A395" s="1">
        <v>37505</v>
      </c>
      <c r="B395" s="1">
        <v>39082</v>
      </c>
      <c r="C395" s="2">
        <f t="shared" si="9"/>
        <v>4.3175906913073234</v>
      </c>
      <c r="D395" s="3">
        <v>75.400000000000006</v>
      </c>
      <c r="E395" s="2">
        <v>9.6</v>
      </c>
      <c r="F395" s="3">
        <v>0</v>
      </c>
      <c r="G395" s="3">
        <v>1</v>
      </c>
      <c r="H395" s="3">
        <v>75.400000000000006</v>
      </c>
      <c r="I395" s="2">
        <v>9.6</v>
      </c>
    </row>
    <row r="396" spans="1:9">
      <c r="A396" s="1">
        <v>38075</v>
      </c>
      <c r="B396" s="1">
        <v>39082</v>
      </c>
      <c r="C396" s="2">
        <f t="shared" si="9"/>
        <v>2.7570157426420261</v>
      </c>
      <c r="D396" s="3">
        <v>75.5</v>
      </c>
      <c r="E396" s="2">
        <v>9.5</v>
      </c>
      <c r="F396" s="3">
        <v>1</v>
      </c>
      <c r="G396" s="3">
        <v>0</v>
      </c>
      <c r="H396" s="3">
        <v>75.5</v>
      </c>
      <c r="I396" s="2">
        <v>9.5</v>
      </c>
    </row>
    <row r="397" spans="1:9">
      <c r="A397" s="1">
        <v>38289</v>
      </c>
      <c r="B397" s="1">
        <v>39082</v>
      </c>
      <c r="C397" s="2">
        <f t="shared" si="9"/>
        <v>2.1711156741957565</v>
      </c>
      <c r="D397" s="3">
        <v>75.5</v>
      </c>
      <c r="E397" s="2">
        <v>9.1999999999999993</v>
      </c>
      <c r="F397" s="3">
        <v>0</v>
      </c>
      <c r="G397" s="3">
        <v>1</v>
      </c>
      <c r="H397" s="3">
        <v>75.5</v>
      </c>
      <c r="I397" s="2">
        <v>9.1999999999999993</v>
      </c>
    </row>
    <row r="398" spans="1:9">
      <c r="A398" s="1">
        <v>38126</v>
      </c>
      <c r="B398" s="1">
        <v>39082</v>
      </c>
      <c r="C398" s="2">
        <f t="shared" si="9"/>
        <v>2.6173853524982889</v>
      </c>
      <c r="D398" s="3">
        <v>75.5</v>
      </c>
      <c r="E398" s="2">
        <v>8.6</v>
      </c>
      <c r="F398" s="3">
        <v>0</v>
      </c>
      <c r="G398" s="3">
        <v>1</v>
      </c>
      <c r="H398" s="3">
        <v>75.5</v>
      </c>
      <c r="I398" s="2">
        <v>8.6</v>
      </c>
    </row>
    <row r="399" spans="1:9">
      <c r="A399" s="1">
        <v>38331</v>
      </c>
      <c r="B399" s="1">
        <v>39082</v>
      </c>
      <c r="C399" s="2">
        <f t="shared" si="9"/>
        <v>2.0561259411362083</v>
      </c>
      <c r="D399" s="3">
        <v>75.599999999999994</v>
      </c>
      <c r="E399" s="2">
        <v>9.5</v>
      </c>
      <c r="F399" s="3">
        <v>1</v>
      </c>
      <c r="G399" s="3">
        <v>1</v>
      </c>
      <c r="H399" s="3">
        <v>75.599999999999994</v>
      </c>
      <c r="I399" s="2">
        <v>9.5</v>
      </c>
    </row>
    <row r="400" spans="1:9">
      <c r="A400" s="1">
        <v>38318</v>
      </c>
      <c r="B400" s="1">
        <v>39082</v>
      </c>
      <c r="C400" s="2">
        <f t="shared" si="9"/>
        <v>2.0917180013689256</v>
      </c>
      <c r="D400" s="3">
        <v>75.599999999999994</v>
      </c>
      <c r="E400" s="2">
        <v>8.4</v>
      </c>
      <c r="F400" s="3">
        <v>0</v>
      </c>
      <c r="G400" s="3">
        <v>1</v>
      </c>
      <c r="H400" s="3">
        <v>75.599999999999994</v>
      </c>
      <c r="I400" s="2">
        <v>8.4</v>
      </c>
    </row>
    <row r="401" spans="1:9">
      <c r="A401" s="1">
        <v>38275</v>
      </c>
      <c r="B401" s="1">
        <v>39082</v>
      </c>
      <c r="C401" s="2">
        <f t="shared" si="9"/>
        <v>2.2094455852156059</v>
      </c>
      <c r="D401" s="3">
        <v>75.599999999999994</v>
      </c>
      <c r="E401" s="2">
        <v>9.1</v>
      </c>
      <c r="F401" s="3">
        <v>1</v>
      </c>
      <c r="G401" s="3">
        <v>0</v>
      </c>
      <c r="H401" s="3">
        <v>75.599999999999994</v>
      </c>
      <c r="I401" s="2">
        <v>9.1</v>
      </c>
    </row>
    <row r="402" spans="1:9">
      <c r="A402" s="1">
        <v>37970</v>
      </c>
      <c r="B402" s="1">
        <v>39082</v>
      </c>
      <c r="C402" s="2">
        <f t="shared" si="9"/>
        <v>3.0444900752908968</v>
      </c>
      <c r="D402" s="3">
        <v>75.599999999999994</v>
      </c>
      <c r="E402" s="2">
        <v>8.1999999999999993</v>
      </c>
      <c r="F402" s="3">
        <v>1</v>
      </c>
      <c r="G402" s="3">
        <v>0</v>
      </c>
      <c r="H402" s="3">
        <v>75.599999999999994</v>
      </c>
      <c r="I402" s="2">
        <v>8.1999999999999993</v>
      </c>
    </row>
    <row r="403" spans="1:9">
      <c r="A403" s="1">
        <v>37680</v>
      </c>
      <c r="B403" s="1">
        <v>39082</v>
      </c>
      <c r="C403" s="2">
        <f t="shared" si="9"/>
        <v>3.8384668035592062</v>
      </c>
      <c r="D403" s="3">
        <v>75.7</v>
      </c>
      <c r="E403" s="2">
        <v>7.6</v>
      </c>
      <c r="F403" s="3">
        <v>0</v>
      </c>
      <c r="G403" s="3">
        <v>0</v>
      </c>
      <c r="H403" s="3">
        <v>75.7</v>
      </c>
      <c r="I403" s="2">
        <v>7.6</v>
      </c>
    </row>
    <row r="404" spans="1:9">
      <c r="A404" s="1">
        <v>37712</v>
      </c>
      <c r="B404" s="1">
        <v>39082</v>
      </c>
      <c r="C404" s="2">
        <f t="shared" si="9"/>
        <v>3.7508555783709787</v>
      </c>
      <c r="D404" s="3">
        <v>75.7</v>
      </c>
      <c r="E404" s="2">
        <v>8.9</v>
      </c>
      <c r="F404" s="3">
        <v>0</v>
      </c>
      <c r="G404" s="3">
        <v>1</v>
      </c>
      <c r="H404" s="3">
        <v>75.7</v>
      </c>
      <c r="I404" s="2">
        <v>8.9</v>
      </c>
    </row>
    <row r="405" spans="1:9">
      <c r="A405" s="1">
        <v>38062</v>
      </c>
      <c r="B405" s="1">
        <v>39082</v>
      </c>
      <c r="C405" s="2">
        <f t="shared" si="9"/>
        <v>2.7926078028747434</v>
      </c>
      <c r="D405" s="3">
        <v>75.900000000000006</v>
      </c>
      <c r="E405" s="2">
        <v>8.9</v>
      </c>
      <c r="F405" s="3">
        <v>0</v>
      </c>
      <c r="G405" s="3">
        <v>0</v>
      </c>
      <c r="H405" s="3">
        <v>75.900000000000006</v>
      </c>
      <c r="I405" s="2">
        <v>8.9</v>
      </c>
    </row>
    <row r="406" spans="1:9">
      <c r="A406" s="1">
        <v>38006</v>
      </c>
      <c r="B406" s="1">
        <v>39082</v>
      </c>
      <c r="C406" s="2">
        <f t="shared" si="9"/>
        <v>2.945927446954141</v>
      </c>
      <c r="D406" s="3">
        <v>75.900000000000006</v>
      </c>
      <c r="E406" s="2">
        <v>9.5</v>
      </c>
      <c r="F406" s="3">
        <v>0</v>
      </c>
      <c r="G406" s="3">
        <v>0</v>
      </c>
      <c r="H406" s="3">
        <v>75.900000000000006</v>
      </c>
      <c r="I406" s="2">
        <v>9.5</v>
      </c>
    </row>
    <row r="407" spans="1:9">
      <c r="A407" s="1">
        <v>37623</v>
      </c>
      <c r="B407" s="1">
        <v>39082</v>
      </c>
      <c r="C407" s="2">
        <f t="shared" si="9"/>
        <v>3.9945242984257359</v>
      </c>
      <c r="D407" s="3">
        <v>76</v>
      </c>
      <c r="E407" s="2">
        <v>8.1999999999999993</v>
      </c>
      <c r="F407" s="3">
        <v>1</v>
      </c>
      <c r="G407" s="3">
        <v>1</v>
      </c>
      <c r="H407" s="3">
        <v>76</v>
      </c>
      <c r="I407" s="2">
        <v>8.1999999999999993</v>
      </c>
    </row>
    <row r="408" spans="1:9">
      <c r="A408" s="1">
        <v>38231</v>
      </c>
      <c r="B408" s="1">
        <v>39082</v>
      </c>
      <c r="C408" s="2">
        <f t="shared" si="9"/>
        <v>2.3299110198494182</v>
      </c>
      <c r="D408" s="3">
        <v>76.099999999999994</v>
      </c>
      <c r="E408" s="2">
        <v>9</v>
      </c>
      <c r="F408" s="3">
        <v>0</v>
      </c>
      <c r="G408" s="3">
        <v>1</v>
      </c>
      <c r="H408" s="3">
        <v>76.099999999999994</v>
      </c>
      <c r="I408" s="2">
        <v>9</v>
      </c>
    </row>
    <row r="409" spans="1:9">
      <c r="A409" s="1">
        <v>37987</v>
      </c>
      <c r="B409" s="1">
        <v>39082</v>
      </c>
      <c r="C409" s="2">
        <f t="shared" si="9"/>
        <v>2.9979466119096507</v>
      </c>
      <c r="D409" s="3">
        <v>76.099999999999994</v>
      </c>
      <c r="E409" s="2">
        <v>8.9</v>
      </c>
      <c r="F409" s="3">
        <v>1</v>
      </c>
      <c r="G409" s="3">
        <v>1</v>
      </c>
      <c r="H409" s="3">
        <v>76.099999999999994</v>
      </c>
      <c r="I409" s="2">
        <v>8.9</v>
      </c>
    </row>
    <row r="410" spans="1:9">
      <c r="A410" s="1">
        <v>38169</v>
      </c>
      <c r="B410" s="1">
        <v>39082</v>
      </c>
      <c r="C410" s="2">
        <f t="shared" si="9"/>
        <v>2.4996577686516086</v>
      </c>
      <c r="D410" s="3">
        <v>76.099999999999994</v>
      </c>
      <c r="E410" s="2">
        <v>9.8000000000000007</v>
      </c>
      <c r="F410" s="3">
        <v>1</v>
      </c>
      <c r="G410" s="3">
        <v>0</v>
      </c>
      <c r="H410" s="3">
        <v>76.099999999999994</v>
      </c>
      <c r="I410" s="2">
        <v>9.8000000000000007</v>
      </c>
    </row>
    <row r="411" spans="1:9">
      <c r="A411" s="1">
        <v>38169</v>
      </c>
      <c r="B411" s="1">
        <v>39082</v>
      </c>
      <c r="C411" s="2">
        <f t="shared" si="9"/>
        <v>2.4996577686516086</v>
      </c>
      <c r="D411" s="3">
        <v>76.099999999999994</v>
      </c>
      <c r="E411" s="2">
        <v>9.1999999999999993</v>
      </c>
      <c r="F411" s="3">
        <v>1</v>
      </c>
      <c r="G411" s="3">
        <v>1</v>
      </c>
      <c r="H411" s="3">
        <v>76.099999999999994</v>
      </c>
      <c r="I411" s="2">
        <v>9.1999999999999993</v>
      </c>
    </row>
    <row r="412" spans="1:9">
      <c r="A412" s="1">
        <v>37445</v>
      </c>
      <c r="B412" s="1">
        <v>39082</v>
      </c>
      <c r="C412" s="2">
        <f t="shared" si="9"/>
        <v>4.4818617385352502</v>
      </c>
      <c r="D412" s="3">
        <v>76.2</v>
      </c>
      <c r="E412" s="2">
        <v>9.4</v>
      </c>
      <c r="F412" s="3">
        <v>0</v>
      </c>
      <c r="G412" s="3">
        <v>0</v>
      </c>
      <c r="H412" s="3">
        <v>76.2</v>
      </c>
      <c r="I412" s="2">
        <v>9.4</v>
      </c>
    </row>
    <row r="413" spans="1:9">
      <c r="A413" s="1">
        <v>38243</v>
      </c>
      <c r="B413" s="1">
        <v>39082</v>
      </c>
      <c r="C413" s="2">
        <f t="shared" si="9"/>
        <v>2.2970568104038329</v>
      </c>
      <c r="D413" s="3">
        <v>76.2</v>
      </c>
      <c r="E413" s="2">
        <v>8.5</v>
      </c>
      <c r="F413" s="3">
        <v>0</v>
      </c>
      <c r="G413" s="3">
        <v>1</v>
      </c>
      <c r="H413" s="3">
        <v>76.2</v>
      </c>
      <c r="I413" s="2">
        <v>8.5</v>
      </c>
    </row>
    <row r="414" spans="1:9">
      <c r="A414" s="1">
        <v>38217</v>
      </c>
      <c r="B414" s="1">
        <v>39082</v>
      </c>
      <c r="C414" s="2">
        <f t="shared" si="9"/>
        <v>2.3682409308692676</v>
      </c>
      <c r="D414" s="3">
        <v>76.3</v>
      </c>
      <c r="E414" s="2">
        <v>10.4</v>
      </c>
      <c r="F414" s="3">
        <v>1</v>
      </c>
      <c r="G414" s="3">
        <v>1</v>
      </c>
      <c r="H414" s="3">
        <v>76.3</v>
      </c>
      <c r="I414" s="2">
        <v>10.4</v>
      </c>
    </row>
    <row r="415" spans="1:9">
      <c r="A415" s="1">
        <v>37927</v>
      </c>
      <c r="B415" s="1">
        <v>39082</v>
      </c>
      <c r="C415" s="2">
        <f t="shared" si="9"/>
        <v>3.162217659137577</v>
      </c>
      <c r="D415" s="3">
        <v>76.3</v>
      </c>
      <c r="E415" s="2">
        <v>10</v>
      </c>
      <c r="F415" s="3">
        <v>1</v>
      </c>
      <c r="G415" s="3">
        <v>1</v>
      </c>
      <c r="H415" s="3">
        <v>76.3</v>
      </c>
      <c r="I415" s="2">
        <v>10</v>
      </c>
    </row>
    <row r="416" spans="1:9">
      <c r="A416" s="1">
        <v>37807</v>
      </c>
      <c r="B416" s="1">
        <v>39082</v>
      </c>
      <c r="C416" s="2">
        <f t="shared" si="9"/>
        <v>3.4907597535934292</v>
      </c>
      <c r="D416" s="3">
        <v>76.400000000000006</v>
      </c>
      <c r="E416" s="2">
        <v>8.6999999999999993</v>
      </c>
      <c r="F416" s="3">
        <v>0</v>
      </c>
      <c r="G416" s="3">
        <v>1</v>
      </c>
      <c r="H416" s="3">
        <v>76.400000000000006</v>
      </c>
      <c r="I416" s="2">
        <v>8.6999999999999993</v>
      </c>
    </row>
    <row r="417" spans="1:9">
      <c r="A417" s="1">
        <v>37996</v>
      </c>
      <c r="B417" s="1">
        <v>39082</v>
      </c>
      <c r="C417" s="2">
        <f t="shared" si="9"/>
        <v>2.9733059548254621</v>
      </c>
      <c r="D417" s="3">
        <v>76.5</v>
      </c>
      <c r="E417" s="2">
        <v>8.9</v>
      </c>
      <c r="F417" s="3">
        <v>1</v>
      </c>
      <c r="G417" s="3">
        <v>0</v>
      </c>
      <c r="H417" s="3">
        <v>76.5</v>
      </c>
      <c r="I417" s="2">
        <v>8.9</v>
      </c>
    </row>
    <row r="418" spans="1:9">
      <c r="A418" s="1">
        <v>37646</v>
      </c>
      <c r="B418" s="1">
        <v>39082</v>
      </c>
      <c r="C418" s="2">
        <f t="shared" si="9"/>
        <v>3.9315537303216974</v>
      </c>
      <c r="D418" s="3">
        <v>76.599999999999994</v>
      </c>
      <c r="E418" s="2">
        <v>11.9</v>
      </c>
      <c r="F418" s="3">
        <v>0</v>
      </c>
      <c r="G418" s="3">
        <v>0</v>
      </c>
      <c r="H418" s="3">
        <v>76.599999999999994</v>
      </c>
      <c r="I418" s="2">
        <v>11.9</v>
      </c>
    </row>
    <row r="419" spans="1:9">
      <c r="A419" s="1">
        <v>38215</v>
      </c>
      <c r="B419" s="1">
        <v>39082</v>
      </c>
      <c r="C419" s="2">
        <f t="shared" si="9"/>
        <v>2.3737166324435317</v>
      </c>
      <c r="D419" s="3">
        <v>76.599999999999994</v>
      </c>
      <c r="E419" s="2">
        <v>8.9</v>
      </c>
      <c r="F419" s="3">
        <v>0</v>
      </c>
      <c r="G419" s="3">
        <v>0</v>
      </c>
      <c r="H419" s="3">
        <v>76.599999999999994</v>
      </c>
      <c r="I419" s="2">
        <v>8.9</v>
      </c>
    </row>
    <row r="420" spans="1:9">
      <c r="A420" s="1">
        <v>37757</v>
      </c>
      <c r="B420" s="1">
        <v>39082</v>
      </c>
      <c r="C420" s="2">
        <f t="shared" si="9"/>
        <v>3.6276522929500343</v>
      </c>
      <c r="D420" s="3">
        <v>76.7</v>
      </c>
      <c r="E420" s="2">
        <v>7.8</v>
      </c>
      <c r="F420" s="3">
        <v>1</v>
      </c>
      <c r="G420" s="3">
        <v>1</v>
      </c>
      <c r="H420" s="3">
        <v>76.7</v>
      </c>
      <c r="I420" s="2">
        <v>7.8</v>
      </c>
    </row>
    <row r="421" spans="1:9">
      <c r="A421" s="1">
        <v>37817</v>
      </c>
      <c r="B421" s="1">
        <v>39082</v>
      </c>
      <c r="C421" s="2">
        <f t="shared" si="9"/>
        <v>3.463381245722108</v>
      </c>
      <c r="D421" s="3">
        <v>76.8</v>
      </c>
      <c r="E421" s="2">
        <v>10.3</v>
      </c>
      <c r="F421" s="3">
        <v>0</v>
      </c>
      <c r="G421" s="3">
        <v>1</v>
      </c>
      <c r="H421" s="3">
        <v>76.8</v>
      </c>
      <c r="I421" s="2">
        <v>10.3</v>
      </c>
    </row>
    <row r="422" spans="1:9">
      <c r="A422" s="1">
        <v>38078</v>
      </c>
      <c r="B422" s="1">
        <v>39082</v>
      </c>
      <c r="C422" s="2">
        <f t="shared" si="9"/>
        <v>2.7488021902806299</v>
      </c>
      <c r="D422" s="3">
        <v>76.8</v>
      </c>
      <c r="E422" s="2">
        <v>11</v>
      </c>
      <c r="F422" s="3">
        <v>0</v>
      </c>
      <c r="G422" s="3">
        <v>1</v>
      </c>
      <c r="H422" s="3">
        <v>76.8</v>
      </c>
      <c r="I422" s="2">
        <v>11</v>
      </c>
    </row>
    <row r="423" spans="1:9">
      <c r="A423" s="1">
        <v>38310</v>
      </c>
      <c r="B423" s="1">
        <v>39082</v>
      </c>
      <c r="C423" s="2">
        <f t="shared" si="9"/>
        <v>2.1136208076659821</v>
      </c>
      <c r="D423" s="3">
        <v>76.8</v>
      </c>
      <c r="E423" s="2">
        <v>9</v>
      </c>
      <c r="F423" s="3">
        <v>0</v>
      </c>
      <c r="G423" s="3">
        <v>0</v>
      </c>
      <c r="H423" s="3">
        <v>76.8</v>
      </c>
      <c r="I423" s="2">
        <v>9</v>
      </c>
    </row>
    <row r="424" spans="1:9">
      <c r="A424" s="1">
        <v>38057</v>
      </c>
      <c r="B424" s="1">
        <v>39082</v>
      </c>
      <c r="C424" s="2">
        <f t="shared" si="9"/>
        <v>2.8062970568104038</v>
      </c>
      <c r="D424" s="3">
        <v>76.900000000000006</v>
      </c>
      <c r="E424" s="2">
        <v>10.199999999999999</v>
      </c>
      <c r="F424" s="3">
        <v>1</v>
      </c>
      <c r="G424" s="3">
        <v>0</v>
      </c>
      <c r="H424" s="3">
        <v>76.900000000000006</v>
      </c>
      <c r="I424" s="2">
        <v>10.199999999999999</v>
      </c>
    </row>
    <row r="425" spans="1:9">
      <c r="A425" s="1">
        <v>37591</v>
      </c>
      <c r="B425" s="1">
        <v>39082</v>
      </c>
      <c r="C425" s="2">
        <f t="shared" si="9"/>
        <v>4.0821355236139629</v>
      </c>
      <c r="D425" s="3">
        <v>76.900000000000006</v>
      </c>
      <c r="E425" s="2">
        <v>9.6</v>
      </c>
      <c r="F425" s="3">
        <v>1</v>
      </c>
      <c r="G425" s="3">
        <v>0</v>
      </c>
      <c r="H425" s="3">
        <v>76.900000000000006</v>
      </c>
      <c r="I425" s="2">
        <v>9.6</v>
      </c>
    </row>
    <row r="426" spans="1:9">
      <c r="A426" s="1">
        <v>38164</v>
      </c>
      <c r="B426" s="1">
        <v>39082</v>
      </c>
      <c r="C426" s="2">
        <f t="shared" si="9"/>
        <v>2.5133470225872689</v>
      </c>
      <c r="D426" s="3">
        <v>76.900000000000006</v>
      </c>
      <c r="E426" s="2">
        <v>9.5</v>
      </c>
      <c r="F426" s="3">
        <v>0</v>
      </c>
      <c r="G426" s="3">
        <v>1</v>
      </c>
      <c r="H426" s="3">
        <v>76.900000000000006</v>
      </c>
      <c r="I426" s="2">
        <v>9.5</v>
      </c>
    </row>
    <row r="427" spans="1:9">
      <c r="A427" s="1">
        <v>37690</v>
      </c>
      <c r="B427" s="1">
        <v>39082</v>
      </c>
      <c r="C427" s="2">
        <f t="shared" si="9"/>
        <v>3.8110882956878851</v>
      </c>
      <c r="D427" s="3">
        <v>77</v>
      </c>
      <c r="E427" s="2">
        <v>9.4</v>
      </c>
      <c r="F427" s="3">
        <v>0</v>
      </c>
      <c r="G427" s="3">
        <v>1</v>
      </c>
      <c r="H427" s="3">
        <v>77</v>
      </c>
      <c r="I427" s="2">
        <v>9.4</v>
      </c>
    </row>
    <row r="428" spans="1:9">
      <c r="A428" s="1">
        <v>37868</v>
      </c>
      <c r="B428" s="1">
        <v>39082</v>
      </c>
      <c r="C428" s="2">
        <f t="shared" si="9"/>
        <v>3.3237508555783708</v>
      </c>
      <c r="D428" s="3">
        <v>77</v>
      </c>
      <c r="E428" s="2">
        <v>10.199999999999999</v>
      </c>
      <c r="F428" s="3">
        <v>0</v>
      </c>
      <c r="G428" s="3">
        <v>0</v>
      </c>
      <c r="H428" s="3">
        <v>77</v>
      </c>
      <c r="I428" s="2">
        <v>10.199999999999999</v>
      </c>
    </row>
    <row r="429" spans="1:9">
      <c r="A429" s="1">
        <v>37735</v>
      </c>
      <c r="B429" s="1">
        <v>39082</v>
      </c>
      <c r="C429" s="2">
        <f t="shared" si="9"/>
        <v>3.6878850102669403</v>
      </c>
      <c r="D429" s="3">
        <v>77</v>
      </c>
      <c r="E429" s="2">
        <v>10</v>
      </c>
      <c r="F429" s="3">
        <v>1</v>
      </c>
      <c r="G429" s="3">
        <v>0</v>
      </c>
      <c r="H429" s="3">
        <v>77</v>
      </c>
      <c r="I429" s="2">
        <v>10</v>
      </c>
    </row>
    <row r="430" spans="1:9">
      <c r="A430" s="1">
        <v>38154</v>
      </c>
      <c r="B430" s="1">
        <v>39082</v>
      </c>
      <c r="C430" s="2">
        <f t="shared" si="9"/>
        <v>2.5407255304585901</v>
      </c>
      <c r="D430" s="3">
        <v>77</v>
      </c>
      <c r="E430" s="2">
        <v>8.9</v>
      </c>
      <c r="F430" s="3">
        <v>1</v>
      </c>
      <c r="G430" s="3">
        <v>1</v>
      </c>
      <c r="H430" s="3">
        <v>77</v>
      </c>
      <c r="I430" s="2">
        <v>8.9</v>
      </c>
    </row>
    <row r="431" spans="1:9">
      <c r="A431" s="1">
        <v>37682</v>
      </c>
      <c r="B431" s="1">
        <v>39082</v>
      </c>
      <c r="C431" s="2">
        <f t="shared" si="9"/>
        <v>3.8329911019849416</v>
      </c>
      <c r="D431" s="3">
        <v>77.099999999999994</v>
      </c>
      <c r="E431" s="2">
        <v>10.1</v>
      </c>
      <c r="F431" s="3">
        <v>1</v>
      </c>
      <c r="G431" s="3">
        <v>0</v>
      </c>
      <c r="H431" s="3">
        <v>77.099999999999994</v>
      </c>
      <c r="I431" s="2">
        <v>10.1</v>
      </c>
    </row>
    <row r="432" spans="1:9">
      <c r="A432" s="1">
        <v>38255</v>
      </c>
      <c r="B432" s="1">
        <v>39082</v>
      </c>
      <c r="C432" s="2">
        <f t="shared" si="9"/>
        <v>2.2642026009582477</v>
      </c>
      <c r="D432" s="3">
        <v>77.2</v>
      </c>
      <c r="E432" s="2">
        <v>9.4</v>
      </c>
      <c r="F432" s="3">
        <v>1</v>
      </c>
      <c r="G432" s="3">
        <v>0</v>
      </c>
      <c r="H432" s="3">
        <v>77.2</v>
      </c>
      <c r="I432" s="2">
        <v>9.4</v>
      </c>
    </row>
    <row r="433" spans="1:9">
      <c r="A433" s="1">
        <v>38150</v>
      </c>
      <c r="B433" s="1">
        <v>39082</v>
      </c>
      <c r="C433" s="2">
        <f t="shared" si="9"/>
        <v>2.5516769336071183</v>
      </c>
      <c r="D433" s="3">
        <v>77.2</v>
      </c>
      <c r="E433" s="2">
        <v>9.6</v>
      </c>
      <c r="F433" s="3">
        <v>1</v>
      </c>
      <c r="G433" s="3">
        <v>0</v>
      </c>
      <c r="H433" s="3">
        <v>77.2</v>
      </c>
      <c r="I433" s="2">
        <v>9.6</v>
      </c>
    </row>
    <row r="434" spans="1:9">
      <c r="A434" s="1">
        <v>37667</v>
      </c>
      <c r="B434" s="1">
        <v>39082</v>
      </c>
      <c r="C434" s="2">
        <f t="shared" si="9"/>
        <v>3.8740588637919235</v>
      </c>
      <c r="D434" s="3">
        <v>77.2</v>
      </c>
      <c r="E434" s="2">
        <v>9.1999999999999993</v>
      </c>
      <c r="F434" s="3">
        <v>0</v>
      </c>
      <c r="G434" s="3">
        <v>0</v>
      </c>
      <c r="H434" s="3">
        <v>77.2</v>
      </c>
      <c r="I434" s="2">
        <v>9.1999999999999993</v>
      </c>
    </row>
    <row r="435" spans="1:9">
      <c r="A435" s="1">
        <v>37956</v>
      </c>
      <c r="B435" s="1">
        <v>39082</v>
      </c>
      <c r="C435" s="2">
        <f t="shared" si="9"/>
        <v>3.0828199863107462</v>
      </c>
      <c r="D435" s="3">
        <v>77.2</v>
      </c>
      <c r="E435" s="2">
        <v>9.8000000000000007</v>
      </c>
      <c r="F435" s="3">
        <v>1</v>
      </c>
      <c r="G435" s="3">
        <v>0</v>
      </c>
      <c r="H435" s="3">
        <v>77.2</v>
      </c>
      <c r="I435" s="2">
        <v>9.8000000000000007</v>
      </c>
    </row>
    <row r="436" spans="1:9">
      <c r="A436" s="1">
        <v>37803</v>
      </c>
      <c r="B436" s="1">
        <v>39082</v>
      </c>
      <c r="C436" s="2">
        <f t="shared" si="9"/>
        <v>3.5017111567419574</v>
      </c>
      <c r="D436" s="3">
        <v>77.2</v>
      </c>
      <c r="E436" s="2">
        <v>9.6</v>
      </c>
      <c r="F436" s="3">
        <v>1</v>
      </c>
      <c r="G436" s="3">
        <v>0</v>
      </c>
      <c r="H436" s="3">
        <v>77.2</v>
      </c>
      <c r="I436" s="2">
        <v>9.6</v>
      </c>
    </row>
    <row r="437" spans="1:9">
      <c r="A437" s="1">
        <v>38024</v>
      </c>
      <c r="B437" s="1">
        <v>39082</v>
      </c>
      <c r="C437" s="2">
        <f t="shared" si="9"/>
        <v>2.8966461327857633</v>
      </c>
      <c r="D437" s="3">
        <v>77.2</v>
      </c>
      <c r="E437" s="2">
        <v>8.9</v>
      </c>
      <c r="F437" s="3">
        <v>1</v>
      </c>
      <c r="G437" s="3">
        <v>0</v>
      </c>
      <c r="H437" s="3">
        <v>77.2</v>
      </c>
      <c r="I437" s="2">
        <v>8.9</v>
      </c>
    </row>
    <row r="438" spans="1:9">
      <c r="A438" s="1">
        <v>38049</v>
      </c>
      <c r="B438" s="1">
        <v>39082</v>
      </c>
      <c r="C438" s="2">
        <f t="shared" si="9"/>
        <v>2.8281998631074607</v>
      </c>
      <c r="D438" s="3">
        <v>77.2</v>
      </c>
      <c r="E438" s="2">
        <v>10</v>
      </c>
      <c r="F438" s="3">
        <v>1</v>
      </c>
      <c r="G438" s="3">
        <v>1</v>
      </c>
      <c r="H438" s="3">
        <v>77.2</v>
      </c>
      <c r="I438" s="2">
        <v>10</v>
      </c>
    </row>
    <row r="439" spans="1:9">
      <c r="A439" s="1">
        <v>38345</v>
      </c>
      <c r="B439" s="1">
        <v>39082</v>
      </c>
      <c r="C439" s="2">
        <f t="shared" si="9"/>
        <v>2.0177960301163584</v>
      </c>
      <c r="D439" s="3">
        <v>77.3</v>
      </c>
      <c r="E439" s="2">
        <v>9</v>
      </c>
      <c r="F439" s="3">
        <v>1</v>
      </c>
      <c r="G439" s="3">
        <v>1</v>
      </c>
      <c r="H439" s="3">
        <v>77.3</v>
      </c>
      <c r="I439" s="2">
        <v>9</v>
      </c>
    </row>
    <row r="440" spans="1:9">
      <c r="A440" s="1">
        <v>37828</v>
      </c>
      <c r="B440" s="1">
        <v>39082</v>
      </c>
      <c r="C440" s="2">
        <f t="shared" si="9"/>
        <v>3.4332648870636548</v>
      </c>
      <c r="D440" s="3">
        <v>77.3</v>
      </c>
      <c r="E440" s="2">
        <v>8.6</v>
      </c>
      <c r="F440" s="3">
        <v>1</v>
      </c>
      <c r="G440" s="3">
        <v>1</v>
      </c>
      <c r="H440" s="3">
        <v>77.3</v>
      </c>
      <c r="I440" s="2">
        <v>8.6</v>
      </c>
    </row>
    <row r="441" spans="1:9">
      <c r="A441" s="1">
        <v>37974</v>
      </c>
      <c r="B441" s="1">
        <v>39082</v>
      </c>
      <c r="C441" s="2">
        <f t="shared" si="9"/>
        <v>3.0335386721423681</v>
      </c>
      <c r="D441" s="3">
        <v>77.3</v>
      </c>
      <c r="E441" s="2">
        <v>8.6</v>
      </c>
      <c r="F441" s="3">
        <v>1</v>
      </c>
      <c r="G441" s="3">
        <v>0</v>
      </c>
      <c r="H441" s="3">
        <v>77.3</v>
      </c>
      <c r="I441" s="2">
        <v>8.6</v>
      </c>
    </row>
    <row r="442" spans="1:9">
      <c r="A442" s="1">
        <v>37854</v>
      </c>
      <c r="B442" s="1">
        <v>39082</v>
      </c>
      <c r="C442" s="2">
        <f t="shared" si="9"/>
        <v>3.3620807665982202</v>
      </c>
      <c r="D442" s="3">
        <v>77.400000000000006</v>
      </c>
      <c r="E442" s="2">
        <v>9.3000000000000007</v>
      </c>
      <c r="F442" s="3">
        <v>1</v>
      </c>
      <c r="G442" s="3">
        <v>0</v>
      </c>
      <c r="H442" s="3">
        <v>77.400000000000006</v>
      </c>
      <c r="I442" s="2">
        <v>9.3000000000000007</v>
      </c>
    </row>
    <row r="443" spans="1:9">
      <c r="A443" s="1">
        <v>37922</v>
      </c>
      <c r="B443" s="1">
        <v>39082</v>
      </c>
      <c r="C443" s="2">
        <f t="shared" si="9"/>
        <v>3.1759069130732374</v>
      </c>
      <c r="D443" s="3">
        <v>77.400000000000006</v>
      </c>
      <c r="E443" s="2">
        <v>9.1</v>
      </c>
      <c r="F443" s="3">
        <v>1</v>
      </c>
      <c r="G443" s="3">
        <v>1</v>
      </c>
      <c r="H443" s="3">
        <v>77.400000000000006</v>
      </c>
      <c r="I443" s="2">
        <v>9.1</v>
      </c>
    </row>
    <row r="444" spans="1:9">
      <c r="A444" s="1">
        <v>37970</v>
      </c>
      <c r="B444" s="1">
        <v>39082</v>
      </c>
      <c r="C444" s="2">
        <f t="shared" si="9"/>
        <v>3.0444900752908968</v>
      </c>
      <c r="D444" s="3">
        <v>77.400000000000006</v>
      </c>
      <c r="E444" s="2">
        <v>9</v>
      </c>
      <c r="F444" s="3">
        <v>0</v>
      </c>
      <c r="G444" s="3">
        <v>1</v>
      </c>
      <c r="H444" s="3">
        <v>77.400000000000006</v>
      </c>
      <c r="I444" s="2">
        <v>9</v>
      </c>
    </row>
    <row r="445" spans="1:9">
      <c r="A445" s="1">
        <v>38169</v>
      </c>
      <c r="B445" s="1">
        <v>39082</v>
      </c>
      <c r="C445" s="2">
        <f t="shared" si="9"/>
        <v>2.4996577686516086</v>
      </c>
      <c r="D445" s="3">
        <v>77.400000000000006</v>
      </c>
      <c r="E445" s="2">
        <v>8.4</v>
      </c>
      <c r="F445" s="3">
        <v>1</v>
      </c>
      <c r="G445" s="3">
        <v>0</v>
      </c>
      <c r="H445" s="3">
        <v>77.400000000000006</v>
      </c>
      <c r="I445" s="2">
        <v>8.4</v>
      </c>
    </row>
    <row r="446" spans="1:9">
      <c r="A446" s="1">
        <v>38092</v>
      </c>
      <c r="B446" s="1">
        <v>39082</v>
      </c>
      <c r="C446" s="2">
        <f t="shared" si="9"/>
        <v>2.7104722792607805</v>
      </c>
      <c r="D446" s="3">
        <v>77.5</v>
      </c>
      <c r="E446" s="2">
        <v>10.3</v>
      </c>
      <c r="F446" s="3">
        <v>0</v>
      </c>
      <c r="G446" s="3">
        <v>0</v>
      </c>
      <c r="H446" s="3">
        <v>77.5</v>
      </c>
      <c r="I446" s="2">
        <v>10.3</v>
      </c>
    </row>
    <row r="447" spans="1:9">
      <c r="A447" s="1">
        <v>38270</v>
      </c>
      <c r="B447" s="1">
        <v>39082</v>
      </c>
      <c r="C447" s="2">
        <f t="shared" si="9"/>
        <v>2.2231348391512662</v>
      </c>
      <c r="D447" s="3">
        <v>77.5</v>
      </c>
      <c r="E447" s="2">
        <v>8.6</v>
      </c>
      <c r="F447" s="3">
        <v>1</v>
      </c>
      <c r="G447" s="3">
        <v>1</v>
      </c>
      <c r="H447" s="3">
        <v>77.5</v>
      </c>
      <c r="I447" s="2">
        <v>8.6</v>
      </c>
    </row>
    <row r="448" spans="1:9">
      <c r="A448" s="1">
        <v>37929</v>
      </c>
      <c r="B448" s="1">
        <v>39082</v>
      </c>
      <c r="C448" s="2">
        <f t="shared" si="9"/>
        <v>3.1567419575633129</v>
      </c>
      <c r="D448" s="3">
        <v>77.5</v>
      </c>
      <c r="E448" s="2">
        <v>9.5</v>
      </c>
      <c r="F448" s="3">
        <v>1</v>
      </c>
      <c r="G448" s="3">
        <v>1</v>
      </c>
      <c r="H448" s="3">
        <v>77.5</v>
      </c>
      <c r="I448" s="2">
        <v>9.5</v>
      </c>
    </row>
    <row r="449" spans="1:9">
      <c r="A449" s="1">
        <v>37683</v>
      </c>
      <c r="B449" s="1">
        <v>39082</v>
      </c>
      <c r="C449" s="2">
        <f t="shared" si="9"/>
        <v>3.8302532511978096</v>
      </c>
      <c r="D449" s="3">
        <v>77.5</v>
      </c>
      <c r="E449" s="2">
        <v>9</v>
      </c>
      <c r="F449" s="3">
        <v>0</v>
      </c>
      <c r="G449" s="3">
        <v>1</v>
      </c>
      <c r="H449" s="3">
        <v>77.5</v>
      </c>
      <c r="I449" s="2">
        <v>9</v>
      </c>
    </row>
    <row r="450" spans="1:9">
      <c r="A450" s="1">
        <v>37921</v>
      </c>
      <c r="B450" s="1">
        <v>39082</v>
      </c>
      <c r="C450" s="2">
        <f t="shared" ref="C450:C513" si="10">(B450-A450)/365.25</f>
        <v>3.1786447638603694</v>
      </c>
      <c r="D450" s="3">
        <v>77.5</v>
      </c>
      <c r="E450" s="2">
        <v>9.1</v>
      </c>
      <c r="F450" s="3">
        <v>1</v>
      </c>
      <c r="G450" s="3">
        <v>0</v>
      </c>
      <c r="H450" s="3">
        <v>77.5</v>
      </c>
      <c r="I450" s="2">
        <v>9.1</v>
      </c>
    </row>
    <row r="451" spans="1:9">
      <c r="A451" s="1">
        <v>37788</v>
      </c>
      <c r="B451" s="1">
        <v>39082</v>
      </c>
      <c r="C451" s="2">
        <f t="shared" si="10"/>
        <v>3.5427789185489389</v>
      </c>
      <c r="D451" s="3">
        <v>77.5</v>
      </c>
      <c r="E451" s="2">
        <v>9.6999999999999993</v>
      </c>
      <c r="F451" s="3">
        <v>0</v>
      </c>
      <c r="G451" s="3">
        <v>0</v>
      </c>
      <c r="H451" s="3">
        <v>77.5</v>
      </c>
      <c r="I451" s="2">
        <v>9.6999999999999993</v>
      </c>
    </row>
    <row r="452" spans="1:9">
      <c r="A452" s="1">
        <v>38157</v>
      </c>
      <c r="B452" s="1">
        <v>39082</v>
      </c>
      <c r="C452" s="2">
        <f t="shared" si="10"/>
        <v>2.5325119780971939</v>
      </c>
      <c r="D452" s="3">
        <v>77.7</v>
      </c>
      <c r="E452" s="2">
        <v>9.4</v>
      </c>
      <c r="F452" s="3">
        <v>0</v>
      </c>
      <c r="G452" s="3">
        <v>0</v>
      </c>
      <c r="H452" s="3">
        <v>77.7</v>
      </c>
      <c r="I452" s="2">
        <v>9.4</v>
      </c>
    </row>
    <row r="453" spans="1:9">
      <c r="A453" s="1">
        <v>37712</v>
      </c>
      <c r="B453" s="1">
        <v>39082</v>
      </c>
      <c r="C453" s="2">
        <f t="shared" si="10"/>
        <v>3.7508555783709787</v>
      </c>
      <c r="D453" s="3">
        <v>77.7</v>
      </c>
      <c r="E453" s="2">
        <v>10</v>
      </c>
      <c r="F453" s="3">
        <v>1</v>
      </c>
      <c r="G453" s="3">
        <v>1</v>
      </c>
      <c r="H453" s="3">
        <v>77.7</v>
      </c>
      <c r="I453" s="2">
        <v>10</v>
      </c>
    </row>
    <row r="454" spans="1:9">
      <c r="A454" s="1">
        <v>38061</v>
      </c>
      <c r="B454" s="1">
        <v>39082</v>
      </c>
      <c r="C454" s="2">
        <f t="shared" si="10"/>
        <v>2.7953456536618755</v>
      </c>
      <c r="D454" s="3">
        <v>77.7</v>
      </c>
      <c r="E454" s="2">
        <v>9.4</v>
      </c>
      <c r="F454" s="3">
        <v>0</v>
      </c>
      <c r="G454" s="3">
        <v>0</v>
      </c>
      <c r="H454" s="3">
        <v>77.7</v>
      </c>
      <c r="I454" s="2">
        <v>9.4</v>
      </c>
    </row>
    <row r="455" spans="1:9">
      <c r="A455" s="1">
        <v>38047</v>
      </c>
      <c r="B455" s="1">
        <v>39082</v>
      </c>
      <c r="C455" s="2">
        <f t="shared" si="10"/>
        <v>2.8336755646817249</v>
      </c>
      <c r="D455" s="3">
        <v>77.7</v>
      </c>
      <c r="E455" s="2">
        <v>10.4</v>
      </c>
      <c r="F455" s="3">
        <v>1</v>
      </c>
      <c r="G455" s="3">
        <v>0</v>
      </c>
      <c r="H455" s="3">
        <v>77.7</v>
      </c>
      <c r="I455" s="2">
        <v>10.4</v>
      </c>
    </row>
    <row r="456" spans="1:9">
      <c r="A456" s="1">
        <v>37618</v>
      </c>
      <c r="B456" s="1">
        <v>39082</v>
      </c>
      <c r="C456" s="2">
        <f t="shared" si="10"/>
        <v>4.0082135523613962</v>
      </c>
      <c r="D456" s="3">
        <v>77.8</v>
      </c>
      <c r="E456" s="2">
        <v>9.8000000000000007</v>
      </c>
      <c r="F456" s="3">
        <v>0</v>
      </c>
      <c r="G456" s="3">
        <v>0</v>
      </c>
      <c r="H456" s="3">
        <v>77.8</v>
      </c>
      <c r="I456" s="2">
        <v>9.8000000000000007</v>
      </c>
    </row>
    <row r="457" spans="1:9">
      <c r="A457" s="1">
        <v>37778</v>
      </c>
      <c r="B457" s="1">
        <v>39082</v>
      </c>
      <c r="C457" s="2">
        <f t="shared" si="10"/>
        <v>3.57015742642026</v>
      </c>
      <c r="D457" s="3">
        <v>77.8</v>
      </c>
      <c r="E457" s="2">
        <v>10.1</v>
      </c>
      <c r="F457" s="3">
        <v>0</v>
      </c>
      <c r="G457" s="3">
        <v>1</v>
      </c>
      <c r="H457" s="3">
        <v>77.8</v>
      </c>
      <c r="I457" s="2">
        <v>10.1</v>
      </c>
    </row>
    <row r="458" spans="1:9">
      <c r="A458" s="1">
        <v>38037</v>
      </c>
      <c r="B458" s="1">
        <v>39082</v>
      </c>
      <c r="C458" s="2">
        <f t="shared" si="10"/>
        <v>2.861054072553046</v>
      </c>
      <c r="D458" s="3">
        <v>77.8</v>
      </c>
      <c r="E458" s="2">
        <v>10.8</v>
      </c>
      <c r="F458" s="3">
        <v>0</v>
      </c>
      <c r="G458" s="3">
        <v>1</v>
      </c>
      <c r="H458" s="3">
        <v>77.8</v>
      </c>
      <c r="I458" s="2">
        <v>10.8</v>
      </c>
    </row>
    <row r="459" spans="1:9">
      <c r="A459" s="1">
        <v>37712</v>
      </c>
      <c r="B459" s="1">
        <v>39082</v>
      </c>
      <c r="C459" s="2">
        <f t="shared" si="10"/>
        <v>3.7508555783709787</v>
      </c>
      <c r="D459" s="3">
        <v>77.8</v>
      </c>
      <c r="E459" s="2">
        <v>8</v>
      </c>
      <c r="F459" s="3">
        <v>0</v>
      </c>
      <c r="G459" s="3">
        <v>0</v>
      </c>
      <c r="H459" s="3">
        <v>77.8</v>
      </c>
      <c r="I459" s="2">
        <v>8</v>
      </c>
    </row>
    <row r="460" spans="1:9">
      <c r="A460" s="1">
        <v>37631</v>
      </c>
      <c r="B460" s="1">
        <v>39082</v>
      </c>
      <c r="C460" s="2">
        <f t="shared" si="10"/>
        <v>3.9726214921286789</v>
      </c>
      <c r="D460" s="3">
        <v>78</v>
      </c>
      <c r="E460" s="2">
        <v>8.9</v>
      </c>
      <c r="F460" s="3">
        <v>0</v>
      </c>
      <c r="G460" s="3">
        <v>1</v>
      </c>
      <c r="H460" s="3">
        <v>78</v>
      </c>
      <c r="I460" s="2">
        <v>8.9</v>
      </c>
    </row>
    <row r="461" spans="1:9">
      <c r="A461" s="1">
        <v>38000</v>
      </c>
      <c r="B461" s="1">
        <v>39082</v>
      </c>
      <c r="C461" s="2">
        <f t="shared" si="10"/>
        <v>2.9623545516769334</v>
      </c>
      <c r="D461" s="3">
        <v>78.099999999999994</v>
      </c>
      <c r="E461" s="2">
        <v>8.6999999999999993</v>
      </c>
      <c r="F461" s="3">
        <v>1</v>
      </c>
      <c r="G461" s="3">
        <v>0</v>
      </c>
      <c r="H461" s="3">
        <v>78.099999999999994</v>
      </c>
      <c r="I461" s="2">
        <v>8.6999999999999993</v>
      </c>
    </row>
    <row r="462" spans="1:9">
      <c r="A462" s="1">
        <v>37655</v>
      </c>
      <c r="B462" s="1">
        <v>39082</v>
      </c>
      <c r="C462" s="2">
        <f t="shared" si="10"/>
        <v>3.9069130732375084</v>
      </c>
      <c r="D462" s="3">
        <v>78.2</v>
      </c>
      <c r="E462" s="2">
        <v>10.1</v>
      </c>
      <c r="F462" s="3">
        <v>0</v>
      </c>
      <c r="G462" s="3">
        <v>1</v>
      </c>
      <c r="H462" s="3">
        <v>78.2</v>
      </c>
      <c r="I462" s="2">
        <v>10.1</v>
      </c>
    </row>
    <row r="463" spans="1:9">
      <c r="A463" s="1">
        <v>38258</v>
      </c>
      <c r="B463" s="1">
        <v>39082</v>
      </c>
      <c r="C463" s="2">
        <f t="shared" si="10"/>
        <v>2.2559890485968515</v>
      </c>
      <c r="D463" s="3">
        <v>78.2</v>
      </c>
      <c r="E463" s="2">
        <v>8.6999999999999993</v>
      </c>
      <c r="F463" s="3">
        <v>0</v>
      </c>
      <c r="G463" s="3">
        <v>1</v>
      </c>
      <c r="H463" s="3">
        <v>78.2</v>
      </c>
      <c r="I463" s="2">
        <v>8.6999999999999993</v>
      </c>
    </row>
    <row r="464" spans="1:9">
      <c r="A464" s="1">
        <v>37575</v>
      </c>
      <c r="B464" s="1">
        <v>39082</v>
      </c>
      <c r="C464" s="2">
        <f t="shared" si="10"/>
        <v>4.1259411362080769</v>
      </c>
      <c r="D464" s="3">
        <v>78.2</v>
      </c>
      <c r="E464" s="2">
        <v>10.1</v>
      </c>
      <c r="F464" s="3">
        <v>0</v>
      </c>
      <c r="G464" s="3">
        <v>0</v>
      </c>
      <c r="H464" s="3">
        <v>78.2</v>
      </c>
      <c r="I464" s="2">
        <v>10.1</v>
      </c>
    </row>
    <row r="465" spans="1:9">
      <c r="A465" s="1">
        <v>37836</v>
      </c>
      <c r="B465" s="1">
        <v>39082</v>
      </c>
      <c r="C465" s="2">
        <f t="shared" si="10"/>
        <v>3.4113620807665983</v>
      </c>
      <c r="D465" s="3">
        <v>78.2</v>
      </c>
      <c r="E465" s="2">
        <v>9.6999999999999993</v>
      </c>
      <c r="F465" s="3">
        <v>0</v>
      </c>
      <c r="G465" s="3">
        <v>1</v>
      </c>
      <c r="H465" s="3">
        <v>78.2</v>
      </c>
      <c r="I465" s="2">
        <v>9.6999999999999993</v>
      </c>
    </row>
    <row r="466" spans="1:9">
      <c r="A466" s="1">
        <v>38275</v>
      </c>
      <c r="B466" s="1">
        <v>39082</v>
      </c>
      <c r="C466" s="2">
        <f t="shared" si="10"/>
        <v>2.2094455852156059</v>
      </c>
      <c r="D466" s="3">
        <v>78.2</v>
      </c>
      <c r="E466" s="2">
        <v>9.1999999999999993</v>
      </c>
      <c r="F466" s="3">
        <v>1</v>
      </c>
      <c r="G466" s="3">
        <v>1</v>
      </c>
      <c r="H466" s="3">
        <v>78.2</v>
      </c>
      <c r="I466" s="2">
        <v>9.1999999999999993</v>
      </c>
    </row>
    <row r="467" spans="1:9">
      <c r="A467" s="1">
        <v>37803</v>
      </c>
      <c r="B467" s="1">
        <v>39082</v>
      </c>
      <c r="C467" s="2">
        <f t="shared" si="10"/>
        <v>3.5017111567419574</v>
      </c>
      <c r="D467" s="3">
        <v>78.2</v>
      </c>
      <c r="E467" s="2">
        <v>16.5</v>
      </c>
      <c r="F467" s="3">
        <v>1</v>
      </c>
      <c r="G467" s="3">
        <v>1</v>
      </c>
      <c r="H467" s="3">
        <v>78.2</v>
      </c>
      <c r="I467" s="2">
        <v>16.5</v>
      </c>
    </row>
    <row r="468" spans="1:9">
      <c r="A468" s="1">
        <v>37602</v>
      </c>
      <c r="B468" s="1">
        <v>39082</v>
      </c>
      <c r="C468" s="2">
        <f t="shared" si="10"/>
        <v>4.0520191649555102</v>
      </c>
      <c r="D468" s="3">
        <v>78.2</v>
      </c>
      <c r="E468" s="2">
        <v>8.8000000000000007</v>
      </c>
      <c r="F468" s="3">
        <v>0</v>
      </c>
      <c r="G468" s="3">
        <v>0</v>
      </c>
      <c r="H468" s="3">
        <v>78.2</v>
      </c>
      <c r="I468" s="2">
        <v>8.8000000000000007</v>
      </c>
    </row>
    <row r="469" spans="1:9">
      <c r="A469" s="1">
        <v>37849</v>
      </c>
      <c r="B469" s="1">
        <v>39082</v>
      </c>
      <c r="C469" s="2">
        <f t="shared" si="10"/>
        <v>3.375770020533881</v>
      </c>
      <c r="D469" s="3">
        <v>78.3</v>
      </c>
      <c r="E469" s="2">
        <v>8.6999999999999993</v>
      </c>
      <c r="F469" s="3">
        <v>1</v>
      </c>
      <c r="G469" s="3">
        <v>1</v>
      </c>
      <c r="H469" s="3">
        <v>78.3</v>
      </c>
      <c r="I469" s="2">
        <v>8.6999999999999993</v>
      </c>
    </row>
    <row r="470" spans="1:9">
      <c r="A470" s="1">
        <v>38330</v>
      </c>
      <c r="B470" s="1">
        <v>39082</v>
      </c>
      <c r="C470" s="2">
        <f t="shared" si="10"/>
        <v>2.0588637919233403</v>
      </c>
      <c r="D470" s="3">
        <v>78.3</v>
      </c>
      <c r="E470" s="2">
        <v>11.2</v>
      </c>
      <c r="F470" s="3">
        <v>0</v>
      </c>
      <c r="G470" s="3">
        <v>1</v>
      </c>
      <c r="H470" s="3">
        <v>78.3</v>
      </c>
      <c r="I470" s="2">
        <v>11.2</v>
      </c>
    </row>
    <row r="471" spans="1:9">
      <c r="A471" s="1">
        <v>38032</v>
      </c>
      <c r="B471" s="1">
        <v>39082</v>
      </c>
      <c r="C471" s="2">
        <f t="shared" si="10"/>
        <v>2.8747433264887063</v>
      </c>
      <c r="D471" s="3">
        <v>78.3</v>
      </c>
      <c r="E471" s="2">
        <v>10.6</v>
      </c>
      <c r="F471" s="3">
        <v>0</v>
      </c>
      <c r="G471" s="3">
        <v>0</v>
      </c>
      <c r="H471" s="3">
        <v>78.3</v>
      </c>
      <c r="I471" s="2">
        <v>10.6</v>
      </c>
    </row>
    <row r="472" spans="1:9">
      <c r="A472" s="1">
        <v>37754</v>
      </c>
      <c r="B472" s="1">
        <v>39082</v>
      </c>
      <c r="C472" s="2">
        <f t="shared" si="10"/>
        <v>3.6358658453114305</v>
      </c>
      <c r="D472" s="3">
        <v>78.3</v>
      </c>
      <c r="E472" s="2">
        <v>8.9</v>
      </c>
      <c r="F472" s="3">
        <v>0</v>
      </c>
      <c r="G472" s="3">
        <v>1</v>
      </c>
      <c r="H472" s="3">
        <v>78.3</v>
      </c>
      <c r="I472" s="2">
        <v>8.9</v>
      </c>
    </row>
    <row r="473" spans="1:9">
      <c r="A473" s="1">
        <v>38135</v>
      </c>
      <c r="B473" s="1">
        <v>39082</v>
      </c>
      <c r="C473" s="2">
        <f t="shared" si="10"/>
        <v>2.5927446954140998</v>
      </c>
      <c r="D473" s="3">
        <v>78.3</v>
      </c>
      <c r="E473" s="2">
        <v>9.3000000000000007</v>
      </c>
      <c r="F473" s="3">
        <v>0</v>
      </c>
      <c r="G473" s="3">
        <v>1</v>
      </c>
      <c r="H473" s="3">
        <v>78.3</v>
      </c>
      <c r="I473" s="2">
        <v>9.3000000000000007</v>
      </c>
    </row>
    <row r="474" spans="1:9">
      <c r="A474" s="1">
        <v>37833</v>
      </c>
      <c r="B474" s="1">
        <v>39082</v>
      </c>
      <c r="C474" s="2">
        <f t="shared" si="10"/>
        <v>3.4195756331279945</v>
      </c>
      <c r="D474" s="3">
        <v>78.400000000000006</v>
      </c>
      <c r="E474" s="2">
        <v>10.199999999999999</v>
      </c>
      <c r="F474" s="3">
        <v>0</v>
      </c>
      <c r="G474" s="3">
        <v>0</v>
      </c>
      <c r="H474" s="3">
        <v>78.400000000000006</v>
      </c>
      <c r="I474" s="2">
        <v>10.199999999999999</v>
      </c>
    </row>
    <row r="475" spans="1:9">
      <c r="A475" s="1">
        <v>37931</v>
      </c>
      <c r="B475" s="1">
        <v>39082</v>
      </c>
      <c r="C475" s="2">
        <f t="shared" si="10"/>
        <v>3.1512662559890487</v>
      </c>
      <c r="D475" s="3">
        <v>78.400000000000006</v>
      </c>
      <c r="E475" s="2">
        <v>8.9</v>
      </c>
      <c r="F475" s="3">
        <v>1</v>
      </c>
      <c r="G475" s="3">
        <v>0</v>
      </c>
      <c r="H475" s="3">
        <v>78.400000000000006</v>
      </c>
      <c r="I475" s="2">
        <v>8.9</v>
      </c>
    </row>
    <row r="476" spans="1:9">
      <c r="A476" s="1">
        <v>37469</v>
      </c>
      <c r="B476" s="1">
        <v>39082</v>
      </c>
      <c r="C476" s="2">
        <f t="shared" si="10"/>
        <v>4.4161533196440796</v>
      </c>
      <c r="D476" s="3">
        <v>78.400000000000006</v>
      </c>
      <c r="E476" s="2">
        <v>10</v>
      </c>
      <c r="F476" s="3">
        <v>0</v>
      </c>
      <c r="G476" s="3">
        <v>1</v>
      </c>
      <c r="H476" s="3">
        <v>78.400000000000006</v>
      </c>
      <c r="I476" s="2">
        <v>10</v>
      </c>
    </row>
    <row r="477" spans="1:9">
      <c r="A477" s="1">
        <v>37822</v>
      </c>
      <c r="B477" s="1">
        <v>39082</v>
      </c>
      <c r="C477" s="2">
        <f t="shared" si="10"/>
        <v>3.4496919917864477</v>
      </c>
      <c r="D477" s="3">
        <v>78.5</v>
      </c>
      <c r="E477" s="2">
        <v>9.6999999999999993</v>
      </c>
      <c r="F477" s="3">
        <v>0</v>
      </c>
      <c r="G477" s="3">
        <v>0</v>
      </c>
      <c r="H477" s="3">
        <v>78.5</v>
      </c>
      <c r="I477" s="2">
        <v>9.6999999999999993</v>
      </c>
    </row>
    <row r="478" spans="1:9">
      <c r="A478" s="1">
        <v>37679</v>
      </c>
      <c r="B478" s="1">
        <v>39082</v>
      </c>
      <c r="C478" s="2">
        <f t="shared" si="10"/>
        <v>3.8412046543463383</v>
      </c>
      <c r="D478" s="3">
        <v>78.5</v>
      </c>
      <c r="E478" s="2">
        <v>8.9</v>
      </c>
      <c r="F478" s="3">
        <v>0</v>
      </c>
      <c r="G478" s="3">
        <v>0</v>
      </c>
      <c r="H478" s="3">
        <v>78.5</v>
      </c>
      <c r="I478" s="2">
        <v>8.9</v>
      </c>
    </row>
    <row r="479" spans="1:9">
      <c r="A479" s="1">
        <v>37742</v>
      </c>
      <c r="B479" s="1">
        <v>39082</v>
      </c>
      <c r="C479" s="2">
        <f t="shared" si="10"/>
        <v>3.6687200547570158</v>
      </c>
      <c r="D479" s="3">
        <v>78.5</v>
      </c>
      <c r="E479" s="2">
        <v>9.6</v>
      </c>
      <c r="F479" s="3">
        <v>1</v>
      </c>
      <c r="G479" s="3">
        <v>1</v>
      </c>
      <c r="H479" s="3">
        <v>78.5</v>
      </c>
      <c r="I479" s="2">
        <v>9.6</v>
      </c>
    </row>
    <row r="480" spans="1:9">
      <c r="A480" s="1">
        <v>37785</v>
      </c>
      <c r="B480" s="1">
        <v>39082</v>
      </c>
      <c r="C480" s="2">
        <f t="shared" si="10"/>
        <v>3.5509924709103355</v>
      </c>
      <c r="D480" s="3">
        <v>78.5</v>
      </c>
      <c r="E480" s="2">
        <v>8.8000000000000007</v>
      </c>
      <c r="F480" s="3">
        <v>0</v>
      </c>
      <c r="G480" s="3">
        <v>0</v>
      </c>
      <c r="H480" s="3">
        <v>78.5</v>
      </c>
      <c r="I480" s="2">
        <v>8.8000000000000007</v>
      </c>
    </row>
    <row r="481" spans="1:9">
      <c r="A481" s="1">
        <v>37834</v>
      </c>
      <c r="B481" s="1">
        <v>39082</v>
      </c>
      <c r="C481" s="2">
        <f t="shared" si="10"/>
        <v>3.4168377823408624</v>
      </c>
      <c r="D481" s="3">
        <v>78.5</v>
      </c>
      <c r="E481" s="2">
        <v>9.6</v>
      </c>
      <c r="F481" s="3">
        <v>0</v>
      </c>
      <c r="G481" s="3">
        <v>1</v>
      </c>
      <c r="H481" s="3">
        <v>78.5</v>
      </c>
      <c r="I481" s="2">
        <v>9.6</v>
      </c>
    </row>
    <row r="482" spans="1:9">
      <c r="A482" s="1">
        <v>37506</v>
      </c>
      <c r="B482" s="1">
        <v>39082</v>
      </c>
      <c r="C482" s="2">
        <f t="shared" si="10"/>
        <v>4.3148528405201914</v>
      </c>
      <c r="D482" s="3">
        <v>78.5</v>
      </c>
      <c r="E482" s="2">
        <v>8.8000000000000007</v>
      </c>
      <c r="F482" s="3">
        <v>0</v>
      </c>
      <c r="G482" s="3">
        <v>0</v>
      </c>
      <c r="H482" s="3">
        <v>78.5</v>
      </c>
      <c r="I482" s="2">
        <v>8.8000000000000007</v>
      </c>
    </row>
    <row r="483" spans="1:9">
      <c r="A483" s="1">
        <v>38238</v>
      </c>
      <c r="B483" s="1">
        <v>39082</v>
      </c>
      <c r="C483" s="2">
        <f t="shared" si="10"/>
        <v>2.3107460643394937</v>
      </c>
      <c r="D483" s="3">
        <v>78.599999999999994</v>
      </c>
      <c r="E483" s="2">
        <v>8.6999999999999993</v>
      </c>
      <c r="F483" s="3">
        <v>1</v>
      </c>
      <c r="G483" s="3">
        <v>0</v>
      </c>
      <c r="H483" s="3">
        <v>78.599999999999994</v>
      </c>
      <c r="I483" s="2">
        <v>8.6999999999999993</v>
      </c>
    </row>
    <row r="484" spans="1:9">
      <c r="A484" s="1">
        <v>37921</v>
      </c>
      <c r="B484" s="1">
        <v>39082</v>
      </c>
      <c r="C484" s="2">
        <f t="shared" si="10"/>
        <v>3.1786447638603694</v>
      </c>
      <c r="D484" s="3">
        <v>78.7</v>
      </c>
      <c r="E484" s="2">
        <v>11</v>
      </c>
      <c r="F484" s="3">
        <v>1</v>
      </c>
      <c r="G484" s="3">
        <v>1</v>
      </c>
      <c r="H484" s="3">
        <v>78.7</v>
      </c>
      <c r="I484" s="2">
        <v>11</v>
      </c>
    </row>
    <row r="485" spans="1:9">
      <c r="A485" s="1">
        <v>37572</v>
      </c>
      <c r="B485" s="1">
        <v>39082</v>
      </c>
      <c r="C485" s="2">
        <f t="shared" si="10"/>
        <v>4.1341546885694731</v>
      </c>
      <c r="D485" s="3">
        <v>78.7</v>
      </c>
      <c r="E485" s="2">
        <v>8.6999999999999993</v>
      </c>
      <c r="F485" s="3">
        <v>0</v>
      </c>
      <c r="G485" s="3">
        <v>0</v>
      </c>
      <c r="H485" s="3">
        <v>78.7</v>
      </c>
      <c r="I485" s="2">
        <v>8.6999999999999993</v>
      </c>
    </row>
    <row r="486" spans="1:9">
      <c r="A486" s="1">
        <v>37999</v>
      </c>
      <c r="B486" s="1">
        <v>39082</v>
      </c>
      <c r="C486" s="2">
        <f t="shared" si="10"/>
        <v>2.9650924024640659</v>
      </c>
      <c r="D486" s="3">
        <v>78.8</v>
      </c>
      <c r="E486" s="2">
        <v>10.3</v>
      </c>
      <c r="F486" s="3">
        <v>0</v>
      </c>
      <c r="G486" s="3">
        <v>0</v>
      </c>
      <c r="H486" s="3">
        <v>78.8</v>
      </c>
      <c r="I486" s="2">
        <v>10.3</v>
      </c>
    </row>
    <row r="487" spans="1:9">
      <c r="A487" s="1">
        <v>37740</v>
      </c>
      <c r="B487" s="1">
        <v>39082</v>
      </c>
      <c r="C487" s="2">
        <f t="shared" si="10"/>
        <v>3.6741957563312799</v>
      </c>
      <c r="D487" s="3">
        <v>78.8</v>
      </c>
      <c r="E487" s="2">
        <v>9.8000000000000007</v>
      </c>
      <c r="F487" s="3">
        <v>1</v>
      </c>
      <c r="G487" s="3">
        <v>1</v>
      </c>
      <c r="H487" s="3">
        <v>78.8</v>
      </c>
      <c r="I487" s="2">
        <v>9.8000000000000007</v>
      </c>
    </row>
    <row r="488" spans="1:9">
      <c r="A488" s="1">
        <v>38160</v>
      </c>
      <c r="B488" s="1">
        <v>39082</v>
      </c>
      <c r="C488" s="2">
        <f t="shared" si="10"/>
        <v>2.5242984257357972</v>
      </c>
      <c r="D488" s="3">
        <v>78.8</v>
      </c>
      <c r="E488" s="2">
        <v>9.6</v>
      </c>
      <c r="F488" s="3">
        <v>0</v>
      </c>
      <c r="G488" s="3">
        <v>1</v>
      </c>
      <c r="H488" s="3">
        <v>78.8</v>
      </c>
      <c r="I488" s="2">
        <v>9.6</v>
      </c>
    </row>
    <row r="489" spans="1:9">
      <c r="A489" s="1">
        <v>37622</v>
      </c>
      <c r="B489" s="1">
        <v>39082</v>
      </c>
      <c r="C489" s="2">
        <f t="shared" si="10"/>
        <v>3.9972621492128679</v>
      </c>
      <c r="D489" s="3">
        <v>78.8</v>
      </c>
      <c r="E489" s="2">
        <v>9.4</v>
      </c>
      <c r="F489" s="3">
        <v>0</v>
      </c>
      <c r="G489" s="3">
        <v>0</v>
      </c>
      <c r="H489" s="3">
        <v>78.8</v>
      </c>
      <c r="I489" s="2">
        <v>9.4</v>
      </c>
    </row>
    <row r="490" spans="1:9">
      <c r="A490" s="1">
        <v>37582</v>
      </c>
      <c r="B490" s="1">
        <v>39082</v>
      </c>
      <c r="C490" s="2">
        <f t="shared" si="10"/>
        <v>4.1067761806981515</v>
      </c>
      <c r="D490" s="3">
        <v>78.900000000000006</v>
      </c>
      <c r="E490" s="2">
        <v>8.1</v>
      </c>
      <c r="F490" s="3">
        <v>0</v>
      </c>
      <c r="G490" s="3">
        <v>1</v>
      </c>
      <c r="H490" s="3">
        <v>78.900000000000006</v>
      </c>
      <c r="I490" s="2">
        <v>8.1</v>
      </c>
    </row>
    <row r="491" spans="1:9">
      <c r="A491" s="1">
        <v>38292</v>
      </c>
      <c r="B491" s="1">
        <v>39082</v>
      </c>
      <c r="C491" s="2">
        <f t="shared" si="10"/>
        <v>2.1629021218343598</v>
      </c>
      <c r="D491" s="3">
        <v>79</v>
      </c>
      <c r="E491" s="2">
        <v>11.9</v>
      </c>
      <c r="F491" s="3">
        <v>1</v>
      </c>
      <c r="G491" s="3">
        <v>0</v>
      </c>
      <c r="H491" s="3">
        <v>79</v>
      </c>
      <c r="I491" s="2">
        <v>11.9</v>
      </c>
    </row>
    <row r="492" spans="1:9">
      <c r="A492" s="1">
        <v>38255</v>
      </c>
      <c r="B492" s="1">
        <v>39082</v>
      </c>
      <c r="C492" s="2">
        <f t="shared" si="10"/>
        <v>2.2642026009582477</v>
      </c>
      <c r="D492" s="3">
        <v>79.099999999999994</v>
      </c>
      <c r="E492" s="2">
        <v>9.1999999999999993</v>
      </c>
      <c r="F492" s="3">
        <v>1</v>
      </c>
      <c r="G492" s="3">
        <v>0</v>
      </c>
      <c r="H492" s="3">
        <v>79.099999999999994</v>
      </c>
      <c r="I492" s="2">
        <v>9.1999999999999993</v>
      </c>
    </row>
    <row r="493" spans="1:9">
      <c r="A493" s="1">
        <v>38261</v>
      </c>
      <c r="B493" s="1">
        <v>39082</v>
      </c>
      <c r="C493" s="2">
        <f t="shared" si="10"/>
        <v>2.2477754962354553</v>
      </c>
      <c r="D493" s="3">
        <v>79.099999999999994</v>
      </c>
      <c r="E493" s="2">
        <v>10</v>
      </c>
      <c r="F493" s="3">
        <v>0</v>
      </c>
      <c r="G493" s="3">
        <v>1</v>
      </c>
      <c r="H493" s="3">
        <v>79.099999999999994</v>
      </c>
      <c r="I493" s="2">
        <v>10</v>
      </c>
    </row>
    <row r="494" spans="1:9">
      <c r="A494" s="1">
        <v>37926</v>
      </c>
      <c r="B494" s="1">
        <v>39082</v>
      </c>
      <c r="C494" s="2">
        <f t="shared" si="10"/>
        <v>3.1649555099247091</v>
      </c>
      <c r="D494" s="3">
        <v>79.2</v>
      </c>
      <c r="E494" s="2">
        <v>10.6</v>
      </c>
      <c r="F494" s="3">
        <v>0</v>
      </c>
      <c r="G494" s="3">
        <v>0</v>
      </c>
      <c r="H494" s="3">
        <v>79.2</v>
      </c>
      <c r="I494" s="2">
        <v>10.6</v>
      </c>
    </row>
    <row r="495" spans="1:9">
      <c r="A495" s="1">
        <v>37676</v>
      </c>
      <c r="B495" s="1">
        <v>39082</v>
      </c>
      <c r="C495" s="2">
        <f t="shared" si="10"/>
        <v>3.8494182067077345</v>
      </c>
      <c r="D495" s="3">
        <v>79.3</v>
      </c>
      <c r="E495" s="2">
        <v>9.4</v>
      </c>
      <c r="F495" s="3">
        <v>0</v>
      </c>
      <c r="G495" s="3">
        <v>0</v>
      </c>
      <c r="H495" s="3">
        <v>79.3</v>
      </c>
      <c r="I495" s="2">
        <v>9.4</v>
      </c>
    </row>
    <row r="496" spans="1:9">
      <c r="A496" s="1">
        <v>38145</v>
      </c>
      <c r="B496" s="1">
        <v>39082</v>
      </c>
      <c r="C496" s="2">
        <f t="shared" si="10"/>
        <v>2.5653661875427791</v>
      </c>
      <c r="D496" s="3">
        <v>79.3</v>
      </c>
      <c r="E496" s="2">
        <v>9.5</v>
      </c>
      <c r="F496" s="3">
        <v>0</v>
      </c>
      <c r="G496" s="3">
        <v>0</v>
      </c>
      <c r="H496" s="3">
        <v>79.3</v>
      </c>
      <c r="I496" s="2">
        <v>9.5</v>
      </c>
    </row>
    <row r="497" spans="1:9">
      <c r="A497" s="1">
        <v>37662</v>
      </c>
      <c r="B497" s="1">
        <v>39082</v>
      </c>
      <c r="C497" s="2">
        <f t="shared" si="10"/>
        <v>3.8877481177275839</v>
      </c>
      <c r="D497" s="3">
        <v>79.400000000000006</v>
      </c>
      <c r="E497" s="2">
        <v>10.8</v>
      </c>
      <c r="F497" s="3">
        <v>0</v>
      </c>
      <c r="G497" s="3">
        <v>0</v>
      </c>
      <c r="H497" s="3">
        <v>79.400000000000006</v>
      </c>
      <c r="I497" s="2">
        <v>10.8</v>
      </c>
    </row>
    <row r="498" spans="1:9">
      <c r="A498" s="1">
        <v>38320</v>
      </c>
      <c r="B498" s="1">
        <v>39082</v>
      </c>
      <c r="C498" s="2">
        <f t="shared" si="10"/>
        <v>2.086242299794661</v>
      </c>
      <c r="D498" s="3">
        <v>79.400000000000006</v>
      </c>
      <c r="E498" s="2">
        <v>11.5</v>
      </c>
      <c r="F498" s="3">
        <v>0</v>
      </c>
      <c r="G498" s="3">
        <v>1</v>
      </c>
      <c r="H498" s="3">
        <v>79.400000000000006</v>
      </c>
      <c r="I498" s="2">
        <v>11.5</v>
      </c>
    </row>
    <row r="499" spans="1:9">
      <c r="A499" s="1">
        <v>38183</v>
      </c>
      <c r="B499" s="1">
        <v>39082</v>
      </c>
      <c r="C499" s="2">
        <f t="shared" si="10"/>
        <v>2.4613278576317592</v>
      </c>
      <c r="D499" s="3">
        <v>79.400000000000006</v>
      </c>
      <c r="E499" s="2">
        <v>11.2</v>
      </c>
      <c r="F499" s="3">
        <v>0</v>
      </c>
      <c r="G499" s="3">
        <v>1</v>
      </c>
      <c r="H499" s="3">
        <v>79.400000000000006</v>
      </c>
      <c r="I499" s="2">
        <v>11.2</v>
      </c>
    </row>
    <row r="500" spans="1:9">
      <c r="A500" s="1">
        <v>37655</v>
      </c>
      <c r="B500" s="1">
        <v>39082</v>
      </c>
      <c r="C500" s="2">
        <f t="shared" si="10"/>
        <v>3.9069130732375084</v>
      </c>
      <c r="D500" s="3">
        <v>79.400000000000006</v>
      </c>
      <c r="E500" s="2">
        <v>10.1</v>
      </c>
      <c r="F500" s="3">
        <v>0</v>
      </c>
      <c r="G500" s="3">
        <v>0</v>
      </c>
      <c r="H500" s="3">
        <v>79.400000000000006</v>
      </c>
      <c r="I500" s="2">
        <v>10.1</v>
      </c>
    </row>
    <row r="501" spans="1:9">
      <c r="A501" s="1">
        <v>38162</v>
      </c>
      <c r="B501" s="1">
        <v>39082</v>
      </c>
      <c r="C501" s="2">
        <f t="shared" si="10"/>
        <v>2.5188227241615331</v>
      </c>
      <c r="D501" s="3">
        <v>79.5</v>
      </c>
      <c r="E501" s="2">
        <v>9.6999999999999993</v>
      </c>
      <c r="F501" s="3">
        <v>0</v>
      </c>
      <c r="G501" s="3">
        <v>0</v>
      </c>
      <c r="H501" s="3">
        <v>79.5</v>
      </c>
      <c r="I501" s="2">
        <v>9.6999999999999993</v>
      </c>
    </row>
    <row r="502" spans="1:9">
      <c r="A502" s="1">
        <v>38056</v>
      </c>
      <c r="B502" s="1">
        <v>39082</v>
      </c>
      <c r="C502" s="2">
        <f t="shared" si="10"/>
        <v>2.8090349075975358</v>
      </c>
      <c r="D502" s="3">
        <v>79.5</v>
      </c>
      <c r="E502" s="2">
        <v>9</v>
      </c>
      <c r="F502" s="3">
        <v>0</v>
      </c>
      <c r="G502" s="3">
        <v>1</v>
      </c>
      <c r="H502" s="3">
        <v>79.5</v>
      </c>
      <c r="I502" s="2">
        <v>9</v>
      </c>
    </row>
    <row r="503" spans="1:9">
      <c r="A503" s="1">
        <v>37486</v>
      </c>
      <c r="B503" s="1">
        <v>39082</v>
      </c>
      <c r="C503" s="2">
        <f t="shared" si="10"/>
        <v>4.3696098562628336</v>
      </c>
      <c r="D503" s="3">
        <v>79.599999999999994</v>
      </c>
      <c r="E503" s="2">
        <v>10</v>
      </c>
      <c r="F503" s="3">
        <v>0</v>
      </c>
      <c r="G503" s="3">
        <v>0</v>
      </c>
      <c r="H503" s="3">
        <v>79.599999999999994</v>
      </c>
      <c r="I503" s="2">
        <v>10</v>
      </c>
    </row>
    <row r="504" spans="1:9">
      <c r="A504" s="1">
        <v>37777</v>
      </c>
      <c r="B504" s="1">
        <v>39082</v>
      </c>
      <c r="C504" s="2">
        <f t="shared" si="10"/>
        <v>3.5728952772073921</v>
      </c>
      <c r="D504" s="3">
        <v>79.599999999999994</v>
      </c>
      <c r="E504" s="2">
        <v>9.4</v>
      </c>
      <c r="F504" s="3">
        <v>0</v>
      </c>
      <c r="G504" s="3">
        <v>0</v>
      </c>
      <c r="H504" s="3">
        <v>79.599999999999994</v>
      </c>
      <c r="I504" s="2">
        <v>9.4</v>
      </c>
    </row>
    <row r="505" spans="1:9">
      <c r="A505" s="1">
        <v>37726</v>
      </c>
      <c r="B505" s="1">
        <v>39082</v>
      </c>
      <c r="C505" s="2">
        <f t="shared" si="10"/>
        <v>3.7125256673511293</v>
      </c>
      <c r="D505" s="3">
        <v>79.599999999999994</v>
      </c>
      <c r="E505" s="2">
        <v>9.3000000000000007</v>
      </c>
      <c r="F505" s="3">
        <v>1</v>
      </c>
      <c r="G505" s="3">
        <v>1</v>
      </c>
      <c r="H505" s="3">
        <v>79.599999999999994</v>
      </c>
      <c r="I505" s="2">
        <v>9.3000000000000007</v>
      </c>
    </row>
    <row r="506" spans="1:9">
      <c r="A506" s="1">
        <v>37956</v>
      </c>
      <c r="B506" s="1">
        <v>39082</v>
      </c>
      <c r="C506" s="2">
        <f t="shared" si="10"/>
        <v>3.0828199863107462</v>
      </c>
      <c r="D506" s="3">
        <v>79.7</v>
      </c>
      <c r="E506" s="2">
        <v>9.4</v>
      </c>
      <c r="F506" s="3">
        <v>1</v>
      </c>
      <c r="G506" s="3">
        <v>1</v>
      </c>
      <c r="H506" s="3">
        <v>79.7</v>
      </c>
      <c r="I506" s="2">
        <v>9.4</v>
      </c>
    </row>
    <row r="507" spans="1:9">
      <c r="A507" s="1">
        <v>37950</v>
      </c>
      <c r="B507" s="1">
        <v>39082</v>
      </c>
      <c r="C507" s="2">
        <f t="shared" si="10"/>
        <v>3.0992470910335386</v>
      </c>
      <c r="D507" s="3">
        <v>79.7</v>
      </c>
      <c r="E507" s="2">
        <v>6.6</v>
      </c>
      <c r="F507" s="3">
        <v>1</v>
      </c>
      <c r="G507" s="3">
        <v>1</v>
      </c>
      <c r="H507" s="3">
        <v>79.7</v>
      </c>
      <c r="I507" s="2">
        <v>6.6</v>
      </c>
    </row>
    <row r="508" spans="1:9">
      <c r="A508" s="1">
        <v>37285</v>
      </c>
      <c r="B508" s="1">
        <v>39082</v>
      </c>
      <c r="C508" s="2">
        <f t="shared" si="10"/>
        <v>4.9199178644763863</v>
      </c>
      <c r="D508" s="3">
        <v>79.8</v>
      </c>
      <c r="E508" s="2">
        <v>11.5</v>
      </c>
      <c r="F508" s="3">
        <v>1</v>
      </c>
      <c r="G508" s="3">
        <v>0</v>
      </c>
      <c r="H508" s="3">
        <v>79.8</v>
      </c>
      <c r="I508" s="2">
        <v>11.5</v>
      </c>
    </row>
    <row r="509" spans="1:9">
      <c r="A509" s="1">
        <v>37669</v>
      </c>
      <c r="B509" s="1">
        <v>39082</v>
      </c>
      <c r="C509" s="2">
        <f t="shared" si="10"/>
        <v>3.868583162217659</v>
      </c>
      <c r="D509" s="3">
        <v>79.8</v>
      </c>
      <c r="E509" s="2">
        <v>9</v>
      </c>
      <c r="F509" s="3">
        <v>0</v>
      </c>
      <c r="G509" s="3">
        <v>0</v>
      </c>
      <c r="H509" s="3">
        <v>79.8</v>
      </c>
      <c r="I509" s="2">
        <v>9</v>
      </c>
    </row>
    <row r="510" spans="1:9">
      <c r="A510" s="1">
        <v>37653</v>
      </c>
      <c r="B510" s="1">
        <v>39082</v>
      </c>
      <c r="C510" s="2">
        <f t="shared" si="10"/>
        <v>3.9123887748117729</v>
      </c>
      <c r="D510" s="3">
        <v>79.900000000000006</v>
      </c>
      <c r="E510" s="2">
        <v>10.199999999999999</v>
      </c>
      <c r="F510" s="3">
        <v>0</v>
      </c>
      <c r="G510" s="3">
        <v>0</v>
      </c>
      <c r="H510" s="3">
        <v>79.900000000000006</v>
      </c>
      <c r="I510" s="2">
        <v>10.199999999999999</v>
      </c>
    </row>
    <row r="511" spans="1:9">
      <c r="A511" s="1">
        <v>37774</v>
      </c>
      <c r="B511" s="1">
        <v>39082</v>
      </c>
      <c r="C511" s="2">
        <f t="shared" si="10"/>
        <v>3.5811088295687883</v>
      </c>
      <c r="D511" s="3">
        <v>79.900000000000006</v>
      </c>
      <c r="E511" s="2">
        <v>9.1</v>
      </c>
      <c r="F511" s="3">
        <v>0</v>
      </c>
      <c r="G511" s="3">
        <v>1</v>
      </c>
      <c r="H511" s="3">
        <v>79.900000000000006</v>
      </c>
      <c r="I511" s="2">
        <v>9.1</v>
      </c>
    </row>
    <row r="512" spans="1:9">
      <c r="A512" s="1">
        <v>37970</v>
      </c>
      <c r="B512" s="1">
        <v>39082</v>
      </c>
      <c r="C512" s="2">
        <f t="shared" si="10"/>
        <v>3.0444900752908968</v>
      </c>
      <c r="D512" s="3">
        <v>79.900000000000006</v>
      </c>
      <c r="E512" s="2">
        <v>7.2</v>
      </c>
      <c r="F512" s="3">
        <v>1</v>
      </c>
      <c r="G512" s="3">
        <v>0</v>
      </c>
      <c r="H512" s="3">
        <v>79.900000000000006</v>
      </c>
      <c r="I512" s="2">
        <v>7.2</v>
      </c>
    </row>
    <row r="513" spans="1:9">
      <c r="A513" s="1">
        <v>38090</v>
      </c>
      <c r="B513" s="1">
        <v>39082</v>
      </c>
      <c r="C513" s="2">
        <f t="shared" si="10"/>
        <v>2.7159479808350446</v>
      </c>
      <c r="D513" s="3">
        <v>79.900000000000006</v>
      </c>
      <c r="E513" s="2">
        <v>9</v>
      </c>
      <c r="F513" s="3">
        <v>0</v>
      </c>
      <c r="G513" s="3">
        <v>0</v>
      </c>
      <c r="H513" s="3">
        <v>79.900000000000006</v>
      </c>
      <c r="I513" s="2">
        <v>9</v>
      </c>
    </row>
    <row r="514" spans="1:9">
      <c r="A514" s="1">
        <v>37534</v>
      </c>
      <c r="B514" s="1">
        <v>39082</v>
      </c>
      <c r="C514" s="2">
        <f t="shared" ref="C514:C577" si="11">(B514-A514)/365.25</f>
        <v>4.2381930184804926</v>
      </c>
      <c r="D514" s="3">
        <v>79.900000000000006</v>
      </c>
      <c r="E514" s="2">
        <v>9.6999999999999993</v>
      </c>
      <c r="F514" s="3">
        <v>0</v>
      </c>
      <c r="G514" s="3">
        <v>1</v>
      </c>
      <c r="H514" s="3">
        <v>79.900000000000006</v>
      </c>
      <c r="I514" s="2">
        <v>9.6999999999999993</v>
      </c>
    </row>
    <row r="515" spans="1:9">
      <c r="A515" s="1">
        <v>37695</v>
      </c>
      <c r="B515" s="1">
        <v>39082</v>
      </c>
      <c r="C515" s="2">
        <f t="shared" si="11"/>
        <v>3.7973990417522243</v>
      </c>
      <c r="D515" s="3">
        <v>79.900000000000006</v>
      </c>
      <c r="E515" s="2">
        <v>9.6</v>
      </c>
      <c r="F515" s="3">
        <v>0</v>
      </c>
      <c r="G515" s="3">
        <v>0</v>
      </c>
      <c r="H515" s="3">
        <v>79.900000000000006</v>
      </c>
      <c r="I515" s="2">
        <v>9.6</v>
      </c>
    </row>
    <row r="516" spans="1:9">
      <c r="A516" s="1">
        <v>37848</v>
      </c>
      <c r="B516" s="1">
        <v>39082</v>
      </c>
      <c r="C516" s="2">
        <f t="shared" si="11"/>
        <v>3.378507871321013</v>
      </c>
      <c r="D516" s="3">
        <v>79.900000000000006</v>
      </c>
      <c r="E516" s="2">
        <v>8.4</v>
      </c>
      <c r="F516" s="3">
        <v>0</v>
      </c>
      <c r="G516" s="3">
        <v>1</v>
      </c>
      <c r="H516" s="3">
        <v>79.900000000000006</v>
      </c>
      <c r="I516" s="2">
        <v>8.4</v>
      </c>
    </row>
    <row r="517" spans="1:9">
      <c r="A517" s="1">
        <v>38306</v>
      </c>
      <c r="B517" s="1">
        <v>39082</v>
      </c>
      <c r="C517" s="2">
        <f t="shared" si="11"/>
        <v>2.1245722108145104</v>
      </c>
      <c r="D517" s="3">
        <v>80</v>
      </c>
      <c r="E517" s="2">
        <v>10.7</v>
      </c>
      <c r="F517" s="3">
        <v>1</v>
      </c>
      <c r="G517" s="3">
        <v>1</v>
      </c>
      <c r="H517" s="3">
        <v>80</v>
      </c>
      <c r="I517" s="2">
        <v>10.7</v>
      </c>
    </row>
    <row r="518" spans="1:9">
      <c r="A518" s="1">
        <v>37474</v>
      </c>
      <c r="B518" s="1">
        <v>39082</v>
      </c>
      <c r="C518" s="2">
        <f t="shared" si="11"/>
        <v>4.4024640657084193</v>
      </c>
      <c r="D518" s="3">
        <v>80</v>
      </c>
      <c r="E518" s="2">
        <v>11.7</v>
      </c>
      <c r="F518" s="3">
        <v>0</v>
      </c>
      <c r="G518" s="3">
        <v>1</v>
      </c>
      <c r="H518" s="3">
        <v>80</v>
      </c>
      <c r="I518" s="2">
        <v>11.7</v>
      </c>
    </row>
    <row r="519" spans="1:9">
      <c r="A519" s="1">
        <v>37616</v>
      </c>
      <c r="B519" s="1">
        <v>39082</v>
      </c>
      <c r="C519" s="2">
        <f t="shared" si="11"/>
        <v>4.0136892539356603</v>
      </c>
      <c r="D519" s="3">
        <v>80</v>
      </c>
      <c r="E519" s="2">
        <v>10.1</v>
      </c>
      <c r="F519" s="3">
        <v>1</v>
      </c>
      <c r="G519" s="3">
        <v>0</v>
      </c>
      <c r="H519" s="3">
        <v>80</v>
      </c>
      <c r="I519" s="2">
        <v>10.1</v>
      </c>
    </row>
    <row r="520" spans="1:9">
      <c r="A520" s="1">
        <v>38236</v>
      </c>
      <c r="B520" s="1">
        <v>39082</v>
      </c>
      <c r="C520" s="2">
        <f t="shared" si="11"/>
        <v>2.3162217659137578</v>
      </c>
      <c r="D520" s="3">
        <v>80.099999999999994</v>
      </c>
      <c r="E520" s="2">
        <v>9.5</v>
      </c>
      <c r="F520" s="3">
        <v>1</v>
      </c>
      <c r="G520" s="3">
        <v>1</v>
      </c>
      <c r="H520" s="3">
        <v>80.099999999999994</v>
      </c>
      <c r="I520" s="2">
        <v>9.5</v>
      </c>
    </row>
    <row r="521" spans="1:9">
      <c r="A521" s="1">
        <v>38011</v>
      </c>
      <c r="B521" s="1">
        <v>39082</v>
      </c>
      <c r="C521" s="2">
        <f t="shared" si="11"/>
        <v>2.9322381930184807</v>
      </c>
      <c r="D521" s="3">
        <v>80.099999999999994</v>
      </c>
      <c r="E521" s="2">
        <v>9.4</v>
      </c>
      <c r="F521" s="3">
        <v>0</v>
      </c>
      <c r="G521" s="3">
        <v>1</v>
      </c>
      <c r="H521" s="3">
        <v>80.099999999999994</v>
      </c>
      <c r="I521" s="2">
        <v>9.4</v>
      </c>
    </row>
    <row r="522" spans="1:9">
      <c r="A522" s="1">
        <v>38329</v>
      </c>
      <c r="B522" s="1">
        <v>39082</v>
      </c>
      <c r="C522" s="2">
        <f t="shared" si="11"/>
        <v>2.0616016427104724</v>
      </c>
      <c r="D522" s="3">
        <v>80.099999999999994</v>
      </c>
      <c r="E522" s="2">
        <v>11</v>
      </c>
      <c r="F522" s="3">
        <v>1</v>
      </c>
      <c r="G522" s="3">
        <v>1</v>
      </c>
      <c r="H522" s="3">
        <v>80.099999999999994</v>
      </c>
      <c r="I522" s="2">
        <v>11</v>
      </c>
    </row>
    <row r="523" spans="1:9">
      <c r="A523" s="1">
        <v>37369</v>
      </c>
      <c r="B523" s="1">
        <v>39082</v>
      </c>
      <c r="C523" s="2">
        <f t="shared" si="11"/>
        <v>4.6899383983572891</v>
      </c>
      <c r="D523" s="3">
        <v>80.099999999999994</v>
      </c>
      <c r="E523" s="2">
        <v>9.1</v>
      </c>
      <c r="F523" s="3">
        <v>0</v>
      </c>
      <c r="G523" s="3">
        <v>1</v>
      </c>
      <c r="H523" s="3">
        <v>80.099999999999994</v>
      </c>
      <c r="I523" s="2">
        <v>9.1</v>
      </c>
    </row>
    <row r="524" spans="1:9">
      <c r="A524" s="1">
        <v>38188</v>
      </c>
      <c r="B524" s="1">
        <v>39082</v>
      </c>
      <c r="C524" s="2">
        <f t="shared" si="11"/>
        <v>2.4476386036960984</v>
      </c>
      <c r="D524" s="3">
        <v>80.099999999999994</v>
      </c>
      <c r="E524" s="2">
        <v>10</v>
      </c>
      <c r="F524" s="3">
        <v>0</v>
      </c>
      <c r="G524" s="3">
        <v>0</v>
      </c>
      <c r="H524" s="3">
        <v>80.099999999999994</v>
      </c>
      <c r="I524" s="2">
        <v>10</v>
      </c>
    </row>
    <row r="525" spans="1:9">
      <c r="A525" s="1">
        <v>37920</v>
      </c>
      <c r="B525" s="1">
        <v>39082</v>
      </c>
      <c r="C525" s="2">
        <f t="shared" si="11"/>
        <v>3.1813826146475015</v>
      </c>
      <c r="D525" s="3">
        <v>80.2</v>
      </c>
      <c r="E525" s="2">
        <v>9.8000000000000007</v>
      </c>
      <c r="F525" s="3">
        <v>0</v>
      </c>
      <c r="G525" s="3">
        <v>1</v>
      </c>
      <c r="H525" s="3">
        <v>80.2</v>
      </c>
      <c r="I525" s="2">
        <v>9.8000000000000007</v>
      </c>
    </row>
    <row r="526" spans="1:9">
      <c r="A526" s="1">
        <v>38347</v>
      </c>
      <c r="B526" s="1">
        <v>39082</v>
      </c>
      <c r="C526" s="2">
        <f t="shared" si="11"/>
        <v>2.0123203285420943</v>
      </c>
      <c r="D526" s="3">
        <v>80.2</v>
      </c>
      <c r="E526" s="2">
        <v>10.1</v>
      </c>
      <c r="F526" s="3">
        <v>1</v>
      </c>
      <c r="G526" s="3">
        <v>1</v>
      </c>
      <c r="H526" s="3">
        <v>80.2</v>
      </c>
      <c r="I526" s="2">
        <v>10.1</v>
      </c>
    </row>
    <row r="527" spans="1:9">
      <c r="A527" s="1">
        <v>38053</v>
      </c>
      <c r="B527" s="1">
        <v>39082</v>
      </c>
      <c r="C527" s="2">
        <f t="shared" si="11"/>
        <v>2.817248459958932</v>
      </c>
      <c r="D527" s="3">
        <v>80.2</v>
      </c>
      <c r="E527" s="2">
        <v>10.1</v>
      </c>
      <c r="F527" s="3">
        <v>0</v>
      </c>
      <c r="G527" s="3">
        <v>0</v>
      </c>
      <c r="H527" s="3">
        <v>80.2</v>
      </c>
      <c r="I527" s="2">
        <v>10.1</v>
      </c>
    </row>
    <row r="528" spans="1:9">
      <c r="A528" s="1">
        <v>37688</v>
      </c>
      <c r="B528" s="1">
        <v>39082</v>
      </c>
      <c r="C528" s="2">
        <f t="shared" si="11"/>
        <v>3.8165639972621492</v>
      </c>
      <c r="D528" s="3">
        <v>80.2</v>
      </c>
      <c r="E528" s="2">
        <v>8.8000000000000007</v>
      </c>
      <c r="F528" s="3">
        <v>0</v>
      </c>
      <c r="G528" s="3">
        <v>0</v>
      </c>
      <c r="H528" s="3">
        <v>80.2</v>
      </c>
      <c r="I528" s="2">
        <v>8.8000000000000007</v>
      </c>
    </row>
    <row r="529" spans="1:9">
      <c r="A529" s="1">
        <v>37751</v>
      </c>
      <c r="B529" s="1">
        <v>39082</v>
      </c>
      <c r="C529" s="2">
        <f t="shared" si="11"/>
        <v>3.6440793976728267</v>
      </c>
      <c r="D529" s="3">
        <v>80.2</v>
      </c>
      <c r="E529" s="2">
        <v>9.1</v>
      </c>
      <c r="F529" s="3">
        <v>1</v>
      </c>
      <c r="G529" s="3">
        <v>0</v>
      </c>
      <c r="H529" s="3">
        <v>80.2</v>
      </c>
      <c r="I529" s="2">
        <v>9.1</v>
      </c>
    </row>
    <row r="530" spans="1:9">
      <c r="A530" s="1">
        <v>37548</v>
      </c>
      <c r="B530" s="1">
        <v>39082</v>
      </c>
      <c r="C530" s="2">
        <f t="shared" si="11"/>
        <v>4.1998631074606436</v>
      </c>
      <c r="D530" s="3">
        <v>80.2</v>
      </c>
      <c r="E530" s="2">
        <v>8.9</v>
      </c>
      <c r="F530" s="3">
        <v>1</v>
      </c>
      <c r="G530" s="3">
        <v>1</v>
      </c>
      <c r="H530" s="3">
        <v>80.2</v>
      </c>
      <c r="I530" s="2">
        <v>8.9</v>
      </c>
    </row>
    <row r="531" spans="1:9">
      <c r="A531" s="1">
        <v>37325</v>
      </c>
      <c r="B531" s="1">
        <v>39082</v>
      </c>
      <c r="C531" s="2">
        <f t="shared" si="11"/>
        <v>4.8104038329911019</v>
      </c>
      <c r="D531" s="3">
        <v>80.2</v>
      </c>
      <c r="E531" s="2">
        <v>9.9</v>
      </c>
      <c r="F531" s="3">
        <v>0</v>
      </c>
      <c r="G531" s="3">
        <v>1</v>
      </c>
      <c r="H531" s="3">
        <v>80.2</v>
      </c>
      <c r="I531" s="2">
        <v>9.9</v>
      </c>
    </row>
    <row r="532" spans="1:9">
      <c r="A532" s="1">
        <v>38144</v>
      </c>
      <c r="B532" s="1">
        <v>39082</v>
      </c>
      <c r="C532" s="2">
        <f t="shared" si="11"/>
        <v>2.5681040383299112</v>
      </c>
      <c r="D532" s="3">
        <v>80.2</v>
      </c>
      <c r="E532" s="2">
        <v>9.9</v>
      </c>
      <c r="F532" s="3">
        <v>1</v>
      </c>
      <c r="G532" s="3">
        <v>1</v>
      </c>
      <c r="H532" s="3">
        <v>80.2</v>
      </c>
      <c r="I532" s="2">
        <v>9.9</v>
      </c>
    </row>
    <row r="533" spans="1:9">
      <c r="A533" s="1">
        <v>37492</v>
      </c>
      <c r="B533" s="1">
        <v>39082</v>
      </c>
      <c r="C533" s="2">
        <f t="shared" si="11"/>
        <v>4.3531827515400412</v>
      </c>
      <c r="D533" s="3">
        <v>80.3</v>
      </c>
      <c r="E533" s="2">
        <v>9.4</v>
      </c>
      <c r="F533" s="3">
        <v>0</v>
      </c>
      <c r="G533" s="3">
        <v>0</v>
      </c>
      <c r="H533" s="3">
        <v>80.3</v>
      </c>
      <c r="I533" s="2">
        <v>9.4</v>
      </c>
    </row>
    <row r="534" spans="1:9">
      <c r="A534" s="1">
        <v>38200</v>
      </c>
      <c r="B534" s="1">
        <v>39082</v>
      </c>
      <c r="C534" s="2">
        <f t="shared" si="11"/>
        <v>2.4147843942505132</v>
      </c>
      <c r="D534" s="3">
        <v>80.3</v>
      </c>
      <c r="E534" s="2">
        <v>10.8</v>
      </c>
      <c r="F534" s="3">
        <v>1</v>
      </c>
      <c r="G534" s="3">
        <v>0</v>
      </c>
      <c r="H534" s="3">
        <v>80.3</v>
      </c>
      <c r="I534" s="2">
        <v>10.8</v>
      </c>
    </row>
    <row r="535" spans="1:9">
      <c r="A535" s="1">
        <v>37695</v>
      </c>
      <c r="B535" s="1">
        <v>39082</v>
      </c>
      <c r="C535" s="2">
        <f t="shared" si="11"/>
        <v>3.7973990417522243</v>
      </c>
      <c r="D535" s="3">
        <v>80.3</v>
      </c>
      <c r="E535" s="2">
        <v>9.8000000000000007</v>
      </c>
      <c r="F535" s="3">
        <v>0</v>
      </c>
      <c r="G535" s="3">
        <v>0</v>
      </c>
      <c r="H535" s="3">
        <v>80.3</v>
      </c>
      <c r="I535" s="2">
        <v>9.8000000000000007</v>
      </c>
    </row>
    <row r="536" spans="1:9">
      <c r="A536" s="1">
        <v>38047</v>
      </c>
      <c r="B536" s="1">
        <v>39082</v>
      </c>
      <c r="C536" s="2">
        <f t="shared" si="11"/>
        <v>2.8336755646817249</v>
      </c>
      <c r="D536" s="3">
        <v>80.3</v>
      </c>
      <c r="E536" s="2">
        <v>10.9</v>
      </c>
      <c r="F536" s="3">
        <v>1</v>
      </c>
      <c r="G536" s="3">
        <v>1</v>
      </c>
      <c r="H536" s="3">
        <v>80.3</v>
      </c>
      <c r="I536" s="2">
        <v>10.9</v>
      </c>
    </row>
    <row r="537" spans="1:9">
      <c r="A537" s="1">
        <v>38261</v>
      </c>
      <c r="B537" s="1">
        <v>39082</v>
      </c>
      <c r="C537" s="2">
        <f t="shared" si="11"/>
        <v>2.2477754962354553</v>
      </c>
      <c r="D537" s="3">
        <v>80.3</v>
      </c>
      <c r="E537" s="2">
        <v>9.9</v>
      </c>
      <c r="F537" s="3">
        <v>1</v>
      </c>
      <c r="G537" s="3">
        <v>1</v>
      </c>
      <c r="H537" s="3">
        <v>80.3</v>
      </c>
      <c r="I537" s="2">
        <v>9.9</v>
      </c>
    </row>
    <row r="538" spans="1:9">
      <c r="A538" s="1">
        <v>37947</v>
      </c>
      <c r="B538" s="1">
        <v>39082</v>
      </c>
      <c r="C538" s="2">
        <f t="shared" si="11"/>
        <v>3.1074606433949348</v>
      </c>
      <c r="D538" s="3">
        <v>80.3</v>
      </c>
      <c r="E538" s="2">
        <v>10.3</v>
      </c>
      <c r="F538" s="3">
        <v>0</v>
      </c>
      <c r="G538" s="3">
        <v>1</v>
      </c>
      <c r="H538" s="3">
        <v>80.3</v>
      </c>
      <c r="I538" s="2">
        <v>10.3</v>
      </c>
    </row>
    <row r="539" spans="1:9">
      <c r="A539" s="1">
        <v>38269</v>
      </c>
      <c r="B539" s="1">
        <v>39082</v>
      </c>
      <c r="C539" s="2">
        <f t="shared" si="11"/>
        <v>2.2258726899383983</v>
      </c>
      <c r="D539" s="3">
        <v>80.3</v>
      </c>
      <c r="E539" s="2">
        <v>9.4</v>
      </c>
      <c r="F539" s="3">
        <v>0</v>
      </c>
      <c r="G539" s="3">
        <v>1</v>
      </c>
      <c r="H539" s="3">
        <v>80.3</v>
      </c>
      <c r="I539" s="2">
        <v>9.4</v>
      </c>
    </row>
    <row r="540" spans="1:9">
      <c r="A540" s="1">
        <v>37646</v>
      </c>
      <c r="B540" s="1">
        <v>39082</v>
      </c>
      <c r="C540" s="2">
        <f t="shared" si="11"/>
        <v>3.9315537303216974</v>
      </c>
      <c r="D540" s="3">
        <v>80.400000000000006</v>
      </c>
      <c r="E540" s="2">
        <v>9.1999999999999993</v>
      </c>
      <c r="F540" s="3">
        <v>1</v>
      </c>
      <c r="G540" s="3">
        <v>1</v>
      </c>
      <c r="H540" s="3">
        <v>80.400000000000006</v>
      </c>
      <c r="I540" s="2">
        <v>9.1999999999999993</v>
      </c>
    </row>
    <row r="541" spans="1:9">
      <c r="A541" s="1">
        <v>37695</v>
      </c>
      <c r="B541" s="1">
        <v>39082</v>
      </c>
      <c r="C541" s="2">
        <f t="shared" si="11"/>
        <v>3.7973990417522243</v>
      </c>
      <c r="D541" s="3">
        <v>80.400000000000006</v>
      </c>
      <c r="E541" s="2">
        <v>9.1999999999999993</v>
      </c>
      <c r="F541" s="3">
        <v>1</v>
      </c>
      <c r="G541" s="3">
        <v>1</v>
      </c>
      <c r="H541" s="3">
        <v>80.400000000000006</v>
      </c>
      <c r="I541" s="2">
        <v>9.1999999999999993</v>
      </c>
    </row>
    <row r="542" spans="1:9">
      <c r="A542" s="1">
        <v>38301</v>
      </c>
      <c r="B542" s="1">
        <v>39082</v>
      </c>
      <c r="C542" s="2">
        <f t="shared" si="11"/>
        <v>2.1382614647501712</v>
      </c>
      <c r="D542" s="3">
        <v>80.5</v>
      </c>
      <c r="E542" s="2">
        <v>11.6</v>
      </c>
      <c r="F542" s="3">
        <v>0</v>
      </c>
      <c r="G542" s="3">
        <v>0</v>
      </c>
      <c r="H542" s="3">
        <v>80.5</v>
      </c>
      <c r="I542" s="2">
        <v>11.6</v>
      </c>
    </row>
    <row r="543" spans="1:9">
      <c r="A543" s="1">
        <v>38049</v>
      </c>
      <c r="B543" s="1">
        <v>39082</v>
      </c>
      <c r="C543" s="2">
        <f t="shared" si="11"/>
        <v>2.8281998631074607</v>
      </c>
      <c r="D543" s="3">
        <v>80.599999999999994</v>
      </c>
      <c r="E543" s="2">
        <v>9.9</v>
      </c>
      <c r="F543" s="3">
        <v>1</v>
      </c>
      <c r="G543" s="3">
        <v>0</v>
      </c>
      <c r="H543" s="3">
        <v>80.599999999999994</v>
      </c>
      <c r="I543" s="2">
        <v>9.9</v>
      </c>
    </row>
    <row r="544" spans="1:9">
      <c r="A544" s="1">
        <v>37732</v>
      </c>
      <c r="B544" s="1">
        <v>39082</v>
      </c>
      <c r="C544" s="2">
        <f t="shared" si="11"/>
        <v>3.6960985626283369</v>
      </c>
      <c r="D544" s="3">
        <v>80.599999999999994</v>
      </c>
      <c r="E544" s="2">
        <v>9.6</v>
      </c>
      <c r="F544" s="3">
        <v>0</v>
      </c>
      <c r="G544" s="3">
        <v>1</v>
      </c>
      <c r="H544" s="3">
        <v>80.599999999999994</v>
      </c>
      <c r="I544" s="2">
        <v>9.6</v>
      </c>
    </row>
    <row r="545" spans="1:9">
      <c r="A545" s="1">
        <v>37058</v>
      </c>
      <c r="B545" s="1">
        <v>39082</v>
      </c>
      <c r="C545" s="2">
        <f t="shared" si="11"/>
        <v>5.5414099931553729</v>
      </c>
      <c r="D545" s="3">
        <v>80.599999999999994</v>
      </c>
      <c r="E545" s="2">
        <v>11.7</v>
      </c>
      <c r="F545" s="3">
        <v>0</v>
      </c>
      <c r="G545" s="3">
        <v>0</v>
      </c>
      <c r="H545" s="3">
        <v>80.599999999999994</v>
      </c>
      <c r="I545" s="2">
        <v>11.7</v>
      </c>
    </row>
    <row r="546" spans="1:9">
      <c r="A546" s="1">
        <v>37806</v>
      </c>
      <c r="B546" s="1">
        <v>39082</v>
      </c>
      <c r="C546" s="2">
        <f t="shared" si="11"/>
        <v>3.4934976043805612</v>
      </c>
      <c r="D546" s="3">
        <v>80.599999999999994</v>
      </c>
      <c r="E546" s="2">
        <v>7.6</v>
      </c>
      <c r="F546" s="3">
        <v>0</v>
      </c>
      <c r="G546" s="3">
        <v>0</v>
      </c>
      <c r="H546" s="3">
        <v>80.599999999999994</v>
      </c>
      <c r="I546" s="2">
        <v>7.6</v>
      </c>
    </row>
    <row r="547" spans="1:9">
      <c r="A547" s="1">
        <v>37926</v>
      </c>
      <c r="B547" s="1">
        <v>39082</v>
      </c>
      <c r="C547" s="2">
        <f t="shared" si="11"/>
        <v>3.1649555099247091</v>
      </c>
      <c r="D547" s="3">
        <v>80.7</v>
      </c>
      <c r="E547" s="2">
        <v>10.9</v>
      </c>
      <c r="F547" s="3">
        <v>1</v>
      </c>
      <c r="G547" s="3">
        <v>1</v>
      </c>
      <c r="H547" s="3">
        <v>80.7</v>
      </c>
      <c r="I547" s="2">
        <v>10.9</v>
      </c>
    </row>
    <row r="548" spans="1:9">
      <c r="A548" s="1">
        <v>38322</v>
      </c>
      <c r="B548" s="1">
        <v>39082</v>
      </c>
      <c r="C548" s="2">
        <f t="shared" si="11"/>
        <v>2.0807665982203969</v>
      </c>
      <c r="D548" s="3">
        <v>80.7</v>
      </c>
      <c r="E548" s="2">
        <v>9.9</v>
      </c>
      <c r="F548" s="3">
        <v>1</v>
      </c>
      <c r="G548" s="3">
        <v>0</v>
      </c>
      <c r="H548" s="3">
        <v>80.7</v>
      </c>
      <c r="I548" s="2">
        <v>9.9</v>
      </c>
    </row>
    <row r="549" spans="1:9">
      <c r="A549" s="1">
        <v>38030</v>
      </c>
      <c r="B549" s="1">
        <v>39082</v>
      </c>
      <c r="C549" s="2">
        <f t="shared" si="11"/>
        <v>2.8802190280629705</v>
      </c>
      <c r="D549" s="3">
        <v>80.8</v>
      </c>
      <c r="E549" s="2">
        <v>10.1</v>
      </c>
      <c r="F549" s="3">
        <v>1</v>
      </c>
      <c r="G549" s="3">
        <v>0</v>
      </c>
      <c r="H549" s="3">
        <v>80.8</v>
      </c>
      <c r="I549" s="2">
        <v>10.1</v>
      </c>
    </row>
    <row r="550" spans="1:9">
      <c r="A550" s="1">
        <v>37626</v>
      </c>
      <c r="B550" s="1">
        <v>39082</v>
      </c>
      <c r="C550" s="2">
        <f t="shared" si="11"/>
        <v>3.9863107460643397</v>
      </c>
      <c r="D550" s="3">
        <v>80.8</v>
      </c>
      <c r="E550" s="2">
        <v>10.8</v>
      </c>
      <c r="F550" s="3">
        <v>0</v>
      </c>
      <c r="G550" s="3">
        <v>0</v>
      </c>
      <c r="H550" s="3">
        <v>80.8</v>
      </c>
      <c r="I550" s="2">
        <v>10.8</v>
      </c>
    </row>
    <row r="551" spans="1:9">
      <c r="A551" s="1">
        <v>37987</v>
      </c>
      <c r="B551" s="1">
        <v>39082</v>
      </c>
      <c r="C551" s="2">
        <f t="shared" si="11"/>
        <v>2.9979466119096507</v>
      </c>
      <c r="D551" s="3">
        <v>80.8</v>
      </c>
      <c r="E551" s="2">
        <v>9.1999999999999993</v>
      </c>
      <c r="F551" s="3">
        <v>0</v>
      </c>
      <c r="G551" s="3">
        <v>1</v>
      </c>
      <c r="H551" s="3">
        <v>80.8</v>
      </c>
      <c r="I551" s="2">
        <v>9.1999999999999993</v>
      </c>
    </row>
    <row r="552" spans="1:9">
      <c r="A552" s="1">
        <v>37213</v>
      </c>
      <c r="B552" s="1">
        <v>39082</v>
      </c>
      <c r="C552" s="2">
        <f t="shared" si="11"/>
        <v>5.117043121149897</v>
      </c>
      <c r="D552" s="3">
        <v>81</v>
      </c>
      <c r="E552" s="2">
        <v>11.9</v>
      </c>
      <c r="F552" s="3">
        <v>0</v>
      </c>
      <c r="G552" s="3">
        <v>1</v>
      </c>
      <c r="H552" s="3">
        <v>81</v>
      </c>
      <c r="I552" s="2">
        <v>11.9</v>
      </c>
    </row>
    <row r="553" spans="1:9">
      <c r="A553" s="1">
        <v>37627</v>
      </c>
      <c r="B553" s="1">
        <v>39082</v>
      </c>
      <c r="C553" s="2">
        <f t="shared" si="11"/>
        <v>3.9835728952772076</v>
      </c>
      <c r="D553" s="3">
        <v>81</v>
      </c>
      <c r="E553" s="2">
        <v>10.1</v>
      </c>
      <c r="F553" s="3">
        <v>0</v>
      </c>
      <c r="G553" s="3">
        <v>0</v>
      </c>
      <c r="H553" s="3">
        <v>81</v>
      </c>
      <c r="I553" s="2">
        <v>10.1</v>
      </c>
    </row>
    <row r="554" spans="1:9">
      <c r="A554" s="1">
        <v>38108</v>
      </c>
      <c r="B554" s="1">
        <v>39082</v>
      </c>
      <c r="C554" s="2">
        <f t="shared" si="11"/>
        <v>2.6666666666666665</v>
      </c>
      <c r="D554" s="3">
        <v>81</v>
      </c>
      <c r="E554" s="2">
        <v>11.6</v>
      </c>
      <c r="F554" s="3">
        <v>1</v>
      </c>
      <c r="G554" s="3">
        <v>0</v>
      </c>
      <c r="H554" s="3">
        <v>81</v>
      </c>
      <c r="I554" s="2">
        <v>11.6</v>
      </c>
    </row>
    <row r="555" spans="1:9">
      <c r="A555" s="1">
        <v>38272</v>
      </c>
      <c r="B555" s="1">
        <v>39082</v>
      </c>
      <c r="C555" s="2">
        <f t="shared" si="11"/>
        <v>2.2176591375770021</v>
      </c>
      <c r="D555" s="3">
        <v>81</v>
      </c>
      <c r="E555" s="2">
        <v>10.6</v>
      </c>
      <c r="F555" s="3">
        <v>1</v>
      </c>
      <c r="G555" s="3">
        <v>1</v>
      </c>
      <c r="H555" s="3">
        <v>81</v>
      </c>
      <c r="I555" s="2">
        <v>10.6</v>
      </c>
    </row>
    <row r="556" spans="1:9">
      <c r="A556" s="1">
        <v>37447</v>
      </c>
      <c r="B556" s="1">
        <v>39082</v>
      </c>
      <c r="C556" s="2">
        <f t="shared" si="11"/>
        <v>4.476386036960986</v>
      </c>
      <c r="D556" s="3">
        <v>81</v>
      </c>
      <c r="E556" s="2">
        <v>10.8</v>
      </c>
      <c r="F556" s="3">
        <v>0</v>
      </c>
      <c r="G556" s="3">
        <v>0</v>
      </c>
      <c r="H556" s="3">
        <v>81</v>
      </c>
      <c r="I556" s="2">
        <v>10.8</v>
      </c>
    </row>
    <row r="557" spans="1:9">
      <c r="A557" s="1">
        <v>37273</v>
      </c>
      <c r="B557" s="1">
        <v>39082</v>
      </c>
      <c r="C557" s="2">
        <f t="shared" si="11"/>
        <v>4.9527720739219712</v>
      </c>
      <c r="D557" s="3">
        <v>81</v>
      </c>
      <c r="E557" s="2">
        <v>11.4</v>
      </c>
      <c r="F557" s="3">
        <v>0</v>
      </c>
      <c r="G557" s="3">
        <v>0</v>
      </c>
      <c r="H557" s="3">
        <v>81</v>
      </c>
      <c r="I557" s="2">
        <v>11.4</v>
      </c>
    </row>
    <row r="558" spans="1:9">
      <c r="A558" s="1">
        <v>38073</v>
      </c>
      <c r="B558" s="1">
        <v>39082</v>
      </c>
      <c r="C558" s="2">
        <f t="shared" si="11"/>
        <v>2.7624914442162902</v>
      </c>
      <c r="D558" s="3">
        <v>81</v>
      </c>
      <c r="E558" s="2">
        <v>11.6</v>
      </c>
      <c r="F558" s="3">
        <v>0</v>
      </c>
      <c r="G558" s="3">
        <v>0</v>
      </c>
      <c r="H558" s="3">
        <v>81</v>
      </c>
      <c r="I558" s="2">
        <v>11.6</v>
      </c>
    </row>
    <row r="559" spans="1:9">
      <c r="A559" s="1">
        <v>37727</v>
      </c>
      <c r="B559" s="1">
        <v>39082</v>
      </c>
      <c r="C559" s="2">
        <f t="shared" si="11"/>
        <v>3.7097878165639973</v>
      </c>
      <c r="D559" s="3">
        <v>81.099999999999994</v>
      </c>
      <c r="E559" s="2">
        <v>10.3</v>
      </c>
      <c r="F559" s="3">
        <v>0</v>
      </c>
      <c r="G559" s="3">
        <v>0</v>
      </c>
      <c r="H559" s="3">
        <v>81.099999999999994</v>
      </c>
      <c r="I559" s="2">
        <v>10.3</v>
      </c>
    </row>
    <row r="560" spans="1:9">
      <c r="A560" s="1">
        <v>38053</v>
      </c>
      <c r="B560" s="1">
        <v>39082</v>
      </c>
      <c r="C560" s="2">
        <f t="shared" si="11"/>
        <v>2.817248459958932</v>
      </c>
      <c r="D560" s="3">
        <v>81.099999999999994</v>
      </c>
      <c r="E560" s="2">
        <v>10.4</v>
      </c>
      <c r="F560" s="3">
        <v>0</v>
      </c>
      <c r="G560" s="3">
        <v>0</v>
      </c>
      <c r="H560" s="3">
        <v>81.099999999999994</v>
      </c>
      <c r="I560" s="2">
        <v>10.4</v>
      </c>
    </row>
    <row r="561" spans="1:9">
      <c r="A561" s="1">
        <v>37719</v>
      </c>
      <c r="B561" s="1">
        <v>39082</v>
      </c>
      <c r="C561" s="2">
        <f t="shared" si="11"/>
        <v>3.7316906228610542</v>
      </c>
      <c r="D561" s="3">
        <v>81.2</v>
      </c>
      <c r="E561" s="2">
        <v>8.5</v>
      </c>
      <c r="F561" s="3">
        <v>0</v>
      </c>
      <c r="G561" s="3">
        <v>1</v>
      </c>
      <c r="H561" s="3">
        <v>81.2</v>
      </c>
      <c r="I561" s="2">
        <v>8.5</v>
      </c>
    </row>
    <row r="562" spans="1:9">
      <c r="A562" s="1">
        <v>38261</v>
      </c>
      <c r="B562" s="1">
        <v>39082</v>
      </c>
      <c r="C562" s="2">
        <f t="shared" si="11"/>
        <v>2.2477754962354553</v>
      </c>
      <c r="D562" s="3">
        <v>81.2</v>
      </c>
      <c r="E562" s="2">
        <v>12.2</v>
      </c>
      <c r="F562" s="3">
        <v>0</v>
      </c>
      <c r="G562" s="3">
        <v>1</v>
      </c>
      <c r="H562" s="3">
        <v>81.2</v>
      </c>
      <c r="I562" s="2">
        <v>12.2</v>
      </c>
    </row>
    <row r="563" spans="1:9">
      <c r="A563" s="1">
        <v>37606</v>
      </c>
      <c r="B563" s="1">
        <v>39082</v>
      </c>
      <c r="C563" s="2">
        <f t="shared" si="11"/>
        <v>4.0410677618069819</v>
      </c>
      <c r="D563" s="3">
        <v>81.2</v>
      </c>
      <c r="E563" s="2">
        <v>8.5</v>
      </c>
      <c r="F563" s="3">
        <v>1</v>
      </c>
      <c r="G563" s="3">
        <v>1</v>
      </c>
      <c r="H563" s="3">
        <v>81.2</v>
      </c>
      <c r="I563" s="2">
        <v>8.5</v>
      </c>
    </row>
    <row r="564" spans="1:9">
      <c r="A564" s="1">
        <v>37543</v>
      </c>
      <c r="B564" s="1">
        <v>39082</v>
      </c>
      <c r="C564" s="2">
        <f t="shared" si="11"/>
        <v>4.213552361396304</v>
      </c>
      <c r="D564" s="3">
        <v>81.2</v>
      </c>
      <c r="E564" s="2">
        <v>10.199999999999999</v>
      </c>
      <c r="F564" s="3">
        <v>1</v>
      </c>
      <c r="G564" s="3">
        <v>1</v>
      </c>
      <c r="H564" s="3">
        <v>81.2</v>
      </c>
      <c r="I564" s="2">
        <v>10.199999999999999</v>
      </c>
    </row>
    <row r="565" spans="1:9">
      <c r="A565" s="1">
        <v>37666</v>
      </c>
      <c r="B565" s="1">
        <v>39082</v>
      </c>
      <c r="C565" s="2">
        <f t="shared" si="11"/>
        <v>3.8767967145790556</v>
      </c>
      <c r="D565" s="3">
        <v>81.3</v>
      </c>
      <c r="E565" s="2">
        <v>9.6999999999999993</v>
      </c>
      <c r="F565" s="3">
        <v>0</v>
      </c>
      <c r="G565" s="3">
        <v>0</v>
      </c>
      <c r="H565" s="3">
        <v>81.3</v>
      </c>
      <c r="I565" s="2">
        <v>9.6999999999999993</v>
      </c>
    </row>
    <row r="566" spans="1:9">
      <c r="A566" s="1">
        <v>37297</v>
      </c>
      <c r="B566" s="1">
        <v>39082</v>
      </c>
      <c r="C566" s="2">
        <f t="shared" si="11"/>
        <v>4.8870636550308006</v>
      </c>
      <c r="D566" s="3">
        <v>81.400000000000006</v>
      </c>
      <c r="E566" s="2">
        <v>9.8000000000000007</v>
      </c>
      <c r="F566" s="3">
        <v>0</v>
      </c>
      <c r="G566" s="3">
        <v>0</v>
      </c>
      <c r="H566" s="3">
        <v>81.400000000000006</v>
      </c>
      <c r="I566" s="2">
        <v>9.8000000000000007</v>
      </c>
    </row>
    <row r="567" spans="1:9">
      <c r="A567" s="1">
        <v>37800</v>
      </c>
      <c r="B567" s="1">
        <v>39082</v>
      </c>
      <c r="C567" s="2">
        <f t="shared" si="11"/>
        <v>3.5099247091033541</v>
      </c>
      <c r="D567" s="3">
        <v>81.400000000000006</v>
      </c>
      <c r="E567" s="2">
        <v>9.6</v>
      </c>
      <c r="F567" s="3">
        <v>1</v>
      </c>
      <c r="G567" s="3">
        <v>0</v>
      </c>
      <c r="H567" s="3">
        <v>81.400000000000006</v>
      </c>
      <c r="I567" s="2">
        <v>9.6</v>
      </c>
    </row>
    <row r="568" spans="1:9">
      <c r="A568" s="1">
        <v>38315</v>
      </c>
      <c r="B568" s="1">
        <v>39082</v>
      </c>
      <c r="C568" s="2">
        <f t="shared" si="11"/>
        <v>2.0999315537303218</v>
      </c>
      <c r="D568" s="3">
        <v>81.400000000000006</v>
      </c>
      <c r="E568" s="2">
        <v>10.4</v>
      </c>
      <c r="F568" s="3">
        <v>1</v>
      </c>
      <c r="G568" s="3">
        <v>0</v>
      </c>
      <c r="H568" s="3">
        <v>81.400000000000006</v>
      </c>
      <c r="I568" s="2">
        <v>10.4</v>
      </c>
    </row>
    <row r="569" spans="1:9">
      <c r="A569" s="1">
        <v>37891</v>
      </c>
      <c r="B569" s="1">
        <v>39082</v>
      </c>
      <c r="C569" s="2">
        <f t="shared" si="11"/>
        <v>3.2607802874743328</v>
      </c>
      <c r="D569" s="3">
        <v>81.5</v>
      </c>
      <c r="E569" s="2">
        <v>10.1</v>
      </c>
      <c r="F569" s="3">
        <v>0</v>
      </c>
      <c r="G569" s="3">
        <v>1</v>
      </c>
      <c r="H569" s="3">
        <v>81.5</v>
      </c>
      <c r="I569" s="2">
        <v>10.1</v>
      </c>
    </row>
    <row r="570" spans="1:9">
      <c r="A570" s="1">
        <v>37533</v>
      </c>
      <c r="B570" s="1">
        <v>39082</v>
      </c>
      <c r="C570" s="2">
        <f t="shared" si="11"/>
        <v>4.2409308692676246</v>
      </c>
      <c r="D570" s="3">
        <v>81.5</v>
      </c>
      <c r="E570" s="2">
        <v>10.3</v>
      </c>
      <c r="F570" s="3">
        <v>0</v>
      </c>
      <c r="G570" s="3">
        <v>0</v>
      </c>
      <c r="H570" s="3">
        <v>81.5</v>
      </c>
      <c r="I570" s="2">
        <v>10.3</v>
      </c>
    </row>
    <row r="571" spans="1:9">
      <c r="A571" s="1">
        <v>38231</v>
      </c>
      <c r="B571" s="1">
        <v>39082</v>
      </c>
      <c r="C571" s="2">
        <f t="shared" si="11"/>
        <v>2.3299110198494182</v>
      </c>
      <c r="D571" s="3">
        <v>81.5</v>
      </c>
      <c r="E571" s="2">
        <v>10.7</v>
      </c>
      <c r="F571" s="3">
        <v>0</v>
      </c>
      <c r="G571" s="3">
        <v>1</v>
      </c>
      <c r="H571" s="3">
        <v>81.5</v>
      </c>
      <c r="I571" s="2">
        <v>10.7</v>
      </c>
    </row>
    <row r="572" spans="1:9">
      <c r="A572" s="1">
        <v>37618</v>
      </c>
      <c r="B572" s="1">
        <v>39082</v>
      </c>
      <c r="C572" s="2">
        <f t="shared" si="11"/>
        <v>4.0082135523613962</v>
      </c>
      <c r="D572" s="3">
        <v>81.5</v>
      </c>
      <c r="E572" s="2">
        <v>9.8000000000000007</v>
      </c>
      <c r="F572" s="3">
        <v>0</v>
      </c>
      <c r="G572" s="3">
        <v>0</v>
      </c>
      <c r="H572" s="3">
        <v>81.5</v>
      </c>
      <c r="I572" s="2">
        <v>9.8000000000000007</v>
      </c>
    </row>
    <row r="573" spans="1:9">
      <c r="A573" s="1">
        <v>37062</v>
      </c>
      <c r="B573" s="1">
        <v>39082</v>
      </c>
      <c r="C573" s="2">
        <f t="shared" si="11"/>
        <v>5.5304585900068446</v>
      </c>
      <c r="D573" s="3">
        <v>81.599999999999994</v>
      </c>
      <c r="E573" s="2">
        <v>8.6</v>
      </c>
      <c r="F573" s="3">
        <v>0</v>
      </c>
      <c r="G573" s="3">
        <v>0</v>
      </c>
      <c r="H573" s="3">
        <v>81.599999999999994</v>
      </c>
      <c r="I573" s="2">
        <v>8.6</v>
      </c>
    </row>
    <row r="574" spans="1:9">
      <c r="A574" s="1">
        <v>37364</v>
      </c>
      <c r="B574" s="1">
        <v>39082</v>
      </c>
      <c r="C574" s="2">
        <f t="shared" si="11"/>
        <v>4.7036276522929503</v>
      </c>
      <c r="D574" s="3">
        <v>81.599999999999994</v>
      </c>
      <c r="E574" s="2">
        <v>10.6</v>
      </c>
      <c r="F574" s="3">
        <v>1</v>
      </c>
      <c r="G574" s="3">
        <v>0</v>
      </c>
      <c r="H574" s="3">
        <v>81.599999999999994</v>
      </c>
      <c r="I574" s="2">
        <v>10.6</v>
      </c>
    </row>
    <row r="575" spans="1:9">
      <c r="A575" s="1">
        <v>37758</v>
      </c>
      <c r="B575" s="1">
        <v>39082</v>
      </c>
      <c r="C575" s="2">
        <f t="shared" si="11"/>
        <v>3.6249144421629023</v>
      </c>
      <c r="D575" s="3">
        <v>81.7</v>
      </c>
      <c r="E575" s="2">
        <v>11</v>
      </c>
      <c r="F575" s="3">
        <v>0</v>
      </c>
      <c r="G575" s="3">
        <v>0</v>
      </c>
      <c r="H575" s="3">
        <v>81.7</v>
      </c>
      <c r="I575" s="2">
        <v>11</v>
      </c>
    </row>
    <row r="576" spans="1:9">
      <c r="A576" s="1">
        <v>37744</v>
      </c>
      <c r="B576" s="1">
        <v>39082</v>
      </c>
      <c r="C576" s="2">
        <f t="shared" si="11"/>
        <v>3.6632443531827517</v>
      </c>
      <c r="D576" s="3">
        <v>81.7</v>
      </c>
      <c r="E576" s="2">
        <v>9.6</v>
      </c>
      <c r="F576" s="3">
        <v>0</v>
      </c>
      <c r="G576" s="3">
        <v>1</v>
      </c>
      <c r="H576" s="3">
        <v>81.7</v>
      </c>
      <c r="I576" s="2">
        <v>9.6</v>
      </c>
    </row>
    <row r="577" spans="1:9">
      <c r="A577" s="1">
        <v>38127</v>
      </c>
      <c r="B577" s="1">
        <v>39082</v>
      </c>
      <c r="C577" s="2">
        <f t="shared" si="11"/>
        <v>2.6146475017111568</v>
      </c>
      <c r="D577" s="3">
        <v>81.900000000000006</v>
      </c>
      <c r="E577" s="2">
        <v>10.199999999999999</v>
      </c>
      <c r="F577" s="3">
        <v>1</v>
      </c>
      <c r="G577" s="3">
        <v>0</v>
      </c>
      <c r="H577" s="3">
        <v>81.900000000000006</v>
      </c>
      <c r="I577" s="2">
        <v>10.199999999999999</v>
      </c>
    </row>
    <row r="578" spans="1:9">
      <c r="A578" s="1">
        <v>38234</v>
      </c>
      <c r="B578" s="1">
        <v>39082</v>
      </c>
      <c r="C578" s="2">
        <f t="shared" ref="C578:C641" si="12">(B578-A578)/365.25</f>
        <v>2.321697467488022</v>
      </c>
      <c r="D578" s="3">
        <v>81.900000000000006</v>
      </c>
      <c r="E578" s="2">
        <v>9.6999999999999993</v>
      </c>
      <c r="F578" s="3">
        <v>0</v>
      </c>
      <c r="G578" s="3">
        <v>0</v>
      </c>
      <c r="H578" s="3">
        <v>81.900000000000006</v>
      </c>
      <c r="I578" s="2">
        <v>9.6999999999999993</v>
      </c>
    </row>
    <row r="579" spans="1:9">
      <c r="A579" s="1">
        <v>37777</v>
      </c>
      <c r="B579" s="1">
        <v>39082</v>
      </c>
      <c r="C579" s="2">
        <f t="shared" si="12"/>
        <v>3.5728952772073921</v>
      </c>
      <c r="D579" s="3">
        <v>82</v>
      </c>
      <c r="E579" s="2">
        <v>10.3</v>
      </c>
      <c r="F579" s="3">
        <v>0</v>
      </c>
      <c r="G579" s="3">
        <v>1</v>
      </c>
      <c r="H579" s="3">
        <v>82</v>
      </c>
      <c r="I579" s="2">
        <v>10.3</v>
      </c>
    </row>
    <row r="580" spans="1:9">
      <c r="A580" s="1">
        <v>37632</v>
      </c>
      <c r="B580" s="1">
        <v>39082</v>
      </c>
      <c r="C580" s="2">
        <f t="shared" si="12"/>
        <v>3.9698836413415468</v>
      </c>
      <c r="D580" s="3">
        <v>82</v>
      </c>
      <c r="E580" s="2">
        <v>10.1</v>
      </c>
      <c r="F580" s="3">
        <v>0</v>
      </c>
      <c r="G580" s="3">
        <v>0</v>
      </c>
      <c r="H580" s="3">
        <v>82</v>
      </c>
      <c r="I580" s="2">
        <v>10.1</v>
      </c>
    </row>
    <row r="581" spans="1:9">
      <c r="A581" s="1">
        <v>36982</v>
      </c>
      <c r="B581" s="1">
        <v>39082</v>
      </c>
      <c r="C581" s="2">
        <f t="shared" si="12"/>
        <v>5.7494866529774127</v>
      </c>
      <c r="D581" s="3">
        <v>82</v>
      </c>
      <c r="E581" s="2">
        <v>10.199999999999999</v>
      </c>
      <c r="F581" s="3">
        <v>0</v>
      </c>
      <c r="G581" s="3">
        <v>0</v>
      </c>
      <c r="H581" s="3">
        <v>82</v>
      </c>
      <c r="I581" s="2">
        <v>10.199999999999999</v>
      </c>
    </row>
    <row r="582" spans="1:9">
      <c r="A582" s="1">
        <v>38032</v>
      </c>
      <c r="B582" s="1">
        <v>39082</v>
      </c>
      <c r="C582" s="2">
        <f t="shared" si="12"/>
        <v>2.8747433264887063</v>
      </c>
      <c r="D582" s="3">
        <v>82.1</v>
      </c>
      <c r="E582" s="2">
        <v>10.9</v>
      </c>
      <c r="F582" s="3">
        <v>1</v>
      </c>
      <c r="G582" s="3">
        <v>0</v>
      </c>
      <c r="H582" s="3">
        <v>82.1</v>
      </c>
      <c r="I582" s="2">
        <v>10.9</v>
      </c>
    </row>
    <row r="583" spans="1:9">
      <c r="A583" s="1">
        <v>37600</v>
      </c>
      <c r="B583" s="1">
        <v>39082</v>
      </c>
      <c r="C583" s="2">
        <f t="shared" si="12"/>
        <v>4.0574948665297743</v>
      </c>
      <c r="D583" s="3">
        <v>82.1</v>
      </c>
      <c r="E583" s="2">
        <v>10.7</v>
      </c>
      <c r="F583" s="3">
        <v>0</v>
      </c>
      <c r="G583" s="3">
        <v>1</v>
      </c>
      <c r="H583" s="3">
        <v>82.1</v>
      </c>
      <c r="I583" s="2">
        <v>10.7</v>
      </c>
    </row>
    <row r="584" spans="1:9">
      <c r="A584" s="1">
        <v>37323</v>
      </c>
      <c r="B584" s="1">
        <v>39082</v>
      </c>
      <c r="C584" s="2">
        <f t="shared" si="12"/>
        <v>4.815879534565366</v>
      </c>
      <c r="D584" s="3">
        <v>82.2</v>
      </c>
      <c r="E584" s="2">
        <v>11</v>
      </c>
      <c r="F584" s="3">
        <v>0</v>
      </c>
      <c r="G584" s="3">
        <v>0</v>
      </c>
      <c r="H584" s="3">
        <v>82.2</v>
      </c>
      <c r="I584" s="2">
        <v>11</v>
      </c>
    </row>
    <row r="585" spans="1:9">
      <c r="A585" s="1">
        <v>37488</v>
      </c>
      <c r="B585" s="1">
        <v>39082</v>
      </c>
      <c r="C585" s="2">
        <f t="shared" si="12"/>
        <v>4.3641341546885695</v>
      </c>
      <c r="D585" s="3">
        <v>82.2</v>
      </c>
      <c r="E585" s="2">
        <v>9.6999999999999993</v>
      </c>
      <c r="F585" s="3">
        <v>0</v>
      </c>
      <c r="G585" s="3">
        <v>1</v>
      </c>
      <c r="H585" s="3">
        <v>82.2</v>
      </c>
      <c r="I585" s="2">
        <v>9.6999999999999993</v>
      </c>
    </row>
    <row r="586" spans="1:9">
      <c r="A586" s="1">
        <v>37950</v>
      </c>
      <c r="B586" s="1">
        <v>39082</v>
      </c>
      <c r="C586" s="2">
        <f t="shared" si="12"/>
        <v>3.0992470910335386</v>
      </c>
      <c r="D586" s="3">
        <v>82.2</v>
      </c>
      <c r="E586" s="2">
        <v>10</v>
      </c>
      <c r="F586" s="3">
        <v>0</v>
      </c>
      <c r="G586" s="3">
        <v>1</v>
      </c>
      <c r="H586" s="3">
        <v>82.2</v>
      </c>
      <c r="I586" s="2">
        <v>10</v>
      </c>
    </row>
    <row r="587" spans="1:9">
      <c r="A587" s="1">
        <v>38289</v>
      </c>
      <c r="B587" s="1">
        <v>39082</v>
      </c>
      <c r="C587" s="2">
        <f t="shared" si="12"/>
        <v>2.1711156741957565</v>
      </c>
      <c r="D587" s="3">
        <v>82.2</v>
      </c>
      <c r="E587" s="2">
        <v>12.1</v>
      </c>
      <c r="F587" s="3">
        <v>1</v>
      </c>
      <c r="G587" s="3">
        <v>1</v>
      </c>
      <c r="H587" s="3">
        <v>82.2</v>
      </c>
      <c r="I587" s="2">
        <v>12.1</v>
      </c>
    </row>
    <row r="588" spans="1:9">
      <c r="A588" s="1">
        <v>37829</v>
      </c>
      <c r="B588" s="1">
        <v>39082</v>
      </c>
      <c r="C588" s="2">
        <f t="shared" si="12"/>
        <v>3.4305270362765228</v>
      </c>
      <c r="D588" s="3">
        <v>82.2</v>
      </c>
      <c r="E588" s="2">
        <v>11.5</v>
      </c>
      <c r="F588" s="3">
        <v>0</v>
      </c>
      <c r="G588" s="3">
        <v>0</v>
      </c>
      <c r="H588" s="3">
        <v>82.2</v>
      </c>
      <c r="I588" s="2">
        <v>11.5</v>
      </c>
    </row>
    <row r="589" spans="1:9">
      <c r="A589" s="1">
        <v>38322</v>
      </c>
      <c r="B589" s="1">
        <v>39082</v>
      </c>
      <c r="C589" s="2">
        <f t="shared" si="12"/>
        <v>2.0807665982203969</v>
      </c>
      <c r="D589" s="3">
        <v>82.2</v>
      </c>
      <c r="E589" s="2">
        <v>11.8</v>
      </c>
      <c r="F589" s="3">
        <v>0</v>
      </c>
      <c r="G589" s="3">
        <v>0</v>
      </c>
      <c r="H589" s="3">
        <v>82.2</v>
      </c>
      <c r="I589" s="2">
        <v>11.8</v>
      </c>
    </row>
    <row r="590" spans="1:9">
      <c r="A590" s="1">
        <v>38047</v>
      </c>
      <c r="B590" s="1">
        <v>39082</v>
      </c>
      <c r="C590" s="2">
        <f t="shared" si="12"/>
        <v>2.8336755646817249</v>
      </c>
      <c r="D590" s="3">
        <v>82.2</v>
      </c>
      <c r="E590" s="2">
        <v>11.4</v>
      </c>
      <c r="F590" s="3">
        <v>0</v>
      </c>
      <c r="G590" s="3">
        <v>0</v>
      </c>
      <c r="H590" s="3">
        <v>82.2</v>
      </c>
      <c r="I590" s="2">
        <v>11.4</v>
      </c>
    </row>
    <row r="591" spans="1:9">
      <c r="A591" s="1">
        <v>38284</v>
      </c>
      <c r="B591" s="1">
        <v>39082</v>
      </c>
      <c r="C591" s="2">
        <f t="shared" si="12"/>
        <v>2.1848049281314168</v>
      </c>
      <c r="D591" s="3">
        <v>82.2</v>
      </c>
      <c r="E591" s="2">
        <v>10.199999999999999</v>
      </c>
      <c r="F591" s="3">
        <v>0</v>
      </c>
      <c r="G591" s="3">
        <v>0</v>
      </c>
      <c r="H591" s="3">
        <v>82.2</v>
      </c>
      <c r="I591" s="2">
        <v>10.199999999999999</v>
      </c>
    </row>
    <row r="592" spans="1:9">
      <c r="A592" s="1">
        <v>37715</v>
      </c>
      <c r="B592" s="1">
        <v>39082</v>
      </c>
      <c r="C592" s="2">
        <f t="shared" si="12"/>
        <v>3.7426420260095825</v>
      </c>
      <c r="D592" s="3">
        <v>82.3</v>
      </c>
      <c r="E592" s="2">
        <v>10.4</v>
      </c>
      <c r="F592" s="3">
        <v>0</v>
      </c>
      <c r="G592" s="3">
        <v>1</v>
      </c>
      <c r="H592" s="3">
        <v>82.3</v>
      </c>
      <c r="I592" s="2">
        <v>10.4</v>
      </c>
    </row>
    <row r="593" spans="1:9">
      <c r="A593" s="1">
        <v>37295</v>
      </c>
      <c r="B593" s="1">
        <v>39082</v>
      </c>
      <c r="C593" s="2">
        <f t="shared" si="12"/>
        <v>4.8925393566050648</v>
      </c>
      <c r="D593" s="3">
        <v>82.3</v>
      </c>
      <c r="E593" s="2">
        <v>10.9</v>
      </c>
      <c r="F593" s="3">
        <v>0</v>
      </c>
      <c r="G593" s="3">
        <v>0</v>
      </c>
      <c r="H593" s="3">
        <v>82.3</v>
      </c>
      <c r="I593" s="2">
        <v>10.9</v>
      </c>
    </row>
    <row r="594" spans="1:9">
      <c r="A594" s="1">
        <v>37266</v>
      </c>
      <c r="B594" s="1">
        <v>39082</v>
      </c>
      <c r="C594" s="2">
        <f t="shared" si="12"/>
        <v>4.9719370294318956</v>
      </c>
      <c r="D594" s="3">
        <v>82.3</v>
      </c>
      <c r="E594" s="2">
        <v>10.9</v>
      </c>
      <c r="F594" s="3">
        <v>1</v>
      </c>
      <c r="G594" s="3">
        <v>1</v>
      </c>
      <c r="H594" s="3">
        <v>82.3</v>
      </c>
      <c r="I594" s="2">
        <v>10.9</v>
      </c>
    </row>
    <row r="595" spans="1:9">
      <c r="A595" s="1">
        <v>37775</v>
      </c>
      <c r="B595" s="1">
        <v>39082</v>
      </c>
      <c r="C595" s="2">
        <f t="shared" si="12"/>
        <v>3.5783709787816562</v>
      </c>
      <c r="D595" s="3">
        <v>82.4</v>
      </c>
      <c r="E595" s="2">
        <v>10.1</v>
      </c>
      <c r="F595" s="3">
        <v>0</v>
      </c>
      <c r="G595" s="3">
        <v>1</v>
      </c>
      <c r="H595" s="3">
        <v>82.4</v>
      </c>
      <c r="I595" s="2">
        <v>10.1</v>
      </c>
    </row>
    <row r="596" spans="1:9">
      <c r="A596" s="1">
        <v>37330</v>
      </c>
      <c r="B596" s="1">
        <v>39082</v>
      </c>
      <c r="C596" s="2">
        <f t="shared" si="12"/>
        <v>4.7967145790554415</v>
      </c>
      <c r="D596" s="3">
        <v>82.4</v>
      </c>
      <c r="E596" s="2">
        <v>9.9</v>
      </c>
      <c r="F596" s="3">
        <v>1</v>
      </c>
      <c r="G596" s="3">
        <v>0</v>
      </c>
      <c r="H596" s="3">
        <v>82.4</v>
      </c>
      <c r="I596" s="2">
        <v>9.9</v>
      </c>
    </row>
    <row r="597" spans="1:9">
      <c r="A597" s="1">
        <v>37610</v>
      </c>
      <c r="B597" s="1">
        <v>39082</v>
      </c>
      <c r="C597" s="2">
        <f t="shared" si="12"/>
        <v>4.0301163586584527</v>
      </c>
      <c r="D597" s="3">
        <v>82.5</v>
      </c>
      <c r="E597" s="2">
        <v>11.9</v>
      </c>
      <c r="F597" s="3">
        <v>0</v>
      </c>
      <c r="G597" s="3">
        <v>0</v>
      </c>
      <c r="H597" s="3">
        <v>82.5</v>
      </c>
      <c r="I597" s="2">
        <v>11.9</v>
      </c>
    </row>
    <row r="598" spans="1:9">
      <c r="A598" s="1">
        <v>38336</v>
      </c>
      <c r="B598" s="1">
        <v>39082</v>
      </c>
      <c r="C598" s="2">
        <f t="shared" si="12"/>
        <v>2.0424366872005475</v>
      </c>
      <c r="D598" s="3">
        <v>82.5</v>
      </c>
      <c r="E598" s="2">
        <v>11</v>
      </c>
      <c r="F598" s="3">
        <v>1</v>
      </c>
      <c r="G598" s="3">
        <v>0</v>
      </c>
      <c r="H598" s="3">
        <v>82.5</v>
      </c>
      <c r="I598" s="2">
        <v>11</v>
      </c>
    </row>
    <row r="599" spans="1:9">
      <c r="A599" s="1">
        <v>38061</v>
      </c>
      <c r="B599" s="1">
        <v>39082</v>
      </c>
      <c r="C599" s="2">
        <f t="shared" si="12"/>
        <v>2.7953456536618755</v>
      </c>
      <c r="D599" s="3">
        <v>82.5</v>
      </c>
      <c r="E599" s="2">
        <v>10.9</v>
      </c>
      <c r="F599" s="3">
        <v>1</v>
      </c>
      <c r="G599" s="3">
        <v>0</v>
      </c>
      <c r="H599" s="3">
        <v>82.5</v>
      </c>
      <c r="I599" s="2">
        <v>10.9</v>
      </c>
    </row>
    <row r="600" spans="1:9">
      <c r="A600" s="1">
        <v>37530</v>
      </c>
      <c r="B600" s="1">
        <v>39082</v>
      </c>
      <c r="C600" s="2">
        <f t="shared" si="12"/>
        <v>4.2491444216290208</v>
      </c>
      <c r="D600" s="3">
        <v>82.5</v>
      </c>
      <c r="E600" s="2">
        <v>11.2</v>
      </c>
      <c r="F600" s="3">
        <v>0</v>
      </c>
      <c r="G600" s="3">
        <v>1</v>
      </c>
      <c r="H600" s="3">
        <v>82.5</v>
      </c>
      <c r="I600" s="2">
        <v>11.2</v>
      </c>
    </row>
    <row r="601" spans="1:9">
      <c r="A601" s="1">
        <v>37748</v>
      </c>
      <c r="B601" s="1">
        <v>39082</v>
      </c>
      <c r="C601" s="2">
        <f t="shared" si="12"/>
        <v>3.6522929500342229</v>
      </c>
      <c r="D601" s="3">
        <v>82.5</v>
      </c>
      <c r="E601" s="2">
        <v>10.6</v>
      </c>
      <c r="F601" s="3">
        <v>0</v>
      </c>
      <c r="G601" s="3">
        <v>1</v>
      </c>
      <c r="H601" s="3">
        <v>82.5</v>
      </c>
      <c r="I601" s="2">
        <v>10.6</v>
      </c>
    </row>
    <row r="602" spans="1:9">
      <c r="A602" s="1">
        <v>37531</v>
      </c>
      <c r="B602" s="1">
        <v>39082</v>
      </c>
      <c r="C602" s="2">
        <f t="shared" si="12"/>
        <v>4.2464065708418888</v>
      </c>
      <c r="D602" s="3">
        <v>82.6</v>
      </c>
      <c r="E602" s="2">
        <v>11.5</v>
      </c>
      <c r="F602" s="3">
        <v>0</v>
      </c>
      <c r="G602" s="3">
        <v>0</v>
      </c>
      <c r="H602" s="3">
        <v>82.6</v>
      </c>
      <c r="I602" s="2">
        <v>11.5</v>
      </c>
    </row>
    <row r="603" spans="1:9">
      <c r="A603" s="1">
        <v>37694</v>
      </c>
      <c r="B603" s="1">
        <v>39082</v>
      </c>
      <c r="C603" s="2">
        <f t="shared" si="12"/>
        <v>3.8001368925393568</v>
      </c>
      <c r="D603" s="3">
        <v>82.6</v>
      </c>
      <c r="E603" s="2">
        <v>9.4</v>
      </c>
      <c r="F603" s="3">
        <v>1</v>
      </c>
      <c r="G603" s="3">
        <v>1</v>
      </c>
      <c r="H603" s="3">
        <v>82.6</v>
      </c>
      <c r="I603" s="2">
        <v>9.4</v>
      </c>
    </row>
    <row r="604" spans="1:9">
      <c r="A604" s="1">
        <v>37444</v>
      </c>
      <c r="B604" s="1">
        <v>39082</v>
      </c>
      <c r="C604" s="2">
        <f t="shared" si="12"/>
        <v>4.4845995893223822</v>
      </c>
      <c r="D604" s="3">
        <v>82.6</v>
      </c>
      <c r="E604" s="2">
        <v>8.9</v>
      </c>
      <c r="F604" s="3">
        <v>1</v>
      </c>
      <c r="G604" s="3">
        <v>1</v>
      </c>
      <c r="H604" s="3">
        <v>82.6</v>
      </c>
      <c r="I604" s="2">
        <v>8.9</v>
      </c>
    </row>
    <row r="605" spans="1:9">
      <c r="A605" s="1">
        <v>37301</v>
      </c>
      <c r="B605" s="1">
        <v>39082</v>
      </c>
      <c r="C605" s="2">
        <f t="shared" si="12"/>
        <v>4.8761122518822724</v>
      </c>
      <c r="D605" s="3">
        <v>82.7</v>
      </c>
      <c r="E605" s="2">
        <v>12.7</v>
      </c>
      <c r="F605" s="3">
        <v>0</v>
      </c>
      <c r="G605" s="3">
        <v>0</v>
      </c>
      <c r="H605" s="3">
        <v>82.7</v>
      </c>
      <c r="I605" s="2">
        <v>12.7</v>
      </c>
    </row>
    <row r="606" spans="1:9">
      <c r="A606" s="1">
        <v>37305</v>
      </c>
      <c r="B606" s="1">
        <v>39082</v>
      </c>
      <c r="C606" s="2">
        <f t="shared" si="12"/>
        <v>4.8651608487337441</v>
      </c>
      <c r="D606" s="3">
        <v>82.8</v>
      </c>
      <c r="E606" s="2">
        <v>11.6</v>
      </c>
      <c r="F606" s="3">
        <v>0</v>
      </c>
      <c r="G606" s="3">
        <v>1</v>
      </c>
      <c r="H606" s="3">
        <v>82.8</v>
      </c>
      <c r="I606" s="2">
        <v>11.6</v>
      </c>
    </row>
    <row r="607" spans="1:9">
      <c r="A607" s="1">
        <v>37695</v>
      </c>
      <c r="B607" s="1">
        <v>39082</v>
      </c>
      <c r="C607" s="2">
        <f t="shared" si="12"/>
        <v>3.7973990417522243</v>
      </c>
      <c r="D607" s="3">
        <v>82.8</v>
      </c>
      <c r="E607" s="2">
        <v>10.6</v>
      </c>
      <c r="F607" s="3">
        <v>0</v>
      </c>
      <c r="G607" s="3">
        <v>0</v>
      </c>
      <c r="H607" s="3">
        <v>82.8</v>
      </c>
      <c r="I607" s="2">
        <v>10.6</v>
      </c>
    </row>
    <row r="608" spans="1:9">
      <c r="A608" s="1">
        <v>38007</v>
      </c>
      <c r="B608" s="1">
        <v>39082</v>
      </c>
      <c r="C608" s="2">
        <f t="shared" si="12"/>
        <v>2.9431895961670089</v>
      </c>
      <c r="D608" s="3">
        <v>82.8</v>
      </c>
      <c r="E608" s="2">
        <v>10.1</v>
      </c>
      <c r="F608" s="3">
        <v>0</v>
      </c>
      <c r="G608" s="3">
        <v>0</v>
      </c>
      <c r="H608" s="3">
        <v>82.8</v>
      </c>
      <c r="I608" s="2">
        <v>10.1</v>
      </c>
    </row>
    <row r="609" spans="1:9">
      <c r="A609" s="1">
        <v>37834</v>
      </c>
      <c r="B609" s="1">
        <v>39082</v>
      </c>
      <c r="C609" s="2">
        <f t="shared" si="12"/>
        <v>3.4168377823408624</v>
      </c>
      <c r="D609" s="3">
        <v>82.8</v>
      </c>
      <c r="E609" s="2">
        <v>11.4</v>
      </c>
      <c r="F609" s="3">
        <v>0</v>
      </c>
      <c r="G609" s="3">
        <v>0</v>
      </c>
      <c r="H609" s="3">
        <v>82.8</v>
      </c>
      <c r="I609" s="2">
        <v>11.4</v>
      </c>
    </row>
    <row r="610" spans="1:9">
      <c r="A610" s="1">
        <v>38311</v>
      </c>
      <c r="B610" s="1">
        <v>39082</v>
      </c>
      <c r="C610" s="2">
        <f t="shared" si="12"/>
        <v>2.1108829568788501</v>
      </c>
      <c r="D610" s="3">
        <v>82.8</v>
      </c>
      <c r="E610" s="2">
        <v>10.199999999999999</v>
      </c>
      <c r="F610" s="3">
        <v>0</v>
      </c>
      <c r="G610" s="3">
        <v>1</v>
      </c>
      <c r="H610" s="3">
        <v>82.8</v>
      </c>
      <c r="I610" s="2">
        <v>10.199999999999999</v>
      </c>
    </row>
    <row r="611" spans="1:9">
      <c r="A611" s="1">
        <v>37174</v>
      </c>
      <c r="B611" s="1">
        <v>39082</v>
      </c>
      <c r="C611" s="2">
        <f t="shared" si="12"/>
        <v>5.2238193018480494</v>
      </c>
      <c r="D611" s="3">
        <v>82.9</v>
      </c>
      <c r="E611" s="2">
        <v>10.1</v>
      </c>
      <c r="F611" s="3">
        <v>0</v>
      </c>
      <c r="G611" s="3">
        <v>1</v>
      </c>
      <c r="H611" s="3">
        <v>82.9</v>
      </c>
      <c r="I611" s="2">
        <v>10.1</v>
      </c>
    </row>
    <row r="612" spans="1:9">
      <c r="A612" s="1">
        <v>37310</v>
      </c>
      <c r="B612" s="1">
        <v>39082</v>
      </c>
      <c r="C612" s="2">
        <f t="shared" si="12"/>
        <v>4.8514715947980838</v>
      </c>
      <c r="D612" s="3">
        <v>82.9</v>
      </c>
      <c r="E612" s="2">
        <v>9.6</v>
      </c>
      <c r="F612" s="3">
        <v>0</v>
      </c>
      <c r="G612" s="3">
        <v>0</v>
      </c>
      <c r="H612" s="3">
        <v>82.9</v>
      </c>
      <c r="I612" s="2">
        <v>9.6</v>
      </c>
    </row>
    <row r="613" spans="1:9">
      <c r="A613" s="1">
        <v>37248</v>
      </c>
      <c r="B613" s="1">
        <v>39082</v>
      </c>
      <c r="C613" s="2">
        <f t="shared" si="12"/>
        <v>5.0212183436002737</v>
      </c>
      <c r="D613" s="3">
        <v>82.9</v>
      </c>
      <c r="E613" s="2">
        <v>11.5</v>
      </c>
      <c r="F613" s="3">
        <v>1</v>
      </c>
      <c r="G613" s="3">
        <v>1</v>
      </c>
      <c r="H613" s="3">
        <v>82.9</v>
      </c>
      <c r="I613" s="2">
        <v>11.5</v>
      </c>
    </row>
    <row r="614" spans="1:9">
      <c r="A614" s="1">
        <v>38231</v>
      </c>
      <c r="B614" s="1">
        <v>39082</v>
      </c>
      <c r="C614" s="2">
        <f t="shared" si="12"/>
        <v>2.3299110198494182</v>
      </c>
      <c r="D614" s="3">
        <v>82.9</v>
      </c>
      <c r="E614" s="2">
        <v>11</v>
      </c>
      <c r="F614" s="3">
        <v>0</v>
      </c>
      <c r="G614" s="3">
        <v>0</v>
      </c>
      <c r="H614" s="3">
        <v>82.9</v>
      </c>
      <c r="I614" s="2">
        <v>11</v>
      </c>
    </row>
    <row r="615" spans="1:9">
      <c r="A615" s="1">
        <v>37349</v>
      </c>
      <c r="B615" s="1">
        <v>39082</v>
      </c>
      <c r="C615" s="2">
        <f t="shared" si="12"/>
        <v>4.7446954140999313</v>
      </c>
      <c r="D615" s="3">
        <v>82.9</v>
      </c>
      <c r="E615" s="2">
        <v>11</v>
      </c>
      <c r="F615" s="3">
        <v>0</v>
      </c>
      <c r="G615" s="3">
        <v>1</v>
      </c>
      <c r="H615" s="3">
        <v>82.9</v>
      </c>
      <c r="I615" s="2">
        <v>11</v>
      </c>
    </row>
    <row r="616" spans="1:9">
      <c r="A616" s="1">
        <v>37519</v>
      </c>
      <c r="B616" s="1">
        <v>39082</v>
      </c>
      <c r="C616" s="2">
        <f t="shared" si="12"/>
        <v>4.2792607802874745</v>
      </c>
      <c r="D616" s="3">
        <v>83</v>
      </c>
      <c r="E616" s="2">
        <v>10.3</v>
      </c>
      <c r="F616" s="3">
        <v>0</v>
      </c>
      <c r="G616" s="3">
        <v>1</v>
      </c>
      <c r="H616" s="3">
        <v>83</v>
      </c>
      <c r="I616" s="2">
        <v>10.3</v>
      </c>
    </row>
    <row r="617" spans="1:9">
      <c r="A617" s="1">
        <v>37717</v>
      </c>
      <c r="B617" s="1">
        <v>39082</v>
      </c>
      <c r="C617" s="2">
        <f t="shared" si="12"/>
        <v>3.7371663244353184</v>
      </c>
      <c r="D617" s="3">
        <v>83</v>
      </c>
      <c r="E617" s="2">
        <v>10.4</v>
      </c>
      <c r="F617" s="3">
        <v>0</v>
      </c>
      <c r="G617" s="3">
        <v>0</v>
      </c>
      <c r="H617" s="3">
        <v>83</v>
      </c>
      <c r="I617" s="2">
        <v>10.4</v>
      </c>
    </row>
    <row r="618" spans="1:9">
      <c r="A618" s="1">
        <v>37585</v>
      </c>
      <c r="B618" s="1">
        <v>39082</v>
      </c>
      <c r="C618" s="2">
        <f t="shared" si="12"/>
        <v>4.0985626283367553</v>
      </c>
      <c r="D618" s="3">
        <v>83</v>
      </c>
      <c r="E618" s="2">
        <v>8.6999999999999993</v>
      </c>
      <c r="F618" s="3">
        <v>0</v>
      </c>
      <c r="G618" s="3">
        <v>0</v>
      </c>
      <c r="H618" s="3">
        <v>83</v>
      </c>
      <c r="I618" s="2">
        <v>8.6999999999999993</v>
      </c>
    </row>
    <row r="619" spans="1:9">
      <c r="A619" s="1">
        <v>37704</v>
      </c>
      <c r="B619" s="1">
        <v>39082</v>
      </c>
      <c r="C619" s="2">
        <f t="shared" si="12"/>
        <v>3.7727583846680357</v>
      </c>
      <c r="D619" s="3">
        <v>83</v>
      </c>
      <c r="E619" s="2">
        <v>10</v>
      </c>
      <c r="F619" s="3">
        <v>0</v>
      </c>
      <c r="G619" s="3">
        <v>1</v>
      </c>
      <c r="H619" s="3">
        <v>83</v>
      </c>
      <c r="I619" s="2">
        <v>10</v>
      </c>
    </row>
    <row r="620" spans="1:9">
      <c r="A620" s="1">
        <v>37636</v>
      </c>
      <c r="B620" s="1">
        <v>39082</v>
      </c>
      <c r="C620" s="2">
        <f t="shared" si="12"/>
        <v>3.9589322381930185</v>
      </c>
      <c r="D620" s="3">
        <v>83</v>
      </c>
      <c r="E620" s="2">
        <v>10.3</v>
      </c>
      <c r="F620" s="3">
        <v>0</v>
      </c>
      <c r="G620" s="3">
        <v>0</v>
      </c>
      <c r="H620" s="3">
        <v>83</v>
      </c>
      <c r="I620" s="2">
        <v>10.3</v>
      </c>
    </row>
    <row r="621" spans="1:9">
      <c r="A621" s="1">
        <v>37600</v>
      </c>
      <c r="B621" s="1">
        <v>39082</v>
      </c>
      <c r="C621" s="2">
        <f t="shared" si="12"/>
        <v>4.0574948665297743</v>
      </c>
      <c r="D621" s="3">
        <v>83</v>
      </c>
      <c r="E621" s="2">
        <v>10.4</v>
      </c>
      <c r="F621" s="3">
        <v>0</v>
      </c>
      <c r="G621" s="3">
        <v>0</v>
      </c>
      <c r="H621" s="3">
        <v>83</v>
      </c>
      <c r="I621" s="2">
        <v>10.4</v>
      </c>
    </row>
    <row r="622" spans="1:9">
      <c r="A622" s="1">
        <v>38346</v>
      </c>
      <c r="B622" s="1">
        <v>39082</v>
      </c>
      <c r="C622" s="2">
        <f t="shared" si="12"/>
        <v>2.0150581793292264</v>
      </c>
      <c r="D622" s="3">
        <v>83</v>
      </c>
      <c r="E622" s="2">
        <v>11.9</v>
      </c>
      <c r="F622" s="3">
        <v>1</v>
      </c>
      <c r="G622" s="3">
        <v>1</v>
      </c>
      <c r="H622" s="3">
        <v>83</v>
      </c>
      <c r="I622" s="2">
        <v>11.9</v>
      </c>
    </row>
    <row r="623" spans="1:9">
      <c r="A623" s="1">
        <v>37737</v>
      </c>
      <c r="B623" s="1">
        <v>39082</v>
      </c>
      <c r="C623" s="2">
        <f t="shared" si="12"/>
        <v>3.6824093086926761</v>
      </c>
      <c r="D623" s="3">
        <v>83.1</v>
      </c>
      <c r="E623" s="2">
        <v>11.2</v>
      </c>
      <c r="F623" s="3">
        <v>0</v>
      </c>
      <c r="G623" s="3">
        <v>1</v>
      </c>
      <c r="H623" s="3">
        <v>83.1</v>
      </c>
      <c r="I623" s="2">
        <v>11.2</v>
      </c>
    </row>
    <row r="624" spans="1:9">
      <c r="A624" s="1">
        <v>37629</v>
      </c>
      <c r="B624" s="1">
        <v>39082</v>
      </c>
      <c r="C624" s="2">
        <f t="shared" si="12"/>
        <v>3.978097193702943</v>
      </c>
      <c r="D624" s="3">
        <v>83.1</v>
      </c>
      <c r="E624" s="2">
        <v>9.3000000000000007</v>
      </c>
      <c r="F624" s="3">
        <v>0</v>
      </c>
      <c r="G624" s="3">
        <v>1</v>
      </c>
      <c r="H624" s="3">
        <v>83.1</v>
      </c>
      <c r="I624" s="2">
        <v>9.3000000000000007</v>
      </c>
    </row>
    <row r="625" spans="1:9">
      <c r="A625" s="1">
        <v>36971</v>
      </c>
      <c r="B625" s="1">
        <v>39082</v>
      </c>
      <c r="C625" s="2">
        <f t="shared" si="12"/>
        <v>5.7796030116358654</v>
      </c>
      <c r="D625" s="3">
        <v>83.1</v>
      </c>
      <c r="E625" s="2">
        <v>10</v>
      </c>
      <c r="F625" s="3">
        <v>0</v>
      </c>
      <c r="G625" s="3">
        <v>0</v>
      </c>
      <c r="H625" s="3">
        <v>83.1</v>
      </c>
      <c r="I625" s="2">
        <v>10</v>
      </c>
    </row>
    <row r="626" spans="1:9">
      <c r="A626" s="1">
        <v>38043</v>
      </c>
      <c r="B626" s="1">
        <v>39082</v>
      </c>
      <c r="C626" s="2">
        <f t="shared" si="12"/>
        <v>2.8446269678302532</v>
      </c>
      <c r="D626" s="3">
        <v>83.2</v>
      </c>
      <c r="E626" s="2">
        <v>9.6</v>
      </c>
      <c r="F626" s="3">
        <v>1</v>
      </c>
      <c r="G626" s="3">
        <v>0</v>
      </c>
      <c r="H626" s="3">
        <v>83.2</v>
      </c>
      <c r="I626" s="2">
        <v>9.6</v>
      </c>
    </row>
    <row r="627" spans="1:9">
      <c r="A627" s="1">
        <v>37165</v>
      </c>
      <c r="B627" s="1">
        <v>39082</v>
      </c>
      <c r="C627" s="2">
        <f t="shared" si="12"/>
        <v>5.248459958932238</v>
      </c>
      <c r="D627" s="3">
        <v>83.2</v>
      </c>
      <c r="E627" s="2">
        <v>11.4</v>
      </c>
      <c r="F627" s="3">
        <v>0</v>
      </c>
      <c r="G627" s="3">
        <v>1</v>
      </c>
      <c r="H627" s="3">
        <v>83.2</v>
      </c>
      <c r="I627" s="2">
        <v>11.4</v>
      </c>
    </row>
    <row r="628" spans="1:9">
      <c r="A628" s="1">
        <v>37824</v>
      </c>
      <c r="B628" s="1">
        <v>39082</v>
      </c>
      <c r="C628" s="2">
        <f t="shared" si="12"/>
        <v>3.4442162902121836</v>
      </c>
      <c r="D628" s="3">
        <v>83.2</v>
      </c>
      <c r="E628" s="2">
        <v>11.5</v>
      </c>
      <c r="F628" s="3">
        <v>0</v>
      </c>
      <c r="G628" s="3">
        <v>1</v>
      </c>
      <c r="H628" s="3">
        <v>83.2</v>
      </c>
      <c r="I628" s="2">
        <v>11.5</v>
      </c>
    </row>
    <row r="629" spans="1:9">
      <c r="A629" s="1">
        <v>38307</v>
      </c>
      <c r="B629" s="1">
        <v>39082</v>
      </c>
      <c r="C629" s="2">
        <f t="shared" si="12"/>
        <v>2.1218343600273784</v>
      </c>
      <c r="D629" s="3">
        <v>83.2</v>
      </c>
      <c r="E629" s="2">
        <v>11</v>
      </c>
      <c r="F629" s="3">
        <v>0</v>
      </c>
      <c r="G629" s="3">
        <v>0</v>
      </c>
      <c r="H629" s="3">
        <v>83.2</v>
      </c>
      <c r="I629" s="2">
        <v>11</v>
      </c>
    </row>
    <row r="630" spans="1:9">
      <c r="A630" s="1">
        <v>38318</v>
      </c>
      <c r="B630" s="1">
        <v>39082</v>
      </c>
      <c r="C630" s="2">
        <f t="shared" si="12"/>
        <v>2.0917180013689256</v>
      </c>
      <c r="D630" s="3">
        <v>83.3</v>
      </c>
      <c r="E630" s="2">
        <v>11.8</v>
      </c>
      <c r="F630" s="3">
        <v>0</v>
      </c>
      <c r="G630" s="3">
        <v>1</v>
      </c>
      <c r="H630" s="3">
        <v>83.3</v>
      </c>
      <c r="I630" s="2">
        <v>11.8</v>
      </c>
    </row>
    <row r="631" spans="1:9">
      <c r="A631" s="1">
        <v>38300</v>
      </c>
      <c r="B631" s="1">
        <v>39082</v>
      </c>
      <c r="C631" s="2">
        <f t="shared" si="12"/>
        <v>2.1409993155373033</v>
      </c>
      <c r="D631" s="3">
        <v>83.3</v>
      </c>
      <c r="E631" s="2">
        <v>10.9</v>
      </c>
      <c r="F631" s="3">
        <v>1</v>
      </c>
      <c r="G631" s="3">
        <v>0</v>
      </c>
      <c r="H631" s="3">
        <v>83.3</v>
      </c>
      <c r="I631" s="2">
        <v>10.9</v>
      </c>
    </row>
    <row r="632" spans="1:9">
      <c r="A632" s="1">
        <v>38191</v>
      </c>
      <c r="B632" s="1">
        <v>39082</v>
      </c>
      <c r="C632" s="2">
        <f t="shared" si="12"/>
        <v>2.4394250513347022</v>
      </c>
      <c r="D632" s="3">
        <v>83.3</v>
      </c>
      <c r="E632" s="2">
        <v>9.9</v>
      </c>
      <c r="F632" s="3">
        <v>1</v>
      </c>
      <c r="G632" s="3">
        <v>0</v>
      </c>
      <c r="H632" s="3">
        <v>83.3</v>
      </c>
      <c r="I632" s="2">
        <v>9.9</v>
      </c>
    </row>
    <row r="633" spans="1:9">
      <c r="A633" s="1">
        <v>38332</v>
      </c>
      <c r="B633" s="1">
        <v>39082</v>
      </c>
      <c r="C633" s="2">
        <f t="shared" si="12"/>
        <v>2.0533880903490758</v>
      </c>
      <c r="D633" s="3">
        <v>83.4</v>
      </c>
      <c r="E633" s="2">
        <v>9.9</v>
      </c>
      <c r="F633" s="3">
        <v>1</v>
      </c>
      <c r="G633" s="3">
        <v>1</v>
      </c>
      <c r="H633" s="3">
        <v>83.4</v>
      </c>
      <c r="I633" s="2">
        <v>9.9</v>
      </c>
    </row>
    <row r="634" spans="1:9">
      <c r="A634" s="1">
        <v>37431</v>
      </c>
      <c r="B634" s="1">
        <v>39082</v>
      </c>
      <c r="C634" s="2">
        <f t="shared" si="12"/>
        <v>4.5201916495550991</v>
      </c>
      <c r="D634" s="3">
        <v>83.4</v>
      </c>
      <c r="E634" s="2">
        <v>11</v>
      </c>
      <c r="F634" s="3">
        <v>1</v>
      </c>
      <c r="G634" s="3">
        <v>1</v>
      </c>
      <c r="H634" s="3">
        <v>83.4</v>
      </c>
      <c r="I634" s="2">
        <v>11</v>
      </c>
    </row>
    <row r="635" spans="1:9">
      <c r="A635" s="1">
        <v>37488</v>
      </c>
      <c r="B635" s="1">
        <v>39082</v>
      </c>
      <c r="C635" s="2">
        <f t="shared" si="12"/>
        <v>4.3641341546885695</v>
      </c>
      <c r="D635" s="3">
        <v>83.5</v>
      </c>
      <c r="E635" s="2">
        <v>9.8000000000000007</v>
      </c>
      <c r="F635" s="3">
        <v>0</v>
      </c>
      <c r="G635" s="3">
        <v>1</v>
      </c>
      <c r="H635" s="3">
        <v>83.5</v>
      </c>
      <c r="I635" s="2">
        <v>9.8000000000000007</v>
      </c>
    </row>
    <row r="636" spans="1:9">
      <c r="A636" s="1">
        <v>38101</v>
      </c>
      <c r="B636" s="1">
        <v>39082</v>
      </c>
      <c r="C636" s="2">
        <f t="shared" si="12"/>
        <v>2.6858316221765914</v>
      </c>
      <c r="D636" s="3">
        <v>83.5</v>
      </c>
      <c r="E636" s="2">
        <v>13.1</v>
      </c>
      <c r="F636" s="3">
        <v>1</v>
      </c>
      <c r="G636" s="3">
        <v>1</v>
      </c>
      <c r="H636" s="3">
        <v>83.5</v>
      </c>
      <c r="I636" s="2">
        <v>13.1</v>
      </c>
    </row>
    <row r="637" spans="1:9">
      <c r="A637" s="1">
        <v>38004</v>
      </c>
      <c r="B637" s="1">
        <v>39082</v>
      </c>
      <c r="C637" s="2">
        <f t="shared" si="12"/>
        <v>2.9514031485284051</v>
      </c>
      <c r="D637" s="3">
        <v>83.5</v>
      </c>
      <c r="E637" s="2">
        <v>11</v>
      </c>
      <c r="F637" s="3">
        <v>0</v>
      </c>
      <c r="G637" s="3">
        <v>0</v>
      </c>
      <c r="H637" s="3">
        <v>83.5</v>
      </c>
      <c r="I637" s="2">
        <v>11</v>
      </c>
    </row>
    <row r="638" spans="1:9">
      <c r="A638" s="1">
        <v>37450</v>
      </c>
      <c r="B638" s="1">
        <v>39082</v>
      </c>
      <c r="C638" s="2">
        <f t="shared" si="12"/>
        <v>4.4681724845995889</v>
      </c>
      <c r="D638" s="3">
        <v>83.5</v>
      </c>
      <c r="E638" s="2">
        <v>11.4</v>
      </c>
      <c r="F638" s="3">
        <v>0</v>
      </c>
      <c r="G638" s="3">
        <v>0</v>
      </c>
      <c r="H638" s="3">
        <v>83.5</v>
      </c>
      <c r="I638" s="2">
        <v>11.4</v>
      </c>
    </row>
    <row r="639" spans="1:9">
      <c r="A639" s="1">
        <v>37988</v>
      </c>
      <c r="B639" s="1">
        <v>39082</v>
      </c>
      <c r="C639" s="2">
        <f t="shared" si="12"/>
        <v>2.9952087611225187</v>
      </c>
      <c r="D639" s="3">
        <v>83.5</v>
      </c>
      <c r="E639" s="2">
        <v>11.7</v>
      </c>
      <c r="F639" s="3">
        <v>0</v>
      </c>
      <c r="G639" s="3">
        <v>0</v>
      </c>
      <c r="H639" s="3">
        <v>83.5</v>
      </c>
      <c r="I639" s="2">
        <v>11.7</v>
      </c>
    </row>
    <row r="640" spans="1:9">
      <c r="A640" s="1">
        <v>37603</v>
      </c>
      <c r="B640" s="1">
        <v>39082</v>
      </c>
      <c r="C640" s="2">
        <f t="shared" si="12"/>
        <v>4.0492813141683781</v>
      </c>
      <c r="D640" s="3">
        <v>83.6</v>
      </c>
      <c r="E640" s="2">
        <v>11.4</v>
      </c>
      <c r="F640" s="3">
        <v>1</v>
      </c>
      <c r="G640" s="3">
        <v>1</v>
      </c>
      <c r="H640" s="3">
        <v>83.6</v>
      </c>
      <c r="I640" s="2">
        <v>11.4</v>
      </c>
    </row>
    <row r="641" spans="1:9">
      <c r="A641" s="1">
        <v>38329</v>
      </c>
      <c r="B641" s="1">
        <v>39082</v>
      </c>
      <c r="C641" s="2">
        <f t="shared" si="12"/>
        <v>2.0616016427104724</v>
      </c>
      <c r="D641" s="3">
        <v>83.6</v>
      </c>
      <c r="E641" s="2">
        <v>10.8</v>
      </c>
      <c r="F641" s="3">
        <v>0</v>
      </c>
      <c r="G641" s="3">
        <v>1</v>
      </c>
      <c r="H641" s="3">
        <v>83.6</v>
      </c>
      <c r="I641" s="2">
        <v>10.8</v>
      </c>
    </row>
    <row r="642" spans="1:9">
      <c r="A642" s="1">
        <v>37751</v>
      </c>
      <c r="B642" s="1">
        <v>39082</v>
      </c>
      <c r="C642" s="2">
        <f t="shared" ref="C642:C705" si="13">(B642-A642)/365.25</f>
        <v>3.6440793976728267</v>
      </c>
      <c r="D642" s="3">
        <v>83.6</v>
      </c>
      <c r="E642" s="2">
        <v>10.9</v>
      </c>
      <c r="F642" s="3">
        <v>0</v>
      </c>
      <c r="G642" s="3">
        <v>0</v>
      </c>
      <c r="H642" s="3">
        <v>83.6</v>
      </c>
      <c r="I642" s="2">
        <v>10.9</v>
      </c>
    </row>
    <row r="643" spans="1:9">
      <c r="A643" s="1">
        <v>38079</v>
      </c>
      <c r="B643" s="1">
        <v>39082</v>
      </c>
      <c r="C643" s="2">
        <f t="shared" si="13"/>
        <v>2.7460643394934978</v>
      </c>
      <c r="D643" s="3">
        <v>83.6</v>
      </c>
      <c r="E643" s="2">
        <v>11.6</v>
      </c>
      <c r="F643" s="3">
        <v>0</v>
      </c>
      <c r="G643" s="3">
        <v>1</v>
      </c>
      <c r="H643" s="3">
        <v>83.6</v>
      </c>
      <c r="I643" s="2">
        <v>11.6</v>
      </c>
    </row>
    <row r="644" spans="1:9">
      <c r="A644" s="1">
        <v>38314</v>
      </c>
      <c r="B644" s="1">
        <v>39082</v>
      </c>
      <c r="C644" s="2">
        <f t="shared" si="13"/>
        <v>2.1026694045174539</v>
      </c>
      <c r="D644" s="3">
        <v>83.7</v>
      </c>
      <c r="E644" s="2">
        <v>12.6</v>
      </c>
      <c r="F644" s="3">
        <v>0</v>
      </c>
      <c r="G644" s="3">
        <v>1</v>
      </c>
      <c r="H644" s="3">
        <v>83.7</v>
      </c>
      <c r="I644" s="2">
        <v>12.6</v>
      </c>
    </row>
    <row r="645" spans="1:9">
      <c r="A645" s="1">
        <v>37987</v>
      </c>
      <c r="B645" s="1">
        <v>39082</v>
      </c>
      <c r="C645" s="2">
        <f t="shared" si="13"/>
        <v>2.9979466119096507</v>
      </c>
      <c r="D645" s="3">
        <v>83.7</v>
      </c>
      <c r="E645" s="2">
        <v>12.2</v>
      </c>
      <c r="F645" s="3">
        <v>1</v>
      </c>
      <c r="G645" s="3">
        <v>1</v>
      </c>
      <c r="H645" s="3">
        <v>83.7</v>
      </c>
      <c r="I645" s="2">
        <v>12.2</v>
      </c>
    </row>
    <row r="646" spans="1:9">
      <c r="A646" s="1">
        <v>38256</v>
      </c>
      <c r="B646" s="1">
        <v>39082</v>
      </c>
      <c r="C646" s="2">
        <f t="shared" si="13"/>
        <v>2.2614647501711156</v>
      </c>
      <c r="D646" s="3">
        <v>83.7</v>
      </c>
      <c r="E646" s="2">
        <v>11.3</v>
      </c>
      <c r="F646" s="3">
        <v>1</v>
      </c>
      <c r="G646" s="3">
        <v>1</v>
      </c>
      <c r="H646" s="3">
        <v>83.7</v>
      </c>
      <c r="I646" s="2">
        <v>11.3</v>
      </c>
    </row>
    <row r="647" spans="1:9">
      <c r="A647" s="1">
        <v>37438</v>
      </c>
      <c r="B647" s="1">
        <v>39082</v>
      </c>
      <c r="C647" s="2">
        <f t="shared" si="13"/>
        <v>4.5010266940451746</v>
      </c>
      <c r="D647" s="3">
        <v>83.8</v>
      </c>
      <c r="E647" s="2">
        <v>10.5</v>
      </c>
      <c r="F647" s="3">
        <v>0</v>
      </c>
      <c r="G647" s="3">
        <v>1</v>
      </c>
      <c r="H647" s="3">
        <v>83.8</v>
      </c>
      <c r="I647" s="2">
        <v>10.5</v>
      </c>
    </row>
    <row r="648" spans="1:9">
      <c r="A648" s="1">
        <v>37725</v>
      </c>
      <c r="B648" s="1">
        <v>39082</v>
      </c>
      <c r="C648" s="2">
        <f t="shared" si="13"/>
        <v>3.7152635181382614</v>
      </c>
      <c r="D648" s="3">
        <v>83.9</v>
      </c>
      <c r="E648" s="2">
        <v>11.5</v>
      </c>
      <c r="F648" s="3">
        <v>0</v>
      </c>
      <c r="G648" s="3">
        <v>0</v>
      </c>
      <c r="H648" s="3">
        <v>83.9</v>
      </c>
      <c r="I648" s="2">
        <v>11.5</v>
      </c>
    </row>
    <row r="649" spans="1:9">
      <c r="A649" s="1">
        <v>38150</v>
      </c>
      <c r="B649" s="1">
        <v>39082</v>
      </c>
      <c r="C649" s="2">
        <f t="shared" si="13"/>
        <v>2.5516769336071183</v>
      </c>
      <c r="D649" s="3">
        <v>83.9</v>
      </c>
      <c r="E649" s="2">
        <v>10.6</v>
      </c>
      <c r="F649" s="3">
        <v>0</v>
      </c>
      <c r="G649" s="3">
        <v>1</v>
      </c>
      <c r="H649" s="3">
        <v>83.9</v>
      </c>
      <c r="I649" s="2">
        <v>10.6</v>
      </c>
    </row>
    <row r="650" spans="1:9">
      <c r="A650" s="1">
        <v>37706</v>
      </c>
      <c r="B650" s="1">
        <v>39082</v>
      </c>
      <c r="C650" s="2">
        <f t="shared" si="13"/>
        <v>3.7672826830937716</v>
      </c>
      <c r="D650" s="3">
        <v>83.9</v>
      </c>
      <c r="E650" s="2">
        <v>10.3</v>
      </c>
      <c r="F650" s="3">
        <v>0</v>
      </c>
      <c r="G650" s="3">
        <v>1</v>
      </c>
      <c r="H650" s="3">
        <v>83.9</v>
      </c>
      <c r="I650" s="2">
        <v>10.3</v>
      </c>
    </row>
    <row r="651" spans="1:9">
      <c r="A651" s="1">
        <v>37654</v>
      </c>
      <c r="B651" s="1">
        <v>39082</v>
      </c>
      <c r="C651" s="2">
        <f t="shared" si="13"/>
        <v>3.9096509240246409</v>
      </c>
      <c r="D651" s="3">
        <v>84</v>
      </c>
      <c r="E651" s="2">
        <v>10.9</v>
      </c>
      <c r="F651" s="3">
        <v>0</v>
      </c>
      <c r="G651" s="3">
        <v>1</v>
      </c>
      <c r="H651" s="3">
        <v>84</v>
      </c>
      <c r="I651" s="2">
        <v>10.9</v>
      </c>
    </row>
    <row r="652" spans="1:9">
      <c r="A652" s="1">
        <v>37514</v>
      </c>
      <c r="B652" s="1">
        <v>39082</v>
      </c>
      <c r="C652" s="2">
        <f t="shared" si="13"/>
        <v>4.2929500342231348</v>
      </c>
      <c r="D652" s="3">
        <v>84</v>
      </c>
      <c r="E652" s="2">
        <v>13.8</v>
      </c>
      <c r="F652" s="3">
        <v>0</v>
      </c>
      <c r="G652" s="3">
        <v>1</v>
      </c>
      <c r="H652" s="3">
        <v>84</v>
      </c>
      <c r="I652" s="2">
        <v>13.8</v>
      </c>
    </row>
    <row r="653" spans="1:9">
      <c r="A653" s="1">
        <v>37403</v>
      </c>
      <c r="B653" s="1">
        <v>39082</v>
      </c>
      <c r="C653" s="2">
        <f t="shared" si="13"/>
        <v>4.5968514715947979</v>
      </c>
      <c r="D653" s="3">
        <v>84</v>
      </c>
      <c r="E653" s="2">
        <v>12.7</v>
      </c>
      <c r="F653" s="3">
        <v>0</v>
      </c>
      <c r="G653" s="3">
        <v>0</v>
      </c>
      <c r="H653" s="3">
        <v>84</v>
      </c>
      <c r="I653" s="2">
        <v>12.7</v>
      </c>
    </row>
    <row r="654" spans="1:9">
      <c r="A654" s="1">
        <v>37769</v>
      </c>
      <c r="B654" s="1">
        <v>39082</v>
      </c>
      <c r="C654" s="2">
        <f t="shared" si="13"/>
        <v>3.5947980835044491</v>
      </c>
      <c r="D654" s="3">
        <v>84.1</v>
      </c>
      <c r="E654" s="2">
        <v>10.3</v>
      </c>
      <c r="F654" s="3">
        <v>0</v>
      </c>
      <c r="G654" s="3">
        <v>0</v>
      </c>
      <c r="H654" s="3">
        <v>84.1</v>
      </c>
      <c r="I654" s="2">
        <v>10.3</v>
      </c>
    </row>
    <row r="655" spans="1:9">
      <c r="A655" s="1">
        <v>38231</v>
      </c>
      <c r="B655" s="1">
        <v>39082</v>
      </c>
      <c r="C655" s="2">
        <f t="shared" si="13"/>
        <v>2.3299110198494182</v>
      </c>
      <c r="D655" s="3">
        <v>84.1</v>
      </c>
      <c r="E655" s="2">
        <v>11.8</v>
      </c>
      <c r="F655" s="3">
        <v>1</v>
      </c>
      <c r="G655" s="3">
        <v>0</v>
      </c>
      <c r="H655" s="3">
        <v>84.1</v>
      </c>
      <c r="I655" s="2">
        <v>11.8</v>
      </c>
    </row>
    <row r="656" spans="1:9">
      <c r="A656" s="1">
        <v>38231</v>
      </c>
      <c r="B656" s="1">
        <v>39082</v>
      </c>
      <c r="C656" s="2">
        <f t="shared" si="13"/>
        <v>2.3299110198494182</v>
      </c>
      <c r="D656" s="3">
        <v>84.2</v>
      </c>
      <c r="E656" s="2">
        <v>10.9</v>
      </c>
      <c r="F656" s="3">
        <v>0</v>
      </c>
      <c r="G656" s="3">
        <v>1</v>
      </c>
      <c r="H656" s="3">
        <v>84.2</v>
      </c>
      <c r="I656" s="2">
        <v>10.9</v>
      </c>
    </row>
    <row r="657" spans="1:9">
      <c r="A657" s="1">
        <v>38281</v>
      </c>
      <c r="B657" s="1">
        <v>39082</v>
      </c>
      <c r="C657" s="2">
        <f t="shared" si="13"/>
        <v>2.193018480492813</v>
      </c>
      <c r="D657" s="3">
        <v>84.2</v>
      </c>
      <c r="E657" s="2">
        <v>12</v>
      </c>
      <c r="F657" s="3">
        <v>0</v>
      </c>
      <c r="G657" s="3">
        <v>1</v>
      </c>
      <c r="H657" s="3">
        <v>84.2</v>
      </c>
      <c r="I657" s="2">
        <v>12</v>
      </c>
    </row>
    <row r="658" spans="1:9">
      <c r="A658" s="1">
        <v>37627</v>
      </c>
      <c r="B658" s="1">
        <v>39082</v>
      </c>
      <c r="C658" s="2">
        <f t="shared" si="13"/>
        <v>3.9835728952772076</v>
      </c>
      <c r="D658" s="3">
        <v>84.2</v>
      </c>
      <c r="E658" s="2">
        <v>10.6</v>
      </c>
      <c r="F658" s="3">
        <v>0</v>
      </c>
      <c r="G658" s="3">
        <v>0</v>
      </c>
      <c r="H658" s="3">
        <v>84.2</v>
      </c>
      <c r="I658" s="2">
        <v>10.6</v>
      </c>
    </row>
    <row r="659" spans="1:9">
      <c r="A659" s="1">
        <v>37652</v>
      </c>
      <c r="B659" s="1">
        <v>39082</v>
      </c>
      <c r="C659" s="2">
        <f t="shared" si="13"/>
        <v>3.915126625598905</v>
      </c>
      <c r="D659" s="3">
        <v>84.3</v>
      </c>
      <c r="E659" s="2">
        <v>10.9</v>
      </c>
      <c r="F659" s="3">
        <v>0</v>
      </c>
      <c r="G659" s="3">
        <v>1</v>
      </c>
      <c r="H659" s="3">
        <v>84.3</v>
      </c>
      <c r="I659" s="2">
        <v>10.9</v>
      </c>
    </row>
    <row r="660" spans="1:9">
      <c r="A660" s="1">
        <v>38322</v>
      </c>
      <c r="B660" s="1">
        <v>39082</v>
      </c>
      <c r="C660" s="2">
        <f t="shared" si="13"/>
        <v>2.0807665982203969</v>
      </c>
      <c r="D660" s="3">
        <v>84.3</v>
      </c>
      <c r="E660" s="2">
        <v>11.8</v>
      </c>
      <c r="F660" s="3">
        <v>0</v>
      </c>
      <c r="G660" s="3">
        <v>0</v>
      </c>
      <c r="H660" s="3">
        <v>84.3</v>
      </c>
      <c r="I660" s="2">
        <v>11.8</v>
      </c>
    </row>
    <row r="661" spans="1:9">
      <c r="A661" s="1">
        <v>38150</v>
      </c>
      <c r="B661" s="1">
        <v>39082</v>
      </c>
      <c r="C661" s="2">
        <f t="shared" si="13"/>
        <v>2.5516769336071183</v>
      </c>
      <c r="D661" s="3">
        <v>84.3</v>
      </c>
      <c r="E661" s="2">
        <v>10.6</v>
      </c>
      <c r="F661" s="3">
        <v>0</v>
      </c>
      <c r="G661" s="3">
        <v>1</v>
      </c>
      <c r="H661" s="3">
        <v>84.3</v>
      </c>
      <c r="I661" s="2">
        <v>10.6</v>
      </c>
    </row>
    <row r="662" spans="1:9">
      <c r="A662" s="1">
        <v>36952</v>
      </c>
      <c r="B662" s="1">
        <v>39082</v>
      </c>
      <c r="C662" s="2">
        <f t="shared" si="13"/>
        <v>5.8316221765913756</v>
      </c>
      <c r="D662" s="3">
        <v>84.3</v>
      </c>
      <c r="E662" s="2">
        <v>11.5</v>
      </c>
      <c r="F662" s="3">
        <v>0</v>
      </c>
      <c r="G662" s="3">
        <v>0</v>
      </c>
      <c r="H662" s="3">
        <v>84.3</v>
      </c>
      <c r="I662" s="2">
        <v>11.5</v>
      </c>
    </row>
    <row r="663" spans="1:9">
      <c r="A663" s="1">
        <v>37989</v>
      </c>
      <c r="B663" s="1">
        <v>39082</v>
      </c>
      <c r="C663" s="2">
        <f t="shared" si="13"/>
        <v>2.9924709103353866</v>
      </c>
      <c r="D663" s="3">
        <v>84.4</v>
      </c>
      <c r="E663" s="2">
        <v>11.2</v>
      </c>
      <c r="F663" s="3">
        <v>0</v>
      </c>
      <c r="G663" s="3">
        <v>1</v>
      </c>
      <c r="H663" s="3">
        <v>84.4</v>
      </c>
      <c r="I663" s="2">
        <v>11.2</v>
      </c>
    </row>
    <row r="664" spans="1:9">
      <c r="A664" s="1">
        <v>37501</v>
      </c>
      <c r="B664" s="1">
        <v>39082</v>
      </c>
      <c r="C664" s="2">
        <f t="shared" si="13"/>
        <v>4.3285420944558526</v>
      </c>
      <c r="D664" s="3">
        <v>84.5</v>
      </c>
      <c r="E664" s="2">
        <v>11.3</v>
      </c>
      <c r="F664" s="3">
        <v>0</v>
      </c>
      <c r="G664" s="3">
        <v>0</v>
      </c>
      <c r="H664" s="3">
        <v>84.5</v>
      </c>
      <c r="I664" s="2">
        <v>11.3</v>
      </c>
    </row>
    <row r="665" spans="1:9">
      <c r="A665" s="1">
        <v>37756</v>
      </c>
      <c r="B665" s="1">
        <v>39082</v>
      </c>
      <c r="C665" s="2">
        <f t="shared" si="13"/>
        <v>3.6303901437371664</v>
      </c>
      <c r="D665" s="3">
        <v>84.5</v>
      </c>
      <c r="E665" s="2">
        <v>10.7</v>
      </c>
      <c r="F665" s="3">
        <v>0</v>
      </c>
      <c r="G665" s="3">
        <v>1</v>
      </c>
      <c r="H665" s="3">
        <v>84.5</v>
      </c>
      <c r="I665" s="2">
        <v>10.7</v>
      </c>
    </row>
    <row r="666" spans="1:9">
      <c r="A666" s="1">
        <v>38160</v>
      </c>
      <c r="B666" s="1">
        <v>39082</v>
      </c>
      <c r="C666" s="2">
        <f t="shared" si="13"/>
        <v>2.5242984257357972</v>
      </c>
      <c r="D666" s="3">
        <v>84.5</v>
      </c>
      <c r="E666" s="2">
        <v>11.6</v>
      </c>
      <c r="F666" s="3">
        <v>0</v>
      </c>
      <c r="G666" s="3">
        <v>1</v>
      </c>
      <c r="H666" s="3">
        <v>84.5</v>
      </c>
      <c r="I666" s="2">
        <v>11.6</v>
      </c>
    </row>
    <row r="667" spans="1:9">
      <c r="A667" s="1">
        <v>37347</v>
      </c>
      <c r="B667" s="1">
        <v>39082</v>
      </c>
      <c r="C667" s="2">
        <f t="shared" si="13"/>
        <v>4.7501711156741955</v>
      </c>
      <c r="D667" s="3">
        <v>84.5</v>
      </c>
      <c r="E667" s="2">
        <v>10.8</v>
      </c>
      <c r="F667" s="3">
        <v>1</v>
      </c>
      <c r="G667" s="3">
        <v>1</v>
      </c>
      <c r="H667" s="3">
        <v>84.5</v>
      </c>
      <c r="I667" s="2">
        <v>10.8</v>
      </c>
    </row>
    <row r="668" spans="1:9">
      <c r="A668" s="1">
        <v>37445</v>
      </c>
      <c r="B668" s="1">
        <v>39082</v>
      </c>
      <c r="C668" s="2">
        <f t="shared" si="13"/>
        <v>4.4818617385352502</v>
      </c>
      <c r="D668" s="3">
        <v>84.5</v>
      </c>
      <c r="E668" s="2">
        <v>11</v>
      </c>
      <c r="F668" s="3">
        <v>0</v>
      </c>
      <c r="G668" s="3">
        <v>1</v>
      </c>
      <c r="H668" s="3">
        <v>84.5</v>
      </c>
      <c r="I668" s="2">
        <v>11</v>
      </c>
    </row>
    <row r="669" spans="1:9">
      <c r="A669" s="1">
        <v>37473</v>
      </c>
      <c r="B669" s="1">
        <v>39082</v>
      </c>
      <c r="C669" s="2">
        <f t="shared" si="13"/>
        <v>4.4052019164955514</v>
      </c>
      <c r="D669" s="3">
        <v>84.6</v>
      </c>
      <c r="E669" s="2">
        <v>11.1</v>
      </c>
      <c r="F669" s="3">
        <v>1</v>
      </c>
      <c r="G669" s="3">
        <v>1</v>
      </c>
      <c r="H669" s="3">
        <v>84.6</v>
      </c>
      <c r="I669" s="2">
        <v>11.1</v>
      </c>
    </row>
    <row r="670" spans="1:9">
      <c r="A670" s="1">
        <v>37546</v>
      </c>
      <c r="B670" s="1">
        <v>39082</v>
      </c>
      <c r="C670" s="2">
        <f t="shared" si="13"/>
        <v>4.2053388090349078</v>
      </c>
      <c r="D670" s="3">
        <v>84.6</v>
      </c>
      <c r="E670" s="2">
        <v>9.9</v>
      </c>
      <c r="F670" s="3">
        <v>0</v>
      </c>
      <c r="G670" s="3">
        <v>0</v>
      </c>
      <c r="H670" s="3">
        <v>84.6</v>
      </c>
      <c r="I670" s="2">
        <v>9.9</v>
      </c>
    </row>
    <row r="671" spans="1:9">
      <c r="A671" s="1">
        <v>38263</v>
      </c>
      <c r="B671" s="1">
        <v>39082</v>
      </c>
      <c r="C671" s="2">
        <f t="shared" si="13"/>
        <v>2.2422997946611911</v>
      </c>
      <c r="D671" s="3">
        <v>84.7</v>
      </c>
      <c r="E671" s="2">
        <v>9.6</v>
      </c>
      <c r="F671" s="3">
        <v>0</v>
      </c>
      <c r="G671" s="3">
        <v>1</v>
      </c>
      <c r="H671" s="3">
        <v>84.7</v>
      </c>
      <c r="I671" s="2">
        <v>9.6</v>
      </c>
    </row>
    <row r="672" spans="1:9">
      <c r="A672" s="1">
        <v>38292</v>
      </c>
      <c r="B672" s="1">
        <v>39082</v>
      </c>
      <c r="C672" s="2">
        <f t="shared" si="13"/>
        <v>2.1629021218343598</v>
      </c>
      <c r="D672" s="3">
        <v>84.7</v>
      </c>
      <c r="E672" s="2">
        <v>12.7</v>
      </c>
      <c r="F672" s="3">
        <v>0</v>
      </c>
      <c r="G672" s="3">
        <v>0</v>
      </c>
      <c r="H672" s="3">
        <v>84.7</v>
      </c>
      <c r="I672" s="2">
        <v>12.7</v>
      </c>
    </row>
    <row r="673" spans="1:9">
      <c r="A673" s="1">
        <v>37519</v>
      </c>
      <c r="B673" s="1">
        <v>39082</v>
      </c>
      <c r="C673" s="2">
        <f t="shared" si="13"/>
        <v>4.2792607802874745</v>
      </c>
      <c r="D673" s="3">
        <v>84.7</v>
      </c>
      <c r="E673" s="2">
        <v>11.2</v>
      </c>
      <c r="F673" s="3">
        <v>0</v>
      </c>
      <c r="G673" s="3">
        <v>0</v>
      </c>
      <c r="H673" s="3">
        <v>84.7</v>
      </c>
      <c r="I673" s="2">
        <v>11.2</v>
      </c>
    </row>
    <row r="674" spans="1:9">
      <c r="A674" s="1">
        <v>37539</v>
      </c>
      <c r="B674" s="1">
        <v>39082</v>
      </c>
      <c r="C674" s="2">
        <f t="shared" si="13"/>
        <v>4.2245037645448322</v>
      </c>
      <c r="D674" s="3">
        <v>84.8</v>
      </c>
      <c r="E674" s="2">
        <v>10.7</v>
      </c>
      <c r="F674" s="3">
        <v>0</v>
      </c>
      <c r="G674" s="3">
        <v>0</v>
      </c>
      <c r="H674" s="3">
        <v>84.8</v>
      </c>
      <c r="I674" s="2">
        <v>10.7</v>
      </c>
    </row>
    <row r="675" spans="1:9">
      <c r="A675" s="1">
        <v>37534</v>
      </c>
      <c r="B675" s="1">
        <v>39082</v>
      </c>
      <c r="C675" s="2">
        <f t="shared" si="13"/>
        <v>4.2381930184804926</v>
      </c>
      <c r="D675" s="3">
        <v>84.8</v>
      </c>
      <c r="E675" s="2">
        <v>12.4</v>
      </c>
      <c r="F675" s="3">
        <v>0</v>
      </c>
      <c r="G675" s="3">
        <v>0</v>
      </c>
      <c r="H675" s="3">
        <v>84.8</v>
      </c>
      <c r="I675" s="2">
        <v>12.4</v>
      </c>
    </row>
    <row r="676" spans="1:9">
      <c r="A676" s="1">
        <v>37163</v>
      </c>
      <c r="B676" s="1">
        <v>39082</v>
      </c>
      <c r="C676" s="2">
        <f t="shared" si="13"/>
        <v>5.2539356605065022</v>
      </c>
      <c r="D676" s="3">
        <v>85</v>
      </c>
      <c r="E676" s="2">
        <v>12.4</v>
      </c>
      <c r="F676" s="3">
        <v>0</v>
      </c>
      <c r="G676" s="3">
        <v>1</v>
      </c>
      <c r="H676" s="3">
        <v>85</v>
      </c>
      <c r="I676" s="2">
        <v>12.4</v>
      </c>
    </row>
    <row r="677" spans="1:9">
      <c r="A677" s="1">
        <v>37165</v>
      </c>
      <c r="B677" s="1">
        <v>39082</v>
      </c>
      <c r="C677" s="2">
        <f t="shared" si="13"/>
        <v>5.248459958932238</v>
      </c>
      <c r="D677" s="3">
        <v>85</v>
      </c>
      <c r="E677" s="2">
        <v>11.6</v>
      </c>
      <c r="F677" s="3">
        <v>0</v>
      </c>
      <c r="G677" s="3">
        <v>1</v>
      </c>
      <c r="H677" s="3">
        <v>85</v>
      </c>
      <c r="I677" s="2">
        <v>11.6</v>
      </c>
    </row>
    <row r="678" spans="1:9">
      <c r="A678" s="1">
        <v>37565</v>
      </c>
      <c r="B678" s="1">
        <v>39082</v>
      </c>
      <c r="C678" s="2">
        <f t="shared" si="13"/>
        <v>4.1533196440793976</v>
      </c>
      <c r="D678" s="3">
        <v>85</v>
      </c>
      <c r="E678" s="2">
        <v>10.8</v>
      </c>
      <c r="F678" s="3">
        <v>0</v>
      </c>
      <c r="G678" s="3">
        <v>0</v>
      </c>
      <c r="H678" s="3">
        <v>85</v>
      </c>
      <c r="I678" s="2">
        <v>10.8</v>
      </c>
    </row>
    <row r="679" spans="1:9">
      <c r="A679" s="1">
        <v>37565</v>
      </c>
      <c r="B679" s="1">
        <v>39082</v>
      </c>
      <c r="C679" s="2">
        <f t="shared" si="13"/>
        <v>4.1533196440793976</v>
      </c>
      <c r="D679" s="3">
        <v>85</v>
      </c>
      <c r="E679" s="2">
        <v>10.6</v>
      </c>
      <c r="F679" s="3">
        <v>0</v>
      </c>
      <c r="G679" s="3">
        <v>0</v>
      </c>
      <c r="H679" s="3">
        <v>85</v>
      </c>
      <c r="I679" s="2">
        <v>10.6</v>
      </c>
    </row>
    <row r="680" spans="1:9">
      <c r="A680" s="1">
        <v>38240</v>
      </c>
      <c r="B680" s="1">
        <v>39082</v>
      </c>
      <c r="C680" s="2">
        <f t="shared" si="13"/>
        <v>2.3052703627652291</v>
      </c>
      <c r="D680" s="3">
        <v>85</v>
      </c>
      <c r="E680" s="2">
        <v>10.3</v>
      </c>
      <c r="F680" s="3">
        <v>0</v>
      </c>
      <c r="G680" s="3">
        <v>1</v>
      </c>
      <c r="H680" s="3">
        <v>85</v>
      </c>
      <c r="I680" s="2">
        <v>10.3</v>
      </c>
    </row>
    <row r="681" spans="1:9">
      <c r="A681" s="1">
        <v>37389</v>
      </c>
      <c r="B681" s="1">
        <v>39082</v>
      </c>
      <c r="C681" s="2">
        <f t="shared" si="13"/>
        <v>4.6351813826146477</v>
      </c>
      <c r="D681" s="3">
        <v>85.1</v>
      </c>
      <c r="E681" s="2">
        <v>10.3</v>
      </c>
      <c r="F681" s="3">
        <v>0</v>
      </c>
      <c r="G681" s="3">
        <v>0</v>
      </c>
      <c r="H681" s="3">
        <v>85.1</v>
      </c>
      <c r="I681" s="2">
        <v>10.3</v>
      </c>
    </row>
    <row r="682" spans="1:9">
      <c r="A682" s="1">
        <v>37483</v>
      </c>
      <c r="B682" s="1">
        <v>39082</v>
      </c>
      <c r="C682" s="2">
        <f t="shared" si="13"/>
        <v>4.3778234086242298</v>
      </c>
      <c r="D682" s="3">
        <v>85.1</v>
      </c>
      <c r="E682" s="2">
        <v>11.6</v>
      </c>
      <c r="F682" s="3">
        <v>1</v>
      </c>
      <c r="G682" s="3">
        <v>1</v>
      </c>
      <c r="H682" s="3">
        <v>85.1</v>
      </c>
      <c r="I682" s="2">
        <v>11.6</v>
      </c>
    </row>
    <row r="683" spans="1:9">
      <c r="A683" s="1">
        <v>37347</v>
      </c>
      <c r="B683" s="1">
        <v>39082</v>
      </c>
      <c r="C683" s="2">
        <f t="shared" si="13"/>
        <v>4.7501711156741955</v>
      </c>
      <c r="D683" s="3">
        <v>85.1</v>
      </c>
      <c r="E683" s="2">
        <v>11.5</v>
      </c>
      <c r="F683" s="3">
        <v>0</v>
      </c>
      <c r="G683" s="3">
        <v>0</v>
      </c>
      <c r="H683" s="3">
        <v>85.1</v>
      </c>
      <c r="I683" s="2">
        <v>11.5</v>
      </c>
    </row>
    <row r="684" spans="1:9">
      <c r="A684" s="1">
        <v>38349</v>
      </c>
      <c r="B684" s="1">
        <v>39082</v>
      </c>
      <c r="C684" s="2">
        <f t="shared" si="13"/>
        <v>2.0068446269678302</v>
      </c>
      <c r="D684" s="3">
        <v>85.1</v>
      </c>
      <c r="E684" s="2">
        <v>9.6</v>
      </c>
      <c r="F684" s="3">
        <v>0</v>
      </c>
      <c r="G684" s="3">
        <v>1</v>
      </c>
      <c r="H684" s="3">
        <v>85.1</v>
      </c>
      <c r="I684" s="2">
        <v>9.6</v>
      </c>
    </row>
    <row r="685" spans="1:9">
      <c r="A685" s="1">
        <v>37363</v>
      </c>
      <c r="B685" s="1">
        <v>39082</v>
      </c>
      <c r="C685" s="2">
        <f t="shared" si="13"/>
        <v>4.7063655030800824</v>
      </c>
      <c r="D685" s="3">
        <v>85.2</v>
      </c>
      <c r="E685" s="2">
        <v>11.6</v>
      </c>
      <c r="F685" s="3">
        <v>0</v>
      </c>
      <c r="G685" s="3">
        <v>0</v>
      </c>
      <c r="H685" s="3">
        <v>85.2</v>
      </c>
      <c r="I685" s="2">
        <v>11.6</v>
      </c>
    </row>
    <row r="686" spans="1:9">
      <c r="A686" s="1">
        <v>37529</v>
      </c>
      <c r="B686" s="1">
        <v>39082</v>
      </c>
      <c r="C686" s="2">
        <f t="shared" si="13"/>
        <v>4.2518822724161529</v>
      </c>
      <c r="D686" s="3">
        <v>85.2</v>
      </c>
      <c r="E686" s="2">
        <v>9.8000000000000007</v>
      </c>
      <c r="F686" s="3">
        <v>0</v>
      </c>
      <c r="G686" s="3">
        <v>1</v>
      </c>
      <c r="H686" s="3">
        <v>85.2</v>
      </c>
      <c r="I686" s="2">
        <v>9.8000000000000007</v>
      </c>
    </row>
    <row r="687" spans="1:9">
      <c r="A687" s="1">
        <v>37768</v>
      </c>
      <c r="B687" s="1">
        <v>39082</v>
      </c>
      <c r="C687" s="2">
        <f t="shared" si="13"/>
        <v>3.5975359342915811</v>
      </c>
      <c r="D687" s="3">
        <v>85.2</v>
      </c>
      <c r="E687" s="2">
        <v>12.4</v>
      </c>
      <c r="F687" s="3">
        <v>1</v>
      </c>
      <c r="G687" s="3">
        <v>0</v>
      </c>
      <c r="H687" s="3">
        <v>85.2</v>
      </c>
      <c r="I687" s="2">
        <v>12.4</v>
      </c>
    </row>
    <row r="688" spans="1:9">
      <c r="A688" s="1">
        <v>37307</v>
      </c>
      <c r="B688" s="1">
        <v>39082</v>
      </c>
      <c r="C688" s="2">
        <f t="shared" si="13"/>
        <v>4.85968514715948</v>
      </c>
      <c r="D688" s="3">
        <v>85.3</v>
      </c>
      <c r="E688" s="2">
        <v>12</v>
      </c>
      <c r="F688" s="3">
        <v>0</v>
      </c>
      <c r="G688" s="3">
        <v>0</v>
      </c>
      <c r="H688" s="3">
        <v>85.3</v>
      </c>
      <c r="I688" s="2">
        <v>12</v>
      </c>
    </row>
    <row r="689" spans="1:9">
      <c r="A689" s="1">
        <v>37737</v>
      </c>
      <c r="B689" s="1">
        <v>39082</v>
      </c>
      <c r="C689" s="2">
        <f t="shared" si="13"/>
        <v>3.6824093086926761</v>
      </c>
      <c r="D689" s="3">
        <v>85.4</v>
      </c>
      <c r="E689" s="2">
        <v>12.7</v>
      </c>
      <c r="F689" s="3">
        <v>0</v>
      </c>
      <c r="G689" s="3">
        <v>1</v>
      </c>
      <c r="H689" s="3">
        <v>85.4</v>
      </c>
      <c r="I689" s="2">
        <v>12.7</v>
      </c>
    </row>
    <row r="690" spans="1:9">
      <c r="A690" s="1">
        <v>37509</v>
      </c>
      <c r="B690" s="1">
        <v>39082</v>
      </c>
      <c r="C690" s="2">
        <f t="shared" si="13"/>
        <v>4.3066392881587952</v>
      </c>
      <c r="D690" s="3">
        <v>85.4</v>
      </c>
      <c r="E690" s="2">
        <v>11.6</v>
      </c>
      <c r="F690" s="3">
        <v>0</v>
      </c>
      <c r="G690" s="3">
        <v>1</v>
      </c>
      <c r="H690" s="3">
        <v>85.4</v>
      </c>
      <c r="I690" s="2">
        <v>11.6</v>
      </c>
    </row>
    <row r="691" spans="1:9">
      <c r="A691" s="1">
        <v>38093</v>
      </c>
      <c r="B691" s="1">
        <v>39082</v>
      </c>
      <c r="C691" s="2">
        <f t="shared" si="13"/>
        <v>2.707734428473648</v>
      </c>
      <c r="D691" s="3">
        <v>85.4</v>
      </c>
      <c r="E691" s="2">
        <v>13.1</v>
      </c>
      <c r="F691" s="3">
        <v>0</v>
      </c>
      <c r="G691" s="3">
        <v>0</v>
      </c>
      <c r="H691" s="3">
        <v>85.4</v>
      </c>
      <c r="I691" s="2">
        <v>13.1</v>
      </c>
    </row>
    <row r="692" spans="1:9">
      <c r="A692" s="1">
        <v>38278</v>
      </c>
      <c r="B692" s="1">
        <v>39082</v>
      </c>
      <c r="C692" s="2">
        <f t="shared" si="13"/>
        <v>2.2012320328542097</v>
      </c>
      <c r="D692" s="3">
        <v>85.5</v>
      </c>
      <c r="E692" s="2">
        <v>12</v>
      </c>
      <c r="F692" s="3">
        <v>0</v>
      </c>
      <c r="G692" s="3">
        <v>0</v>
      </c>
      <c r="H692" s="3">
        <v>85.5</v>
      </c>
      <c r="I692" s="2">
        <v>12</v>
      </c>
    </row>
    <row r="693" spans="1:9">
      <c r="A693" s="1">
        <v>37147</v>
      </c>
      <c r="B693" s="1">
        <v>39082</v>
      </c>
      <c r="C693" s="2">
        <f t="shared" si="13"/>
        <v>5.2977412731006162</v>
      </c>
      <c r="D693" s="3">
        <v>85.5</v>
      </c>
      <c r="E693" s="2">
        <v>13.8</v>
      </c>
      <c r="F693" s="3">
        <v>0</v>
      </c>
      <c r="G693" s="3">
        <v>0</v>
      </c>
      <c r="H693" s="3">
        <v>85.5</v>
      </c>
      <c r="I693" s="2">
        <v>13.8</v>
      </c>
    </row>
    <row r="694" spans="1:9">
      <c r="A694" s="1">
        <v>37097</v>
      </c>
      <c r="B694" s="1">
        <v>39082</v>
      </c>
      <c r="C694" s="2">
        <f t="shared" si="13"/>
        <v>5.4346338124572213</v>
      </c>
      <c r="D694" s="3">
        <v>85.5</v>
      </c>
      <c r="E694" s="2">
        <v>10.9</v>
      </c>
      <c r="F694" s="3">
        <v>1</v>
      </c>
      <c r="G694" s="3">
        <v>0</v>
      </c>
      <c r="H694" s="3">
        <v>85.5</v>
      </c>
      <c r="I694" s="2">
        <v>10.9</v>
      </c>
    </row>
    <row r="695" spans="1:9">
      <c r="A695" s="1">
        <v>37444</v>
      </c>
      <c r="B695" s="1">
        <v>39082</v>
      </c>
      <c r="C695" s="2">
        <f t="shared" si="13"/>
        <v>4.4845995893223822</v>
      </c>
      <c r="D695" s="3">
        <v>85.5</v>
      </c>
      <c r="E695" s="2">
        <v>10.4</v>
      </c>
      <c r="F695" s="3">
        <v>0</v>
      </c>
      <c r="G695" s="3">
        <v>0</v>
      </c>
      <c r="H695" s="3">
        <v>85.5</v>
      </c>
      <c r="I695" s="2">
        <v>10.4</v>
      </c>
    </row>
    <row r="696" spans="1:9">
      <c r="A696" s="1">
        <v>38225</v>
      </c>
      <c r="B696" s="1">
        <v>39082</v>
      </c>
      <c r="C696" s="2">
        <f t="shared" si="13"/>
        <v>2.346338124572211</v>
      </c>
      <c r="D696" s="3">
        <v>85.6</v>
      </c>
      <c r="E696" s="2">
        <v>10.8</v>
      </c>
      <c r="F696" s="3">
        <v>0</v>
      </c>
      <c r="G696" s="3">
        <v>0</v>
      </c>
      <c r="H696" s="3">
        <v>85.6</v>
      </c>
      <c r="I696" s="2">
        <v>10.8</v>
      </c>
    </row>
    <row r="697" spans="1:9">
      <c r="A697" s="1">
        <v>38276</v>
      </c>
      <c r="B697" s="1">
        <v>39082</v>
      </c>
      <c r="C697" s="2">
        <f t="shared" si="13"/>
        <v>2.2067077344284738</v>
      </c>
      <c r="D697" s="3">
        <v>85.6</v>
      </c>
      <c r="E697" s="2">
        <v>12.7</v>
      </c>
      <c r="F697" s="3">
        <v>0</v>
      </c>
      <c r="G697" s="3">
        <v>1</v>
      </c>
      <c r="H697" s="3">
        <v>85.6</v>
      </c>
      <c r="I697" s="2">
        <v>12.7</v>
      </c>
    </row>
    <row r="698" spans="1:9">
      <c r="A698" s="1">
        <v>38047</v>
      </c>
      <c r="B698" s="1">
        <v>39082</v>
      </c>
      <c r="C698" s="2">
        <f t="shared" si="13"/>
        <v>2.8336755646817249</v>
      </c>
      <c r="D698" s="3">
        <v>85.6</v>
      </c>
      <c r="E698" s="2">
        <v>12.6</v>
      </c>
      <c r="F698" s="3">
        <v>1</v>
      </c>
      <c r="G698" s="3">
        <v>1</v>
      </c>
      <c r="H698" s="3">
        <v>85.6</v>
      </c>
      <c r="I698" s="2">
        <v>12.6</v>
      </c>
    </row>
    <row r="699" spans="1:9">
      <c r="A699" s="1">
        <v>38261</v>
      </c>
      <c r="B699" s="1">
        <v>39082</v>
      </c>
      <c r="C699" s="2">
        <f t="shared" si="13"/>
        <v>2.2477754962354553</v>
      </c>
      <c r="D699" s="3">
        <v>85.6</v>
      </c>
      <c r="E699" s="2">
        <v>11.2</v>
      </c>
      <c r="F699" s="3">
        <v>0</v>
      </c>
      <c r="G699" s="3">
        <v>1</v>
      </c>
      <c r="H699" s="3">
        <v>85.6</v>
      </c>
      <c r="I699" s="2">
        <v>11.2</v>
      </c>
    </row>
    <row r="700" spans="1:9">
      <c r="A700" s="1">
        <v>37525</v>
      </c>
      <c r="B700" s="1">
        <v>39082</v>
      </c>
      <c r="C700" s="2">
        <f t="shared" si="13"/>
        <v>4.2628336755646821</v>
      </c>
      <c r="D700" s="3">
        <v>85.7</v>
      </c>
      <c r="E700" s="2">
        <v>11.1</v>
      </c>
      <c r="F700" s="3">
        <v>1</v>
      </c>
      <c r="G700" s="3">
        <v>1</v>
      </c>
      <c r="H700" s="3">
        <v>85.7</v>
      </c>
      <c r="I700" s="2">
        <v>11.1</v>
      </c>
    </row>
    <row r="701" spans="1:9">
      <c r="A701" s="1">
        <v>37602</v>
      </c>
      <c r="B701" s="1">
        <v>39082</v>
      </c>
      <c r="C701" s="2">
        <f t="shared" si="13"/>
        <v>4.0520191649555102</v>
      </c>
      <c r="D701" s="3">
        <v>85.7</v>
      </c>
      <c r="E701" s="2">
        <v>11.2</v>
      </c>
      <c r="F701" s="3">
        <v>1</v>
      </c>
      <c r="G701" s="3">
        <v>1</v>
      </c>
      <c r="H701" s="3">
        <v>85.7</v>
      </c>
      <c r="I701" s="2">
        <v>11.2</v>
      </c>
    </row>
    <row r="702" spans="1:9">
      <c r="A702" s="1">
        <v>38086</v>
      </c>
      <c r="B702" s="1">
        <v>39082</v>
      </c>
      <c r="C702" s="2">
        <f t="shared" si="13"/>
        <v>2.7268993839835729</v>
      </c>
      <c r="D702" s="3">
        <v>85.7</v>
      </c>
      <c r="E702" s="2">
        <v>11.2</v>
      </c>
      <c r="F702" s="3">
        <v>1</v>
      </c>
      <c r="G702" s="3">
        <v>1</v>
      </c>
      <c r="H702" s="3">
        <v>85.7</v>
      </c>
      <c r="I702" s="2">
        <v>11.2</v>
      </c>
    </row>
    <row r="703" spans="1:9">
      <c r="A703" s="1">
        <v>38266</v>
      </c>
      <c r="B703" s="1">
        <v>39082</v>
      </c>
      <c r="C703" s="2">
        <f t="shared" si="13"/>
        <v>2.2340862422997945</v>
      </c>
      <c r="D703" s="3">
        <v>85.7</v>
      </c>
      <c r="E703" s="2">
        <v>11.3</v>
      </c>
      <c r="F703" s="3">
        <v>0</v>
      </c>
      <c r="G703" s="3">
        <v>1</v>
      </c>
      <c r="H703" s="3">
        <v>85.7</v>
      </c>
      <c r="I703" s="2">
        <v>11.3</v>
      </c>
    </row>
    <row r="704" spans="1:9">
      <c r="A704" s="1">
        <v>37514</v>
      </c>
      <c r="B704" s="1">
        <v>39082</v>
      </c>
      <c r="C704" s="2">
        <f t="shared" si="13"/>
        <v>4.2929500342231348</v>
      </c>
      <c r="D704" s="3">
        <v>85.8</v>
      </c>
      <c r="E704" s="2">
        <v>11.3</v>
      </c>
      <c r="F704" s="3">
        <v>0</v>
      </c>
      <c r="G704" s="3">
        <v>0</v>
      </c>
      <c r="H704" s="3">
        <v>85.8</v>
      </c>
      <c r="I704" s="2">
        <v>11.3</v>
      </c>
    </row>
    <row r="705" spans="1:9">
      <c r="A705" s="1">
        <v>37463</v>
      </c>
      <c r="B705" s="1">
        <v>39082</v>
      </c>
      <c r="C705" s="2">
        <f t="shared" si="13"/>
        <v>4.4325804243668721</v>
      </c>
      <c r="D705" s="3">
        <v>85.9</v>
      </c>
      <c r="E705" s="2">
        <v>11.3</v>
      </c>
      <c r="F705" s="3">
        <v>0</v>
      </c>
      <c r="G705" s="3">
        <v>0</v>
      </c>
      <c r="H705" s="3">
        <v>85.9</v>
      </c>
      <c r="I705" s="2">
        <v>11.3</v>
      </c>
    </row>
    <row r="706" spans="1:9">
      <c r="A706" s="1">
        <v>37549</v>
      </c>
      <c r="B706" s="1">
        <v>39082</v>
      </c>
      <c r="C706" s="2">
        <f t="shared" ref="C706:C769" si="14">(B706-A706)/365.25</f>
        <v>4.1971252566735116</v>
      </c>
      <c r="D706" s="3">
        <v>85.9</v>
      </c>
      <c r="E706" s="2">
        <v>9.5</v>
      </c>
      <c r="F706" s="3">
        <v>0</v>
      </c>
      <c r="G706" s="3">
        <v>1</v>
      </c>
      <c r="H706" s="3">
        <v>85.9</v>
      </c>
      <c r="I706" s="2">
        <v>9.5</v>
      </c>
    </row>
    <row r="707" spans="1:9">
      <c r="A707" s="1">
        <v>37541</v>
      </c>
      <c r="B707" s="1">
        <v>39082</v>
      </c>
      <c r="C707" s="2">
        <f t="shared" si="14"/>
        <v>4.2190280629705681</v>
      </c>
      <c r="D707" s="3">
        <v>86</v>
      </c>
      <c r="E707" s="2">
        <v>11.7</v>
      </c>
      <c r="F707" s="3">
        <v>0</v>
      </c>
      <c r="G707" s="3">
        <v>0</v>
      </c>
      <c r="H707" s="3">
        <v>86</v>
      </c>
      <c r="I707" s="2">
        <v>11.7</v>
      </c>
    </row>
    <row r="708" spans="1:9">
      <c r="A708" s="1">
        <v>37154</v>
      </c>
      <c r="B708" s="1">
        <v>39082</v>
      </c>
      <c r="C708" s="2">
        <f t="shared" si="14"/>
        <v>5.2785763175906917</v>
      </c>
      <c r="D708" s="3">
        <v>86</v>
      </c>
      <c r="E708" s="2">
        <v>9.8000000000000007</v>
      </c>
      <c r="F708" s="3">
        <v>0</v>
      </c>
      <c r="G708" s="3">
        <v>1</v>
      </c>
      <c r="H708" s="3">
        <v>86</v>
      </c>
      <c r="I708" s="2">
        <v>9.8000000000000007</v>
      </c>
    </row>
    <row r="709" spans="1:9">
      <c r="A709" s="1">
        <v>37302</v>
      </c>
      <c r="B709" s="1">
        <v>39082</v>
      </c>
      <c r="C709" s="2">
        <f t="shared" si="14"/>
        <v>4.8733744010951403</v>
      </c>
      <c r="D709" s="3">
        <v>86</v>
      </c>
      <c r="E709" s="2">
        <v>9.1</v>
      </c>
      <c r="F709" s="3">
        <v>1</v>
      </c>
      <c r="G709" s="3">
        <v>1</v>
      </c>
      <c r="H709" s="3">
        <v>86</v>
      </c>
      <c r="I709" s="2">
        <v>9.1</v>
      </c>
    </row>
    <row r="710" spans="1:9">
      <c r="A710" s="1">
        <v>38047</v>
      </c>
      <c r="B710" s="1">
        <v>39082</v>
      </c>
      <c r="C710" s="2">
        <f t="shared" si="14"/>
        <v>2.8336755646817249</v>
      </c>
      <c r="D710" s="3">
        <v>86</v>
      </c>
      <c r="E710" s="2">
        <v>12</v>
      </c>
      <c r="F710" s="3">
        <v>0</v>
      </c>
      <c r="G710" s="3">
        <v>1</v>
      </c>
      <c r="H710" s="3">
        <v>86</v>
      </c>
      <c r="I710" s="2">
        <v>12</v>
      </c>
    </row>
    <row r="711" spans="1:9">
      <c r="A711" s="1">
        <v>37279</v>
      </c>
      <c r="B711" s="1">
        <v>39082</v>
      </c>
      <c r="C711" s="2">
        <f t="shared" si="14"/>
        <v>4.9363449691991788</v>
      </c>
      <c r="D711" s="3">
        <v>86</v>
      </c>
      <c r="E711" s="2">
        <v>10.7</v>
      </c>
      <c r="F711" s="3">
        <v>1</v>
      </c>
      <c r="G711" s="3">
        <v>0</v>
      </c>
      <c r="H711" s="3">
        <v>86</v>
      </c>
      <c r="I711" s="2">
        <v>10.7</v>
      </c>
    </row>
    <row r="712" spans="1:9">
      <c r="A712" s="1">
        <v>37537</v>
      </c>
      <c r="B712" s="1">
        <v>39082</v>
      </c>
      <c r="C712" s="2">
        <f t="shared" si="14"/>
        <v>4.2299794661190964</v>
      </c>
      <c r="D712" s="3">
        <v>86</v>
      </c>
      <c r="E712" s="2">
        <v>10.8</v>
      </c>
      <c r="F712" s="3">
        <v>1</v>
      </c>
      <c r="G712" s="3">
        <v>1</v>
      </c>
      <c r="H712" s="3">
        <v>86</v>
      </c>
      <c r="I712" s="2">
        <v>10.8</v>
      </c>
    </row>
    <row r="713" spans="1:9">
      <c r="A713" s="1">
        <v>37427</v>
      </c>
      <c r="B713" s="1">
        <v>39082</v>
      </c>
      <c r="C713" s="2">
        <f t="shared" si="14"/>
        <v>4.5311430527036274</v>
      </c>
      <c r="D713" s="3">
        <v>86</v>
      </c>
      <c r="E713" s="2">
        <v>11.6</v>
      </c>
      <c r="F713" s="3">
        <v>0</v>
      </c>
      <c r="G713" s="3">
        <v>1</v>
      </c>
      <c r="H713" s="3">
        <v>86</v>
      </c>
      <c r="I713" s="2">
        <v>11.6</v>
      </c>
    </row>
    <row r="714" spans="1:9">
      <c r="A714" s="1">
        <v>38231</v>
      </c>
      <c r="B714" s="1">
        <v>39082</v>
      </c>
      <c r="C714" s="2">
        <f t="shared" si="14"/>
        <v>2.3299110198494182</v>
      </c>
      <c r="D714" s="3">
        <v>86.1</v>
      </c>
      <c r="E714" s="2">
        <v>11.4</v>
      </c>
      <c r="F714" s="3">
        <v>0</v>
      </c>
      <c r="G714" s="3">
        <v>0</v>
      </c>
      <c r="H714" s="3">
        <v>86.1</v>
      </c>
      <c r="I714" s="2">
        <v>11.4</v>
      </c>
    </row>
    <row r="715" spans="1:9">
      <c r="A715" s="1">
        <v>38172</v>
      </c>
      <c r="B715" s="1">
        <v>39082</v>
      </c>
      <c r="C715" s="2">
        <f t="shared" si="14"/>
        <v>2.4914442162902124</v>
      </c>
      <c r="D715" s="3">
        <v>86.1</v>
      </c>
      <c r="E715" s="2">
        <v>10.3</v>
      </c>
      <c r="F715" s="3">
        <v>0</v>
      </c>
      <c r="G715" s="3">
        <v>0</v>
      </c>
      <c r="H715" s="3">
        <v>86.1</v>
      </c>
      <c r="I715" s="2">
        <v>10.3</v>
      </c>
    </row>
    <row r="716" spans="1:9">
      <c r="A716" s="1">
        <v>36661</v>
      </c>
      <c r="B716" s="1">
        <v>39082</v>
      </c>
      <c r="C716" s="2">
        <f t="shared" si="14"/>
        <v>6.6283367556468171</v>
      </c>
      <c r="D716" s="3">
        <v>86.2</v>
      </c>
      <c r="E716" s="2">
        <v>13.6</v>
      </c>
      <c r="F716" s="3">
        <v>0</v>
      </c>
      <c r="G716" s="3">
        <v>1</v>
      </c>
      <c r="H716" s="3">
        <v>86.2</v>
      </c>
      <c r="I716" s="2">
        <v>13.6</v>
      </c>
    </row>
    <row r="717" spans="1:9">
      <c r="A717" s="1">
        <v>37679</v>
      </c>
      <c r="B717" s="1">
        <v>39082</v>
      </c>
      <c r="C717" s="2">
        <f t="shared" si="14"/>
        <v>3.8412046543463383</v>
      </c>
      <c r="D717" s="3">
        <v>86.2</v>
      </c>
      <c r="E717" s="2">
        <v>10.3</v>
      </c>
      <c r="F717" s="3">
        <v>0</v>
      </c>
      <c r="G717" s="3">
        <v>0</v>
      </c>
      <c r="H717" s="3">
        <v>86.2</v>
      </c>
      <c r="I717" s="2">
        <v>10.3</v>
      </c>
    </row>
    <row r="718" spans="1:9">
      <c r="A718" s="1">
        <v>37250</v>
      </c>
      <c r="B718" s="1">
        <v>39082</v>
      </c>
      <c r="C718" s="2">
        <f t="shared" si="14"/>
        <v>5.0157426420260096</v>
      </c>
      <c r="D718" s="3">
        <v>86.2</v>
      </c>
      <c r="E718" s="2">
        <v>10.7</v>
      </c>
      <c r="F718" s="3">
        <v>0</v>
      </c>
      <c r="G718" s="3">
        <v>0</v>
      </c>
      <c r="H718" s="3">
        <v>86.2</v>
      </c>
      <c r="I718" s="2">
        <v>10.7</v>
      </c>
    </row>
    <row r="719" spans="1:9">
      <c r="A719" s="1">
        <v>37413</v>
      </c>
      <c r="B719" s="1">
        <v>39082</v>
      </c>
      <c r="C719" s="2">
        <f t="shared" si="14"/>
        <v>4.5694729637234772</v>
      </c>
      <c r="D719" s="3">
        <v>86.3</v>
      </c>
      <c r="E719" s="2">
        <v>10.3</v>
      </c>
      <c r="F719" s="3">
        <v>0</v>
      </c>
      <c r="G719" s="3">
        <v>1</v>
      </c>
      <c r="H719" s="3">
        <v>86.3</v>
      </c>
      <c r="I719" s="2">
        <v>10.3</v>
      </c>
    </row>
    <row r="720" spans="1:9">
      <c r="A720" s="1">
        <v>37396</v>
      </c>
      <c r="B720" s="1">
        <v>39082</v>
      </c>
      <c r="C720" s="2">
        <f t="shared" si="14"/>
        <v>4.6160164271047224</v>
      </c>
      <c r="D720" s="3">
        <v>86.4</v>
      </c>
      <c r="E720" s="2">
        <v>11</v>
      </c>
      <c r="F720" s="3">
        <v>0</v>
      </c>
      <c r="G720" s="3">
        <v>1</v>
      </c>
      <c r="H720" s="3">
        <v>86.4</v>
      </c>
      <c r="I720" s="2">
        <v>11</v>
      </c>
    </row>
    <row r="721" spans="1:9">
      <c r="A721" s="1">
        <v>38275</v>
      </c>
      <c r="B721" s="1">
        <v>39082</v>
      </c>
      <c r="C721" s="2">
        <f t="shared" si="14"/>
        <v>2.2094455852156059</v>
      </c>
      <c r="D721" s="3">
        <v>86.6</v>
      </c>
      <c r="E721" s="2">
        <v>12.9</v>
      </c>
      <c r="F721" s="3">
        <v>0</v>
      </c>
      <c r="G721" s="3">
        <v>0</v>
      </c>
      <c r="H721" s="3">
        <v>86.6</v>
      </c>
      <c r="I721" s="2">
        <v>12.9</v>
      </c>
    </row>
    <row r="722" spans="1:9">
      <c r="A722" s="1">
        <v>38020</v>
      </c>
      <c r="B722" s="1">
        <v>39082</v>
      </c>
      <c r="C722" s="2">
        <f t="shared" si="14"/>
        <v>2.9075975359342916</v>
      </c>
      <c r="D722" s="3">
        <v>86.6</v>
      </c>
      <c r="E722" s="2">
        <v>10.4</v>
      </c>
      <c r="F722" s="3">
        <v>0</v>
      </c>
      <c r="G722" s="3">
        <v>0</v>
      </c>
      <c r="H722" s="3">
        <v>86.6</v>
      </c>
      <c r="I722" s="2">
        <v>10.4</v>
      </c>
    </row>
    <row r="723" spans="1:9">
      <c r="A723" s="1">
        <v>37662</v>
      </c>
      <c r="B723" s="1">
        <v>39082</v>
      </c>
      <c r="C723" s="2">
        <f t="shared" si="14"/>
        <v>3.8877481177275839</v>
      </c>
      <c r="D723" s="3">
        <v>86.6</v>
      </c>
      <c r="E723" s="2">
        <v>12</v>
      </c>
      <c r="F723" s="3">
        <v>0</v>
      </c>
      <c r="G723" s="3">
        <v>0</v>
      </c>
      <c r="H723" s="3">
        <v>86.6</v>
      </c>
      <c r="I723" s="2">
        <v>12</v>
      </c>
    </row>
    <row r="724" spans="1:9">
      <c r="A724" s="1">
        <v>38264</v>
      </c>
      <c r="B724" s="1">
        <v>39082</v>
      </c>
      <c r="C724" s="2">
        <f t="shared" si="14"/>
        <v>2.239561943874059</v>
      </c>
      <c r="D724" s="3">
        <v>86.7</v>
      </c>
      <c r="E724" s="2">
        <v>10.6</v>
      </c>
      <c r="F724" s="3">
        <v>0</v>
      </c>
      <c r="G724" s="3">
        <v>0</v>
      </c>
      <c r="H724" s="3">
        <v>86.7</v>
      </c>
      <c r="I724" s="2">
        <v>10.6</v>
      </c>
    </row>
    <row r="725" spans="1:9">
      <c r="A725" s="1">
        <v>37504</v>
      </c>
      <c r="B725" s="1">
        <v>39082</v>
      </c>
      <c r="C725" s="2">
        <f t="shared" si="14"/>
        <v>4.3203285420944555</v>
      </c>
      <c r="D725" s="3">
        <v>86.7</v>
      </c>
      <c r="E725" s="2">
        <v>11.7</v>
      </c>
      <c r="F725" s="3">
        <v>0</v>
      </c>
      <c r="G725" s="3">
        <v>1</v>
      </c>
      <c r="H725" s="3">
        <v>86.7</v>
      </c>
      <c r="I725" s="2">
        <v>11.7</v>
      </c>
    </row>
    <row r="726" spans="1:9">
      <c r="A726" s="1">
        <v>37145</v>
      </c>
      <c r="B726" s="1">
        <v>39082</v>
      </c>
      <c r="C726" s="2">
        <f t="shared" si="14"/>
        <v>5.3032169746748803</v>
      </c>
      <c r="D726" s="3">
        <v>86.7</v>
      </c>
      <c r="E726" s="2">
        <v>12.8</v>
      </c>
      <c r="F726" s="3">
        <v>0</v>
      </c>
      <c r="G726" s="3">
        <v>0</v>
      </c>
      <c r="H726" s="3">
        <v>86.7</v>
      </c>
      <c r="I726" s="2">
        <v>12.8</v>
      </c>
    </row>
    <row r="727" spans="1:9">
      <c r="A727" s="1">
        <v>37458</v>
      </c>
      <c r="B727" s="1">
        <v>39082</v>
      </c>
      <c r="C727" s="2">
        <f t="shared" si="14"/>
        <v>4.4462696783025324</v>
      </c>
      <c r="D727" s="3">
        <v>86.7</v>
      </c>
      <c r="E727" s="2">
        <v>12.9</v>
      </c>
      <c r="F727" s="3">
        <v>0</v>
      </c>
      <c r="G727" s="3">
        <v>1</v>
      </c>
      <c r="H727" s="3">
        <v>86.7</v>
      </c>
      <c r="I727" s="2">
        <v>12.9</v>
      </c>
    </row>
    <row r="728" spans="1:9">
      <c r="A728" s="1">
        <v>38252</v>
      </c>
      <c r="B728" s="1">
        <v>39082</v>
      </c>
      <c r="C728" s="2">
        <f t="shared" si="14"/>
        <v>2.2724161533196439</v>
      </c>
      <c r="D728" s="3">
        <v>86.8</v>
      </c>
      <c r="E728" s="2">
        <v>11.4</v>
      </c>
      <c r="F728" s="3">
        <v>0</v>
      </c>
      <c r="G728" s="3">
        <v>0</v>
      </c>
      <c r="H728" s="3">
        <v>86.8</v>
      </c>
      <c r="I728" s="2">
        <v>11.4</v>
      </c>
    </row>
    <row r="729" spans="1:9">
      <c r="A729" s="1">
        <v>37238</v>
      </c>
      <c r="B729" s="1">
        <v>39082</v>
      </c>
      <c r="C729" s="2">
        <f t="shared" si="14"/>
        <v>5.0485968514715944</v>
      </c>
      <c r="D729" s="3">
        <v>86.8</v>
      </c>
      <c r="E729" s="2">
        <v>12.4</v>
      </c>
      <c r="F729" s="3">
        <v>0</v>
      </c>
      <c r="G729" s="3">
        <v>1</v>
      </c>
      <c r="H729" s="3">
        <v>86.8</v>
      </c>
      <c r="I729" s="2">
        <v>12.4</v>
      </c>
    </row>
    <row r="730" spans="1:9">
      <c r="A730" s="1">
        <v>37024</v>
      </c>
      <c r="B730" s="1">
        <v>39082</v>
      </c>
      <c r="C730" s="2">
        <f t="shared" si="14"/>
        <v>5.6344969199178641</v>
      </c>
      <c r="D730" s="3">
        <v>86.8</v>
      </c>
      <c r="E730" s="2">
        <v>11.1</v>
      </c>
      <c r="F730" s="3">
        <v>0</v>
      </c>
      <c r="G730" s="3">
        <v>1</v>
      </c>
      <c r="H730" s="3">
        <v>86.8</v>
      </c>
      <c r="I730" s="2">
        <v>11.1</v>
      </c>
    </row>
    <row r="731" spans="1:9">
      <c r="A731" s="1">
        <v>37530</v>
      </c>
      <c r="B731" s="1">
        <v>39082</v>
      </c>
      <c r="C731" s="2">
        <f t="shared" si="14"/>
        <v>4.2491444216290208</v>
      </c>
      <c r="D731" s="3">
        <v>86.8</v>
      </c>
      <c r="E731" s="2">
        <v>11</v>
      </c>
      <c r="F731" s="3">
        <v>0</v>
      </c>
      <c r="G731" s="3">
        <v>1</v>
      </c>
      <c r="H731" s="3">
        <v>86.8</v>
      </c>
      <c r="I731" s="2">
        <v>11</v>
      </c>
    </row>
    <row r="732" spans="1:9">
      <c r="A732" s="1">
        <v>37995</v>
      </c>
      <c r="B732" s="1">
        <v>39082</v>
      </c>
      <c r="C732" s="2">
        <f t="shared" si="14"/>
        <v>2.9760438056125942</v>
      </c>
      <c r="D732" s="3">
        <v>86.8</v>
      </c>
      <c r="E732" s="2">
        <v>13.1</v>
      </c>
      <c r="F732" s="3">
        <v>1</v>
      </c>
      <c r="G732" s="3">
        <v>1</v>
      </c>
      <c r="H732" s="3">
        <v>86.8</v>
      </c>
      <c r="I732" s="2">
        <v>13.1</v>
      </c>
    </row>
    <row r="733" spans="1:9">
      <c r="A733" s="1">
        <v>38183</v>
      </c>
      <c r="B733" s="1">
        <v>39082</v>
      </c>
      <c r="C733" s="2">
        <f t="shared" si="14"/>
        <v>2.4613278576317592</v>
      </c>
      <c r="D733" s="3">
        <v>86.9</v>
      </c>
      <c r="E733" s="2">
        <v>13.8</v>
      </c>
      <c r="F733" s="3">
        <v>1</v>
      </c>
      <c r="G733" s="3">
        <v>0</v>
      </c>
      <c r="H733" s="3">
        <v>86.9</v>
      </c>
      <c r="I733" s="2">
        <v>13.8</v>
      </c>
    </row>
    <row r="734" spans="1:9">
      <c r="A734" s="1">
        <v>38066</v>
      </c>
      <c r="B734" s="1">
        <v>39082</v>
      </c>
      <c r="C734" s="2">
        <f t="shared" si="14"/>
        <v>2.7816563997262147</v>
      </c>
      <c r="D734" s="3">
        <v>86.9</v>
      </c>
      <c r="E734" s="2">
        <v>11</v>
      </c>
      <c r="F734" s="3">
        <v>0</v>
      </c>
      <c r="G734" s="3">
        <v>1</v>
      </c>
      <c r="H734" s="3">
        <v>86.9</v>
      </c>
      <c r="I734" s="2">
        <v>11</v>
      </c>
    </row>
    <row r="735" spans="1:9">
      <c r="A735" s="1">
        <v>37449</v>
      </c>
      <c r="B735" s="1">
        <v>39082</v>
      </c>
      <c r="C735" s="2">
        <f t="shared" si="14"/>
        <v>4.470910335386721</v>
      </c>
      <c r="D735" s="3">
        <v>87</v>
      </c>
      <c r="E735" s="2">
        <v>13</v>
      </c>
      <c r="F735" s="3">
        <v>0</v>
      </c>
      <c r="G735" s="3">
        <v>0</v>
      </c>
      <c r="H735" s="3">
        <v>87</v>
      </c>
      <c r="I735" s="2">
        <v>13</v>
      </c>
    </row>
    <row r="736" spans="1:9">
      <c r="A736" s="1">
        <v>36951</v>
      </c>
      <c r="B736" s="1">
        <v>39082</v>
      </c>
      <c r="C736" s="2">
        <f t="shared" si="14"/>
        <v>5.8343600273785077</v>
      </c>
      <c r="D736" s="3">
        <v>87</v>
      </c>
      <c r="E736" s="2">
        <v>11.5</v>
      </c>
      <c r="F736" s="3">
        <v>0</v>
      </c>
      <c r="G736" s="3">
        <v>1</v>
      </c>
      <c r="H736" s="3">
        <v>87</v>
      </c>
      <c r="I736" s="2">
        <v>11.5</v>
      </c>
    </row>
    <row r="737" spans="1:9">
      <c r="A737" s="1">
        <v>38051</v>
      </c>
      <c r="B737" s="1">
        <v>39082</v>
      </c>
      <c r="C737" s="2">
        <f t="shared" si="14"/>
        <v>2.8227241615331966</v>
      </c>
      <c r="D737" s="3">
        <v>87</v>
      </c>
      <c r="E737" s="2">
        <v>13.3</v>
      </c>
      <c r="F737" s="3">
        <v>0</v>
      </c>
      <c r="G737" s="3">
        <v>1</v>
      </c>
      <c r="H737" s="3">
        <v>87</v>
      </c>
      <c r="I737" s="2">
        <v>13.3</v>
      </c>
    </row>
    <row r="738" spans="1:9">
      <c r="A738" s="1">
        <v>37106</v>
      </c>
      <c r="B738" s="1">
        <v>39082</v>
      </c>
      <c r="C738" s="2">
        <f t="shared" si="14"/>
        <v>5.4099931553730318</v>
      </c>
      <c r="D738" s="3">
        <v>87</v>
      </c>
      <c r="E738" s="2">
        <v>11.6</v>
      </c>
      <c r="F738" s="3">
        <v>0</v>
      </c>
      <c r="G738" s="3">
        <v>1</v>
      </c>
      <c r="H738" s="3">
        <v>87</v>
      </c>
      <c r="I738" s="2">
        <v>11.6</v>
      </c>
    </row>
    <row r="739" spans="1:9">
      <c r="A739" s="1">
        <v>37199</v>
      </c>
      <c r="B739" s="1">
        <v>39082</v>
      </c>
      <c r="C739" s="2">
        <f t="shared" si="14"/>
        <v>5.1553730321697468</v>
      </c>
      <c r="D739" s="3">
        <v>87</v>
      </c>
      <c r="E739" s="2">
        <v>11.3</v>
      </c>
      <c r="F739" s="3">
        <v>0</v>
      </c>
      <c r="G739" s="3">
        <v>0</v>
      </c>
      <c r="H739" s="3">
        <v>87</v>
      </c>
      <c r="I739" s="2">
        <v>11.3</v>
      </c>
    </row>
    <row r="740" spans="1:9">
      <c r="A740" s="1">
        <v>37622</v>
      </c>
      <c r="B740" s="1">
        <v>39082</v>
      </c>
      <c r="C740" s="2">
        <f t="shared" si="14"/>
        <v>3.9972621492128679</v>
      </c>
      <c r="D740" s="3">
        <v>87</v>
      </c>
      <c r="E740" s="2">
        <v>10.199999999999999</v>
      </c>
      <c r="F740" s="3">
        <v>0</v>
      </c>
      <c r="G740" s="3">
        <v>0</v>
      </c>
      <c r="H740" s="3">
        <v>87</v>
      </c>
      <c r="I740" s="2">
        <v>10.199999999999999</v>
      </c>
    </row>
    <row r="741" spans="1:9">
      <c r="A741" s="1">
        <v>38249</v>
      </c>
      <c r="B741" s="1">
        <v>39082</v>
      </c>
      <c r="C741" s="2">
        <f t="shared" si="14"/>
        <v>2.2806297056810405</v>
      </c>
      <c r="D741" s="3">
        <v>87.1</v>
      </c>
      <c r="E741" s="2">
        <v>11.8</v>
      </c>
      <c r="F741" s="3">
        <v>0</v>
      </c>
      <c r="G741" s="3">
        <v>1</v>
      </c>
      <c r="H741" s="3">
        <v>87.1</v>
      </c>
      <c r="I741" s="2">
        <v>11.8</v>
      </c>
    </row>
    <row r="742" spans="1:9">
      <c r="A742" s="1">
        <v>37316</v>
      </c>
      <c r="B742" s="1">
        <v>39082</v>
      </c>
      <c r="C742" s="2">
        <f t="shared" si="14"/>
        <v>4.8350444900752905</v>
      </c>
      <c r="D742" s="3">
        <v>87.1</v>
      </c>
      <c r="E742" s="2">
        <v>11.1</v>
      </c>
      <c r="F742" s="3">
        <v>0</v>
      </c>
      <c r="G742" s="3">
        <v>1</v>
      </c>
      <c r="H742" s="3">
        <v>87.1</v>
      </c>
      <c r="I742" s="2">
        <v>11.1</v>
      </c>
    </row>
    <row r="743" spans="1:9">
      <c r="A743" s="1">
        <v>37289</v>
      </c>
      <c r="B743" s="1">
        <v>39082</v>
      </c>
      <c r="C743" s="2">
        <f t="shared" si="14"/>
        <v>4.9089664613278572</v>
      </c>
      <c r="D743" s="3">
        <v>87.2</v>
      </c>
      <c r="E743" s="2">
        <v>12.2</v>
      </c>
      <c r="F743" s="3">
        <v>1</v>
      </c>
      <c r="G743" s="3">
        <v>0</v>
      </c>
      <c r="H743" s="3">
        <v>87.2</v>
      </c>
      <c r="I743" s="2">
        <v>12.2</v>
      </c>
    </row>
    <row r="744" spans="1:9">
      <c r="A744" s="1">
        <v>37174</v>
      </c>
      <c r="B744" s="1">
        <v>39082</v>
      </c>
      <c r="C744" s="2">
        <f t="shared" si="14"/>
        <v>5.2238193018480494</v>
      </c>
      <c r="D744" s="3">
        <v>87.3</v>
      </c>
      <c r="E744" s="2">
        <v>11.3</v>
      </c>
      <c r="F744" s="3">
        <v>0</v>
      </c>
      <c r="G744" s="3">
        <v>1</v>
      </c>
      <c r="H744" s="3">
        <v>87.3</v>
      </c>
      <c r="I744" s="2">
        <v>11.3</v>
      </c>
    </row>
    <row r="745" spans="1:9">
      <c r="A745" s="1">
        <v>37357</v>
      </c>
      <c r="B745" s="1">
        <v>39082</v>
      </c>
      <c r="C745" s="2">
        <f t="shared" si="14"/>
        <v>4.7227926078028748</v>
      </c>
      <c r="D745" s="3">
        <v>87.3</v>
      </c>
      <c r="E745" s="2">
        <v>10.9</v>
      </c>
      <c r="F745" s="3">
        <v>0</v>
      </c>
      <c r="G745" s="3">
        <v>1</v>
      </c>
      <c r="H745" s="3">
        <v>87.3</v>
      </c>
      <c r="I745" s="2">
        <v>10.9</v>
      </c>
    </row>
    <row r="746" spans="1:9">
      <c r="A746" s="1">
        <v>37493</v>
      </c>
      <c r="B746" s="1">
        <v>39082</v>
      </c>
      <c r="C746" s="2">
        <f t="shared" si="14"/>
        <v>4.3504449007529091</v>
      </c>
      <c r="D746" s="3">
        <v>87.3</v>
      </c>
      <c r="E746" s="2">
        <v>10.9</v>
      </c>
      <c r="F746" s="3">
        <v>0</v>
      </c>
      <c r="G746" s="3">
        <v>1</v>
      </c>
      <c r="H746" s="3">
        <v>87.3</v>
      </c>
      <c r="I746" s="2">
        <v>10.9</v>
      </c>
    </row>
    <row r="747" spans="1:9">
      <c r="A747" s="1">
        <v>37314</v>
      </c>
      <c r="B747" s="1">
        <v>39082</v>
      </c>
      <c r="C747" s="2">
        <f t="shared" si="14"/>
        <v>4.8405201916495555</v>
      </c>
      <c r="D747" s="3">
        <v>87.3</v>
      </c>
      <c r="E747" s="2">
        <v>11.7</v>
      </c>
      <c r="F747" s="3">
        <v>0</v>
      </c>
      <c r="G747" s="3">
        <v>0</v>
      </c>
      <c r="H747" s="3">
        <v>87.3</v>
      </c>
      <c r="I747" s="2">
        <v>11.7</v>
      </c>
    </row>
    <row r="748" spans="1:9">
      <c r="A748" s="1">
        <v>37360</v>
      </c>
      <c r="B748" s="1">
        <v>39082</v>
      </c>
      <c r="C748" s="2">
        <f t="shared" si="14"/>
        <v>4.7145790554414786</v>
      </c>
      <c r="D748" s="3">
        <v>87.3</v>
      </c>
      <c r="E748" s="2">
        <v>11.5</v>
      </c>
      <c r="F748" s="3">
        <v>0</v>
      </c>
      <c r="G748" s="3">
        <v>0</v>
      </c>
      <c r="H748" s="3">
        <v>87.3</v>
      </c>
      <c r="I748" s="2">
        <v>11.5</v>
      </c>
    </row>
    <row r="749" spans="1:9">
      <c r="A749" s="1">
        <v>37550</v>
      </c>
      <c r="B749" s="1">
        <v>39082</v>
      </c>
      <c r="C749" s="2">
        <f t="shared" si="14"/>
        <v>4.1943874058863795</v>
      </c>
      <c r="D749" s="3">
        <v>87.4</v>
      </c>
      <c r="E749" s="2">
        <v>13</v>
      </c>
      <c r="F749" s="3">
        <v>0</v>
      </c>
      <c r="G749" s="3">
        <v>0</v>
      </c>
      <c r="H749" s="3">
        <v>87.4</v>
      </c>
      <c r="I749" s="2">
        <v>13</v>
      </c>
    </row>
    <row r="750" spans="1:9">
      <c r="A750" s="1">
        <v>37423</v>
      </c>
      <c r="B750" s="1">
        <v>39082</v>
      </c>
      <c r="C750" s="2">
        <f t="shared" si="14"/>
        <v>4.5420944558521557</v>
      </c>
      <c r="D750" s="3">
        <v>87.4</v>
      </c>
      <c r="E750" s="2">
        <v>11.8</v>
      </c>
      <c r="F750" s="3">
        <v>0</v>
      </c>
      <c r="G750" s="3">
        <v>1</v>
      </c>
      <c r="H750" s="3">
        <v>87.4</v>
      </c>
      <c r="I750" s="2">
        <v>11.8</v>
      </c>
    </row>
    <row r="751" spans="1:9">
      <c r="A751" s="1">
        <v>38275</v>
      </c>
      <c r="B751" s="1">
        <v>39082</v>
      </c>
      <c r="C751" s="2">
        <f t="shared" si="14"/>
        <v>2.2094455852156059</v>
      </c>
      <c r="D751" s="3">
        <v>87.4</v>
      </c>
      <c r="E751" s="2">
        <v>11.8</v>
      </c>
      <c r="F751" s="3">
        <v>0</v>
      </c>
      <c r="G751" s="3">
        <v>1</v>
      </c>
      <c r="H751" s="3">
        <v>87.4</v>
      </c>
      <c r="I751" s="2">
        <v>11.8</v>
      </c>
    </row>
    <row r="752" spans="1:9">
      <c r="A752" s="1">
        <v>37535</v>
      </c>
      <c r="B752" s="1">
        <v>39082</v>
      </c>
      <c r="C752" s="2">
        <f t="shared" si="14"/>
        <v>4.2354551676933605</v>
      </c>
      <c r="D752" s="3">
        <v>87.5</v>
      </c>
      <c r="E752" s="2">
        <v>12.2</v>
      </c>
      <c r="F752" s="3">
        <v>0</v>
      </c>
      <c r="G752" s="3">
        <v>0</v>
      </c>
      <c r="H752" s="3">
        <v>87.5</v>
      </c>
      <c r="I752" s="2">
        <v>12.2</v>
      </c>
    </row>
    <row r="753" spans="1:9">
      <c r="A753" s="1">
        <v>37544</v>
      </c>
      <c r="B753" s="1">
        <v>39082</v>
      </c>
      <c r="C753" s="2">
        <f t="shared" si="14"/>
        <v>4.2108145106091719</v>
      </c>
      <c r="D753" s="3">
        <v>87.5</v>
      </c>
      <c r="E753" s="2">
        <v>15</v>
      </c>
      <c r="F753" s="3">
        <v>0</v>
      </c>
      <c r="G753" s="3">
        <v>1</v>
      </c>
      <c r="H753" s="3">
        <v>87.5</v>
      </c>
      <c r="I753" s="2">
        <v>15</v>
      </c>
    </row>
    <row r="754" spans="1:9">
      <c r="A754" s="1">
        <v>38002</v>
      </c>
      <c r="B754" s="1">
        <v>39082</v>
      </c>
      <c r="C754" s="2">
        <f t="shared" si="14"/>
        <v>2.9568788501026693</v>
      </c>
      <c r="D754" s="3">
        <v>87.6</v>
      </c>
      <c r="E754" s="2">
        <v>11.9</v>
      </c>
      <c r="F754" s="3">
        <v>1</v>
      </c>
      <c r="G754" s="3">
        <v>1</v>
      </c>
      <c r="H754" s="3">
        <v>87.6</v>
      </c>
      <c r="I754" s="2">
        <v>11.9</v>
      </c>
    </row>
    <row r="755" spans="1:9">
      <c r="A755" s="1">
        <v>37196</v>
      </c>
      <c r="B755" s="1">
        <v>39082</v>
      </c>
      <c r="C755" s="2">
        <f t="shared" si="14"/>
        <v>5.1635865845311431</v>
      </c>
      <c r="D755" s="3">
        <v>87.6</v>
      </c>
      <c r="E755" s="2">
        <v>11.3</v>
      </c>
      <c r="F755" s="3">
        <v>0</v>
      </c>
      <c r="G755" s="3">
        <v>0</v>
      </c>
      <c r="H755" s="3">
        <v>87.6</v>
      </c>
      <c r="I755" s="2">
        <v>11.3</v>
      </c>
    </row>
    <row r="756" spans="1:9">
      <c r="A756" s="1">
        <v>37184</v>
      </c>
      <c r="B756" s="1">
        <v>39082</v>
      </c>
      <c r="C756" s="2">
        <f t="shared" si="14"/>
        <v>5.1964407939767279</v>
      </c>
      <c r="D756" s="3">
        <v>87.7</v>
      </c>
      <c r="E756" s="2">
        <v>9.9</v>
      </c>
      <c r="F756" s="3">
        <v>0</v>
      </c>
      <c r="G756" s="3">
        <v>0</v>
      </c>
      <c r="H756" s="3">
        <v>87.7</v>
      </c>
      <c r="I756" s="2">
        <v>9.9</v>
      </c>
    </row>
    <row r="757" spans="1:9">
      <c r="A757" s="1">
        <v>38307</v>
      </c>
      <c r="B757" s="1">
        <v>39082</v>
      </c>
      <c r="C757" s="2">
        <f t="shared" si="14"/>
        <v>2.1218343600273784</v>
      </c>
      <c r="D757" s="3">
        <v>87.7</v>
      </c>
      <c r="E757" s="2">
        <v>10.8</v>
      </c>
      <c r="F757" s="3">
        <v>0</v>
      </c>
      <c r="G757" s="3">
        <v>0</v>
      </c>
      <c r="H757" s="3">
        <v>87.7</v>
      </c>
      <c r="I757" s="2">
        <v>10.8</v>
      </c>
    </row>
    <row r="758" spans="1:9">
      <c r="A758" s="1">
        <v>37447</v>
      </c>
      <c r="B758" s="1">
        <v>39082</v>
      </c>
      <c r="C758" s="2">
        <f t="shared" si="14"/>
        <v>4.476386036960986</v>
      </c>
      <c r="D758" s="3">
        <v>87.7</v>
      </c>
      <c r="E758" s="2">
        <v>12.2</v>
      </c>
      <c r="F758" s="3">
        <v>0</v>
      </c>
      <c r="G758" s="3">
        <v>0</v>
      </c>
      <c r="H758" s="3">
        <v>87.7</v>
      </c>
      <c r="I758" s="2">
        <v>12.2</v>
      </c>
    </row>
    <row r="759" spans="1:9">
      <c r="A759" s="1">
        <v>38261</v>
      </c>
      <c r="B759" s="1">
        <v>39082</v>
      </c>
      <c r="C759" s="2">
        <f t="shared" si="14"/>
        <v>2.2477754962354553</v>
      </c>
      <c r="D759" s="3">
        <v>87.7</v>
      </c>
      <c r="E759" s="2">
        <v>12.4</v>
      </c>
      <c r="F759" s="3">
        <v>0</v>
      </c>
      <c r="G759" s="3">
        <v>1</v>
      </c>
      <c r="H759" s="3">
        <v>87.7</v>
      </c>
      <c r="I759" s="2">
        <v>12.4</v>
      </c>
    </row>
    <row r="760" spans="1:9">
      <c r="A760" s="1">
        <v>37277</v>
      </c>
      <c r="B760" s="1">
        <v>39082</v>
      </c>
      <c r="C760" s="2">
        <f t="shared" si="14"/>
        <v>4.9418206707734429</v>
      </c>
      <c r="D760" s="3">
        <v>87.7</v>
      </c>
      <c r="E760" s="2">
        <v>14.1</v>
      </c>
      <c r="F760" s="3">
        <v>0</v>
      </c>
      <c r="G760" s="3">
        <v>1</v>
      </c>
      <c r="H760" s="3">
        <v>87.7</v>
      </c>
      <c r="I760" s="2">
        <v>14.1</v>
      </c>
    </row>
    <row r="761" spans="1:9">
      <c r="A761" s="1">
        <v>38265</v>
      </c>
      <c r="B761" s="1">
        <v>39082</v>
      </c>
      <c r="C761" s="2">
        <f t="shared" si="14"/>
        <v>2.236824093086927</v>
      </c>
      <c r="D761" s="3">
        <v>87.8</v>
      </c>
      <c r="E761" s="2">
        <v>12.4</v>
      </c>
      <c r="F761" s="3">
        <v>0</v>
      </c>
      <c r="G761" s="3">
        <v>1</v>
      </c>
      <c r="H761" s="3">
        <v>87.8</v>
      </c>
      <c r="I761" s="2">
        <v>12.4</v>
      </c>
    </row>
    <row r="762" spans="1:9">
      <c r="A762" s="1">
        <v>38261</v>
      </c>
      <c r="B762" s="1">
        <v>39082</v>
      </c>
      <c r="C762" s="2">
        <f t="shared" si="14"/>
        <v>2.2477754962354553</v>
      </c>
      <c r="D762" s="3">
        <v>87.8</v>
      </c>
      <c r="E762" s="2">
        <v>11.7</v>
      </c>
      <c r="F762" s="3">
        <v>1</v>
      </c>
      <c r="G762" s="3">
        <v>1</v>
      </c>
      <c r="H762" s="3">
        <v>87.8</v>
      </c>
      <c r="I762" s="2">
        <v>11.7</v>
      </c>
    </row>
    <row r="763" spans="1:9">
      <c r="A763" s="1">
        <v>38169</v>
      </c>
      <c r="B763" s="1">
        <v>39082</v>
      </c>
      <c r="C763" s="2">
        <f t="shared" si="14"/>
        <v>2.4996577686516086</v>
      </c>
      <c r="D763" s="3">
        <v>88</v>
      </c>
      <c r="E763" s="2">
        <v>12.6</v>
      </c>
      <c r="F763" s="3">
        <v>0</v>
      </c>
      <c r="G763" s="3">
        <v>0</v>
      </c>
      <c r="H763" s="3">
        <v>88</v>
      </c>
      <c r="I763" s="2">
        <v>12.6</v>
      </c>
    </row>
    <row r="764" spans="1:9">
      <c r="A764" s="1">
        <v>37463</v>
      </c>
      <c r="B764" s="1">
        <v>39082</v>
      </c>
      <c r="C764" s="2">
        <f t="shared" si="14"/>
        <v>4.4325804243668721</v>
      </c>
      <c r="D764" s="3">
        <v>88</v>
      </c>
      <c r="E764" s="2">
        <v>10.6</v>
      </c>
      <c r="F764" s="3">
        <v>0</v>
      </c>
      <c r="G764" s="3">
        <v>1</v>
      </c>
      <c r="H764" s="3">
        <v>88</v>
      </c>
      <c r="I764" s="2">
        <v>10.6</v>
      </c>
    </row>
    <row r="765" spans="1:9">
      <c r="A765" s="1">
        <v>37283</v>
      </c>
      <c r="B765" s="1">
        <v>39082</v>
      </c>
      <c r="C765" s="2">
        <f t="shared" si="14"/>
        <v>4.9253935660506505</v>
      </c>
      <c r="D765" s="3">
        <v>88.1</v>
      </c>
      <c r="E765" s="2">
        <v>13.1</v>
      </c>
      <c r="F765" s="3">
        <v>0</v>
      </c>
      <c r="G765" s="3">
        <v>0</v>
      </c>
      <c r="H765" s="3">
        <v>88.1</v>
      </c>
      <c r="I765" s="2">
        <v>13.1</v>
      </c>
    </row>
    <row r="766" spans="1:9">
      <c r="A766" s="1">
        <v>38209</v>
      </c>
      <c r="B766" s="1">
        <v>39082</v>
      </c>
      <c r="C766" s="2">
        <f t="shared" si="14"/>
        <v>2.3901437371663246</v>
      </c>
      <c r="D766" s="3">
        <v>88.2</v>
      </c>
      <c r="E766" s="2">
        <v>12</v>
      </c>
      <c r="F766" s="3">
        <v>0</v>
      </c>
      <c r="G766" s="3">
        <v>0</v>
      </c>
      <c r="H766" s="3">
        <v>88.2</v>
      </c>
      <c r="I766" s="2">
        <v>12</v>
      </c>
    </row>
    <row r="767" spans="1:9">
      <c r="A767" s="1">
        <v>38125</v>
      </c>
      <c r="B767" s="1">
        <v>39082</v>
      </c>
      <c r="C767" s="2">
        <f t="shared" si="14"/>
        <v>2.6201232032854209</v>
      </c>
      <c r="D767" s="3">
        <v>88.2</v>
      </c>
      <c r="E767" s="2">
        <v>11.7</v>
      </c>
      <c r="F767" s="3">
        <v>0</v>
      </c>
      <c r="G767" s="3">
        <v>1</v>
      </c>
      <c r="H767" s="3">
        <v>88.2</v>
      </c>
      <c r="I767" s="2">
        <v>11.7</v>
      </c>
    </row>
    <row r="768" spans="1:9">
      <c r="A768" s="1">
        <v>37184</v>
      </c>
      <c r="B768" s="1">
        <v>39082</v>
      </c>
      <c r="C768" s="2">
        <f t="shared" si="14"/>
        <v>5.1964407939767279</v>
      </c>
      <c r="D768" s="3">
        <v>88.2</v>
      </c>
      <c r="E768" s="2">
        <v>12.9</v>
      </c>
      <c r="F768" s="3">
        <v>0</v>
      </c>
      <c r="G768" s="3">
        <v>0</v>
      </c>
      <c r="H768" s="3">
        <v>88.2</v>
      </c>
      <c r="I768" s="2">
        <v>12.9</v>
      </c>
    </row>
    <row r="769" spans="1:9">
      <c r="A769" s="1">
        <v>38078</v>
      </c>
      <c r="B769" s="1">
        <v>39082</v>
      </c>
      <c r="C769" s="2">
        <f t="shared" si="14"/>
        <v>2.7488021902806299</v>
      </c>
      <c r="D769" s="3">
        <v>88.2</v>
      </c>
      <c r="E769" s="2">
        <v>14.3</v>
      </c>
      <c r="F769" s="3">
        <v>0</v>
      </c>
      <c r="G769" s="3">
        <v>1</v>
      </c>
      <c r="H769" s="3">
        <v>88.2</v>
      </c>
      <c r="I769" s="2">
        <v>14.3</v>
      </c>
    </row>
    <row r="770" spans="1:9">
      <c r="A770" s="1">
        <v>37527</v>
      </c>
      <c r="B770" s="1">
        <v>39082</v>
      </c>
      <c r="C770" s="2">
        <f t="shared" ref="C770:C833" si="15">(B770-A770)/365.25</f>
        <v>4.2573579739904179</v>
      </c>
      <c r="D770" s="3">
        <v>88.3</v>
      </c>
      <c r="E770" s="2">
        <v>12.9</v>
      </c>
      <c r="F770" s="3">
        <v>0</v>
      </c>
      <c r="G770" s="3">
        <v>0</v>
      </c>
      <c r="H770" s="3">
        <v>88.3</v>
      </c>
      <c r="I770" s="2">
        <v>12.9</v>
      </c>
    </row>
    <row r="771" spans="1:9">
      <c r="A771" s="1">
        <v>38003</v>
      </c>
      <c r="B771" s="1">
        <v>39082</v>
      </c>
      <c r="C771" s="2">
        <f t="shared" si="15"/>
        <v>2.9541409993155372</v>
      </c>
      <c r="D771" s="3">
        <v>88.4</v>
      </c>
      <c r="E771" s="2">
        <v>11.4</v>
      </c>
      <c r="F771" s="3">
        <v>0</v>
      </c>
      <c r="G771" s="3">
        <v>0</v>
      </c>
      <c r="H771" s="3">
        <v>88.4</v>
      </c>
      <c r="I771" s="2">
        <v>11.4</v>
      </c>
    </row>
    <row r="772" spans="1:9">
      <c r="A772" s="1">
        <v>38310</v>
      </c>
      <c r="B772" s="1">
        <v>39082</v>
      </c>
      <c r="C772" s="2">
        <f t="shared" si="15"/>
        <v>2.1136208076659821</v>
      </c>
      <c r="D772" s="3">
        <v>88.4</v>
      </c>
      <c r="E772" s="2">
        <v>11.8</v>
      </c>
      <c r="F772" s="3">
        <v>0</v>
      </c>
      <c r="G772" s="3">
        <v>1</v>
      </c>
      <c r="H772" s="3">
        <v>88.4</v>
      </c>
      <c r="I772" s="2">
        <v>11.8</v>
      </c>
    </row>
    <row r="773" spans="1:9">
      <c r="A773" s="1">
        <v>37368</v>
      </c>
      <c r="B773" s="1">
        <v>39082</v>
      </c>
      <c r="C773" s="2">
        <f t="shared" si="15"/>
        <v>4.6926762491444221</v>
      </c>
      <c r="D773" s="3">
        <v>88.5</v>
      </c>
      <c r="E773" s="2">
        <v>11.7</v>
      </c>
      <c r="F773" s="3">
        <v>0</v>
      </c>
      <c r="G773" s="3">
        <v>0</v>
      </c>
      <c r="H773" s="3">
        <v>88.5</v>
      </c>
      <c r="I773" s="2">
        <v>11.7</v>
      </c>
    </row>
    <row r="774" spans="1:9">
      <c r="A774" s="1">
        <v>37135</v>
      </c>
      <c r="B774" s="1">
        <v>39082</v>
      </c>
      <c r="C774" s="2">
        <f t="shared" si="15"/>
        <v>5.330595482546201</v>
      </c>
      <c r="D774" s="3">
        <v>88.5</v>
      </c>
      <c r="E774" s="2">
        <v>12.4</v>
      </c>
      <c r="F774" s="3">
        <v>1</v>
      </c>
      <c r="G774" s="3">
        <v>1</v>
      </c>
      <c r="H774" s="3">
        <v>88.5</v>
      </c>
      <c r="I774" s="2">
        <v>12.4</v>
      </c>
    </row>
    <row r="775" spans="1:9">
      <c r="A775" s="1">
        <v>38134</v>
      </c>
      <c r="B775" s="1">
        <v>39082</v>
      </c>
      <c r="C775" s="2">
        <f t="shared" si="15"/>
        <v>2.5954825462012319</v>
      </c>
      <c r="D775" s="3">
        <v>88.5</v>
      </c>
      <c r="E775" s="2">
        <v>11.9</v>
      </c>
      <c r="F775" s="3">
        <v>1</v>
      </c>
      <c r="G775" s="3">
        <v>0</v>
      </c>
      <c r="H775" s="3">
        <v>88.5</v>
      </c>
      <c r="I775" s="2">
        <v>11.9</v>
      </c>
    </row>
    <row r="776" spans="1:9">
      <c r="A776" s="1">
        <v>37443</v>
      </c>
      <c r="B776" s="1">
        <v>39082</v>
      </c>
      <c r="C776" s="2">
        <f t="shared" si="15"/>
        <v>4.4873374401095143</v>
      </c>
      <c r="D776" s="3">
        <v>88.5</v>
      </c>
      <c r="E776" s="2">
        <v>10.8</v>
      </c>
      <c r="F776" s="3">
        <v>0</v>
      </c>
      <c r="G776" s="3">
        <v>0</v>
      </c>
      <c r="H776" s="3">
        <v>88.5</v>
      </c>
      <c r="I776" s="2">
        <v>10.8</v>
      </c>
    </row>
    <row r="777" spans="1:9">
      <c r="A777" s="1">
        <v>38047</v>
      </c>
      <c r="B777" s="1">
        <v>39082</v>
      </c>
      <c r="C777" s="2">
        <f t="shared" si="15"/>
        <v>2.8336755646817249</v>
      </c>
      <c r="D777" s="3">
        <v>88.5</v>
      </c>
      <c r="E777" s="2">
        <v>12.1</v>
      </c>
      <c r="F777" s="3">
        <v>0</v>
      </c>
      <c r="G777" s="3">
        <v>0</v>
      </c>
      <c r="H777" s="3">
        <v>88.5</v>
      </c>
      <c r="I777" s="2">
        <v>12.1</v>
      </c>
    </row>
    <row r="778" spans="1:9">
      <c r="A778" s="1">
        <v>37364</v>
      </c>
      <c r="B778" s="1">
        <v>39082</v>
      </c>
      <c r="C778" s="2">
        <f t="shared" si="15"/>
        <v>4.7036276522929503</v>
      </c>
      <c r="D778" s="3">
        <v>88.6</v>
      </c>
      <c r="E778" s="2">
        <v>10.4</v>
      </c>
      <c r="F778" s="3">
        <v>0</v>
      </c>
      <c r="G778" s="3">
        <v>1</v>
      </c>
      <c r="H778" s="3">
        <v>88.6</v>
      </c>
      <c r="I778" s="2">
        <v>10.4</v>
      </c>
    </row>
    <row r="779" spans="1:9">
      <c r="A779" s="1">
        <v>37290</v>
      </c>
      <c r="B779" s="1">
        <v>39082</v>
      </c>
      <c r="C779" s="2">
        <f t="shared" si="15"/>
        <v>4.9062286105407251</v>
      </c>
      <c r="D779" s="3">
        <v>88.6</v>
      </c>
      <c r="E779" s="2">
        <v>12.5</v>
      </c>
      <c r="F779" s="3">
        <v>0</v>
      </c>
      <c r="G779" s="3">
        <v>0</v>
      </c>
      <c r="H779" s="3">
        <v>88.6</v>
      </c>
      <c r="I779" s="2">
        <v>12.5</v>
      </c>
    </row>
    <row r="780" spans="1:9">
      <c r="A780" s="1">
        <v>37065</v>
      </c>
      <c r="B780" s="1">
        <v>39082</v>
      </c>
      <c r="C780" s="2">
        <f t="shared" si="15"/>
        <v>5.5222450376454484</v>
      </c>
      <c r="D780" s="3">
        <v>88.6</v>
      </c>
      <c r="E780" s="2">
        <v>10.6</v>
      </c>
      <c r="F780" s="3">
        <v>0</v>
      </c>
      <c r="G780" s="3">
        <v>0</v>
      </c>
      <c r="H780" s="3">
        <v>88.6</v>
      </c>
      <c r="I780" s="2">
        <v>10.6</v>
      </c>
    </row>
    <row r="781" spans="1:9">
      <c r="A781" s="1">
        <v>38261</v>
      </c>
      <c r="B781" s="1">
        <v>39082</v>
      </c>
      <c r="C781" s="2">
        <f t="shared" si="15"/>
        <v>2.2477754962354553</v>
      </c>
      <c r="D781" s="3">
        <v>88.6</v>
      </c>
      <c r="E781" s="2">
        <v>12</v>
      </c>
      <c r="F781" s="3">
        <v>0</v>
      </c>
      <c r="G781" s="3">
        <v>0</v>
      </c>
      <c r="H781" s="3">
        <v>88.6</v>
      </c>
      <c r="I781" s="2">
        <v>12</v>
      </c>
    </row>
    <row r="782" spans="1:9">
      <c r="A782" s="1">
        <v>38195</v>
      </c>
      <c r="B782" s="1">
        <v>39082</v>
      </c>
      <c r="C782" s="2">
        <f t="shared" si="15"/>
        <v>2.4284736481861739</v>
      </c>
      <c r="D782" s="3">
        <v>88.6</v>
      </c>
      <c r="E782" s="2">
        <v>12.9</v>
      </c>
      <c r="F782" s="3">
        <v>0</v>
      </c>
      <c r="G782" s="3">
        <v>0</v>
      </c>
      <c r="H782" s="3">
        <v>88.6</v>
      </c>
      <c r="I782" s="2">
        <v>12.9</v>
      </c>
    </row>
    <row r="783" spans="1:9">
      <c r="A783" s="1">
        <v>38050</v>
      </c>
      <c r="B783" s="1">
        <v>39082</v>
      </c>
      <c r="C783" s="2">
        <f t="shared" si="15"/>
        <v>2.8254620123203287</v>
      </c>
      <c r="D783" s="3">
        <v>88.6</v>
      </c>
      <c r="E783" s="2">
        <v>12.2</v>
      </c>
      <c r="F783" s="3">
        <v>0</v>
      </c>
      <c r="G783" s="3">
        <v>1</v>
      </c>
      <c r="H783" s="3">
        <v>88.6</v>
      </c>
      <c r="I783" s="2">
        <v>12.2</v>
      </c>
    </row>
    <row r="784" spans="1:9">
      <c r="A784" s="1">
        <v>37178</v>
      </c>
      <c r="B784" s="1">
        <v>39082</v>
      </c>
      <c r="C784" s="2">
        <f t="shared" si="15"/>
        <v>5.2128678986995212</v>
      </c>
      <c r="D784" s="3">
        <v>88.7</v>
      </c>
      <c r="E784" s="2">
        <v>10.9</v>
      </c>
      <c r="F784" s="3">
        <v>0</v>
      </c>
      <c r="G784" s="3">
        <v>0</v>
      </c>
      <c r="H784" s="3">
        <v>88.7</v>
      </c>
      <c r="I784" s="2">
        <v>10.9</v>
      </c>
    </row>
    <row r="785" spans="1:9">
      <c r="A785" s="1">
        <v>38209</v>
      </c>
      <c r="B785" s="1">
        <v>39082</v>
      </c>
      <c r="C785" s="2">
        <f t="shared" si="15"/>
        <v>2.3901437371663246</v>
      </c>
      <c r="D785" s="3">
        <v>88.7</v>
      </c>
      <c r="E785" s="2">
        <v>12.6</v>
      </c>
      <c r="F785" s="3">
        <v>0</v>
      </c>
      <c r="G785" s="3">
        <v>0</v>
      </c>
      <c r="H785" s="3">
        <v>88.7</v>
      </c>
      <c r="I785" s="2">
        <v>12.6</v>
      </c>
    </row>
    <row r="786" spans="1:9">
      <c r="A786" s="1">
        <v>37315</v>
      </c>
      <c r="B786" s="1">
        <v>39082</v>
      </c>
      <c r="C786" s="2">
        <f t="shared" si="15"/>
        <v>4.8377823408624234</v>
      </c>
      <c r="D786" s="3">
        <v>88.7</v>
      </c>
      <c r="E786" s="2">
        <v>12.2</v>
      </c>
      <c r="F786" s="3">
        <v>0</v>
      </c>
      <c r="G786" s="3">
        <v>1</v>
      </c>
      <c r="H786" s="3">
        <v>88.7</v>
      </c>
      <c r="I786" s="2">
        <v>12.2</v>
      </c>
    </row>
    <row r="787" spans="1:9">
      <c r="A787" s="1">
        <v>37312</v>
      </c>
      <c r="B787" s="1">
        <v>39082</v>
      </c>
      <c r="C787" s="2">
        <f t="shared" si="15"/>
        <v>4.8459958932238196</v>
      </c>
      <c r="D787" s="3">
        <v>88.8</v>
      </c>
      <c r="E787" s="2">
        <v>11.4</v>
      </c>
      <c r="F787" s="3">
        <v>0</v>
      </c>
      <c r="G787" s="3">
        <v>1</v>
      </c>
      <c r="H787" s="3">
        <v>88.8</v>
      </c>
      <c r="I787" s="2">
        <v>11.4</v>
      </c>
    </row>
    <row r="788" spans="1:9">
      <c r="A788" s="1">
        <v>38261</v>
      </c>
      <c r="B788" s="1">
        <v>39082</v>
      </c>
      <c r="C788" s="2">
        <f t="shared" si="15"/>
        <v>2.2477754962354553</v>
      </c>
      <c r="D788" s="3">
        <v>88.8</v>
      </c>
      <c r="E788" s="2">
        <v>13.1</v>
      </c>
      <c r="F788" s="3">
        <v>0</v>
      </c>
      <c r="G788" s="3">
        <v>1</v>
      </c>
      <c r="H788" s="3">
        <v>88.8</v>
      </c>
      <c r="I788" s="2">
        <v>13.1</v>
      </c>
    </row>
    <row r="789" spans="1:9">
      <c r="A789" s="1">
        <v>36813</v>
      </c>
      <c r="B789" s="1">
        <v>39082</v>
      </c>
      <c r="C789" s="2">
        <f t="shared" si="15"/>
        <v>6.2121834360027375</v>
      </c>
      <c r="D789" s="3">
        <v>88.9</v>
      </c>
      <c r="E789" s="2">
        <v>12.3</v>
      </c>
      <c r="F789" s="3">
        <v>0</v>
      </c>
      <c r="G789" s="3">
        <v>0</v>
      </c>
      <c r="H789" s="3">
        <v>88.9</v>
      </c>
      <c r="I789" s="2">
        <v>12.3</v>
      </c>
    </row>
    <row r="790" spans="1:9">
      <c r="A790" s="1">
        <v>37549</v>
      </c>
      <c r="B790" s="1">
        <v>39082</v>
      </c>
      <c r="C790" s="2">
        <f t="shared" si="15"/>
        <v>4.1971252566735116</v>
      </c>
      <c r="D790" s="3">
        <v>88.9</v>
      </c>
      <c r="E790" s="2">
        <v>12.3</v>
      </c>
      <c r="F790" s="3">
        <v>0</v>
      </c>
      <c r="G790" s="3">
        <v>0</v>
      </c>
      <c r="H790" s="3">
        <v>88.9</v>
      </c>
      <c r="I790" s="2">
        <v>12.3</v>
      </c>
    </row>
    <row r="791" spans="1:9">
      <c r="A791" s="1">
        <v>37170</v>
      </c>
      <c r="B791" s="1">
        <v>39082</v>
      </c>
      <c r="C791" s="2">
        <f t="shared" si="15"/>
        <v>5.2347707049965777</v>
      </c>
      <c r="D791" s="3">
        <v>88.9</v>
      </c>
      <c r="E791" s="2">
        <v>12.5</v>
      </c>
      <c r="F791" s="3">
        <v>1</v>
      </c>
      <c r="G791" s="3">
        <v>0</v>
      </c>
      <c r="H791" s="3">
        <v>88.9</v>
      </c>
      <c r="I791" s="2">
        <v>12.5</v>
      </c>
    </row>
    <row r="792" spans="1:9">
      <c r="A792" s="1">
        <v>37671</v>
      </c>
      <c r="B792" s="1">
        <v>39082</v>
      </c>
      <c r="C792" s="2">
        <f t="shared" si="15"/>
        <v>3.8631074606433948</v>
      </c>
      <c r="D792" s="3">
        <v>88.9</v>
      </c>
      <c r="E792" s="2">
        <v>11.5</v>
      </c>
      <c r="F792" s="3">
        <v>0</v>
      </c>
      <c r="G792" s="3">
        <v>0</v>
      </c>
      <c r="H792" s="3">
        <v>88.9</v>
      </c>
      <c r="I792" s="2">
        <v>11.5</v>
      </c>
    </row>
    <row r="793" spans="1:9">
      <c r="A793" s="1">
        <v>37262</v>
      </c>
      <c r="B793" s="1">
        <v>39082</v>
      </c>
      <c r="C793" s="2">
        <f t="shared" si="15"/>
        <v>4.9828884325804248</v>
      </c>
      <c r="D793" s="3">
        <v>89</v>
      </c>
      <c r="E793" s="2">
        <v>11.8</v>
      </c>
      <c r="F793" s="3">
        <v>0</v>
      </c>
      <c r="G793" s="3">
        <v>0</v>
      </c>
      <c r="H793" s="3">
        <v>89</v>
      </c>
      <c r="I793" s="2">
        <v>11.8</v>
      </c>
    </row>
    <row r="794" spans="1:9">
      <c r="A794" s="1">
        <v>38079</v>
      </c>
      <c r="B794" s="1">
        <v>39082</v>
      </c>
      <c r="C794" s="2">
        <f t="shared" si="15"/>
        <v>2.7460643394934978</v>
      </c>
      <c r="D794" s="3">
        <v>89</v>
      </c>
      <c r="E794" s="2">
        <v>13.8</v>
      </c>
      <c r="F794" s="3">
        <v>0</v>
      </c>
      <c r="G794" s="3">
        <v>0</v>
      </c>
      <c r="H794" s="3">
        <v>89</v>
      </c>
      <c r="I794" s="2">
        <v>13.8</v>
      </c>
    </row>
    <row r="795" spans="1:9">
      <c r="A795" s="1">
        <v>37478</v>
      </c>
      <c r="B795" s="1">
        <v>39082</v>
      </c>
      <c r="C795" s="2">
        <f t="shared" si="15"/>
        <v>4.3915126625598901</v>
      </c>
      <c r="D795" s="3">
        <v>89</v>
      </c>
      <c r="E795" s="2">
        <v>10.4</v>
      </c>
      <c r="F795" s="3">
        <v>1</v>
      </c>
      <c r="G795" s="3">
        <v>0</v>
      </c>
      <c r="H795" s="3">
        <v>89</v>
      </c>
      <c r="I795" s="2">
        <v>10.4</v>
      </c>
    </row>
    <row r="796" spans="1:9">
      <c r="A796" s="1">
        <v>37330</v>
      </c>
      <c r="B796" s="1">
        <v>39082</v>
      </c>
      <c r="C796" s="2">
        <f t="shared" si="15"/>
        <v>4.7967145790554415</v>
      </c>
      <c r="D796" s="3">
        <v>89</v>
      </c>
      <c r="E796" s="2">
        <v>11.4</v>
      </c>
      <c r="F796" s="3">
        <v>0</v>
      </c>
      <c r="G796" s="3">
        <v>0</v>
      </c>
      <c r="H796" s="3">
        <v>89</v>
      </c>
      <c r="I796" s="2">
        <v>11.4</v>
      </c>
    </row>
    <row r="797" spans="1:9">
      <c r="A797" s="1">
        <v>37226</v>
      </c>
      <c r="B797" s="1">
        <v>39082</v>
      </c>
      <c r="C797" s="2">
        <f t="shared" si="15"/>
        <v>5.0814510609171801</v>
      </c>
      <c r="D797" s="3">
        <v>89</v>
      </c>
      <c r="E797" s="2">
        <v>12</v>
      </c>
      <c r="F797" s="3">
        <v>0</v>
      </c>
      <c r="G797" s="3">
        <v>0</v>
      </c>
      <c r="H797" s="3">
        <v>89</v>
      </c>
      <c r="I797" s="2">
        <v>12</v>
      </c>
    </row>
    <row r="798" spans="1:9">
      <c r="A798" s="1">
        <v>37200</v>
      </c>
      <c r="B798" s="1">
        <v>39082</v>
      </c>
      <c r="C798" s="2">
        <f t="shared" si="15"/>
        <v>5.1526351813826148</v>
      </c>
      <c r="D798" s="3">
        <v>89</v>
      </c>
      <c r="E798" s="2">
        <v>12.2</v>
      </c>
      <c r="F798" s="3">
        <v>0</v>
      </c>
      <c r="G798" s="3">
        <v>1</v>
      </c>
      <c r="H798" s="3">
        <v>89</v>
      </c>
      <c r="I798" s="2">
        <v>12.2</v>
      </c>
    </row>
    <row r="799" spans="1:9">
      <c r="A799" s="1">
        <v>38289</v>
      </c>
      <c r="B799" s="1">
        <v>39082</v>
      </c>
      <c r="C799" s="2">
        <f t="shared" si="15"/>
        <v>2.1711156741957565</v>
      </c>
      <c r="D799" s="3">
        <v>89.1</v>
      </c>
      <c r="E799" s="2">
        <v>11.5</v>
      </c>
      <c r="F799" s="3">
        <v>0</v>
      </c>
      <c r="G799" s="3">
        <v>0</v>
      </c>
      <c r="H799" s="3">
        <v>89.1</v>
      </c>
      <c r="I799" s="2">
        <v>11.5</v>
      </c>
    </row>
    <row r="800" spans="1:9">
      <c r="A800" s="1">
        <v>37313</v>
      </c>
      <c r="B800" s="1">
        <v>39082</v>
      </c>
      <c r="C800" s="2">
        <f t="shared" si="15"/>
        <v>4.8432580424366876</v>
      </c>
      <c r="D800" s="3">
        <v>89.1</v>
      </c>
      <c r="E800" s="2">
        <v>11.9</v>
      </c>
      <c r="F800" s="3">
        <v>0</v>
      </c>
      <c r="G800" s="3">
        <v>1</v>
      </c>
      <c r="H800" s="3">
        <v>89.1</v>
      </c>
      <c r="I800" s="2">
        <v>11.9</v>
      </c>
    </row>
    <row r="801" spans="1:9">
      <c r="A801" s="1">
        <v>37590</v>
      </c>
      <c r="B801" s="1">
        <v>39082</v>
      </c>
      <c r="C801" s="2">
        <f t="shared" si="15"/>
        <v>4.084873374401095</v>
      </c>
      <c r="D801" s="3">
        <v>89.2</v>
      </c>
      <c r="E801" s="2">
        <v>11.9</v>
      </c>
      <c r="F801" s="3">
        <v>0</v>
      </c>
      <c r="G801" s="3">
        <v>0</v>
      </c>
      <c r="H801" s="3">
        <v>89.2</v>
      </c>
      <c r="I801" s="2">
        <v>11.9</v>
      </c>
    </row>
    <row r="802" spans="1:9">
      <c r="A802" s="1">
        <v>36985</v>
      </c>
      <c r="B802" s="1">
        <v>39082</v>
      </c>
      <c r="C802" s="2">
        <f t="shared" si="15"/>
        <v>5.7412731006160165</v>
      </c>
      <c r="D802" s="3">
        <v>89.2</v>
      </c>
      <c r="E802" s="2">
        <v>11.6</v>
      </c>
      <c r="F802" s="3">
        <v>0</v>
      </c>
      <c r="G802" s="3">
        <v>0</v>
      </c>
      <c r="H802" s="3">
        <v>89.2</v>
      </c>
      <c r="I802" s="2">
        <v>11.6</v>
      </c>
    </row>
    <row r="803" spans="1:9">
      <c r="A803" s="1">
        <v>36811</v>
      </c>
      <c r="B803" s="1">
        <v>39082</v>
      </c>
      <c r="C803" s="2">
        <f t="shared" si="15"/>
        <v>6.2176591375770016</v>
      </c>
      <c r="D803" s="3">
        <v>89.4</v>
      </c>
      <c r="E803" s="2">
        <v>11.7</v>
      </c>
      <c r="F803" s="3">
        <v>0</v>
      </c>
      <c r="G803" s="3">
        <v>1</v>
      </c>
      <c r="H803" s="3">
        <v>89.4</v>
      </c>
      <c r="I803" s="2">
        <v>11.7</v>
      </c>
    </row>
    <row r="804" spans="1:9">
      <c r="A804" s="1">
        <v>36756</v>
      </c>
      <c r="B804" s="1">
        <v>39082</v>
      </c>
      <c r="C804" s="2">
        <f t="shared" si="15"/>
        <v>6.368240930869268</v>
      </c>
      <c r="D804" s="3">
        <v>89.4</v>
      </c>
      <c r="E804" s="2">
        <v>11.5</v>
      </c>
      <c r="F804" s="3">
        <v>0</v>
      </c>
      <c r="G804" s="3">
        <v>1</v>
      </c>
      <c r="H804" s="3">
        <v>89.4</v>
      </c>
      <c r="I804" s="2">
        <v>11.5</v>
      </c>
    </row>
    <row r="805" spans="1:9">
      <c r="A805" s="1">
        <v>37267</v>
      </c>
      <c r="B805" s="1">
        <v>39082</v>
      </c>
      <c r="C805" s="2">
        <f t="shared" si="15"/>
        <v>4.9691991786447636</v>
      </c>
      <c r="D805" s="3">
        <v>89.4</v>
      </c>
      <c r="E805" s="2">
        <v>11.6</v>
      </c>
      <c r="F805" s="3">
        <v>0</v>
      </c>
      <c r="G805" s="3">
        <v>1</v>
      </c>
      <c r="H805" s="3">
        <v>89.4</v>
      </c>
      <c r="I805" s="2">
        <v>11.6</v>
      </c>
    </row>
    <row r="806" spans="1:9">
      <c r="A806" s="1">
        <v>37203</v>
      </c>
      <c r="B806" s="1">
        <v>39082</v>
      </c>
      <c r="C806" s="2">
        <f t="shared" si="15"/>
        <v>5.1444216290212186</v>
      </c>
      <c r="D806" s="3">
        <v>89.5</v>
      </c>
      <c r="E806" s="2">
        <v>12.7</v>
      </c>
      <c r="F806" s="3">
        <v>0</v>
      </c>
      <c r="G806" s="3">
        <v>0</v>
      </c>
      <c r="H806" s="3">
        <v>89.5</v>
      </c>
      <c r="I806" s="2">
        <v>12.7</v>
      </c>
    </row>
    <row r="807" spans="1:9">
      <c r="A807" s="1">
        <v>38011</v>
      </c>
      <c r="B807" s="1">
        <v>39082</v>
      </c>
      <c r="C807" s="2">
        <f t="shared" si="15"/>
        <v>2.9322381930184807</v>
      </c>
      <c r="D807" s="3">
        <v>89.5</v>
      </c>
      <c r="E807" s="2">
        <v>11.7</v>
      </c>
      <c r="F807" s="3">
        <v>0</v>
      </c>
      <c r="G807" s="3">
        <v>1</v>
      </c>
      <c r="H807" s="3">
        <v>89.5</v>
      </c>
      <c r="I807" s="2">
        <v>11.7</v>
      </c>
    </row>
    <row r="808" spans="1:9">
      <c r="A808" s="1">
        <v>37175</v>
      </c>
      <c r="B808" s="1">
        <v>39082</v>
      </c>
      <c r="C808" s="2">
        <f t="shared" si="15"/>
        <v>5.2210814510609174</v>
      </c>
      <c r="D808" s="3">
        <v>89.6</v>
      </c>
      <c r="E808" s="2">
        <v>11.4</v>
      </c>
      <c r="F808" s="3">
        <v>0</v>
      </c>
      <c r="G808" s="3">
        <v>1</v>
      </c>
      <c r="H808" s="3">
        <v>89.6</v>
      </c>
      <c r="I808" s="2">
        <v>11.4</v>
      </c>
    </row>
    <row r="809" spans="1:9">
      <c r="A809" s="1">
        <v>38057</v>
      </c>
      <c r="B809" s="1">
        <v>39082</v>
      </c>
      <c r="C809" s="2">
        <f t="shared" si="15"/>
        <v>2.8062970568104038</v>
      </c>
      <c r="D809" s="3">
        <v>89.6</v>
      </c>
      <c r="E809" s="2">
        <v>11.9</v>
      </c>
      <c r="F809" s="3">
        <v>0</v>
      </c>
      <c r="G809" s="3">
        <v>1</v>
      </c>
      <c r="H809" s="3">
        <v>89.6</v>
      </c>
      <c r="I809" s="2">
        <v>11.9</v>
      </c>
    </row>
    <row r="810" spans="1:9">
      <c r="A810" s="1">
        <v>37206</v>
      </c>
      <c r="B810" s="1">
        <v>39082</v>
      </c>
      <c r="C810" s="2">
        <f t="shared" si="15"/>
        <v>5.1362080766598224</v>
      </c>
      <c r="D810" s="3">
        <v>89.6</v>
      </c>
      <c r="E810" s="2">
        <v>12.5</v>
      </c>
      <c r="F810" s="3">
        <v>0</v>
      </c>
      <c r="G810" s="3">
        <v>0</v>
      </c>
      <c r="H810" s="3">
        <v>89.6</v>
      </c>
      <c r="I810" s="2">
        <v>12.5</v>
      </c>
    </row>
    <row r="811" spans="1:9">
      <c r="A811" s="1">
        <v>37287</v>
      </c>
      <c r="B811" s="1">
        <v>39082</v>
      </c>
      <c r="C811" s="2">
        <f t="shared" si="15"/>
        <v>4.9144421629021222</v>
      </c>
      <c r="D811" s="3">
        <v>89.6</v>
      </c>
      <c r="E811" s="2">
        <v>10.8</v>
      </c>
      <c r="F811" s="3">
        <v>0</v>
      </c>
      <c r="G811" s="3">
        <v>0</v>
      </c>
      <c r="H811" s="3">
        <v>89.6</v>
      </c>
      <c r="I811" s="2">
        <v>10.8</v>
      </c>
    </row>
    <row r="812" spans="1:9">
      <c r="A812" s="1">
        <v>38043</v>
      </c>
      <c r="B812" s="1">
        <v>39082</v>
      </c>
      <c r="C812" s="2">
        <f t="shared" si="15"/>
        <v>2.8446269678302532</v>
      </c>
      <c r="D812" s="3">
        <v>89.8</v>
      </c>
      <c r="E812" s="2">
        <v>12.7</v>
      </c>
      <c r="F812" s="3">
        <v>0</v>
      </c>
      <c r="G812" s="3">
        <v>1</v>
      </c>
      <c r="H812" s="3">
        <v>89.8</v>
      </c>
      <c r="I812" s="2">
        <v>12.7</v>
      </c>
    </row>
    <row r="813" spans="1:9">
      <c r="A813" s="1">
        <v>37066</v>
      </c>
      <c r="B813" s="1">
        <v>39082</v>
      </c>
      <c r="C813" s="2">
        <f t="shared" si="15"/>
        <v>5.5195071868583163</v>
      </c>
      <c r="D813" s="3">
        <v>89.8</v>
      </c>
      <c r="E813" s="2">
        <v>10.9</v>
      </c>
      <c r="F813" s="3">
        <v>0</v>
      </c>
      <c r="G813" s="3">
        <v>1</v>
      </c>
      <c r="H813" s="3">
        <v>89.8</v>
      </c>
      <c r="I813" s="2">
        <v>10.9</v>
      </c>
    </row>
    <row r="814" spans="1:9">
      <c r="A814" s="1">
        <v>37433</v>
      </c>
      <c r="B814" s="1">
        <v>39082</v>
      </c>
      <c r="C814" s="2">
        <f t="shared" si="15"/>
        <v>4.514715947980835</v>
      </c>
      <c r="D814" s="3">
        <v>89.8</v>
      </c>
      <c r="E814" s="2">
        <v>11.5</v>
      </c>
      <c r="F814" s="3">
        <v>0</v>
      </c>
      <c r="G814" s="3">
        <v>1</v>
      </c>
      <c r="H814" s="3">
        <v>89.8</v>
      </c>
      <c r="I814" s="2">
        <v>11.5</v>
      </c>
    </row>
    <row r="815" spans="1:9">
      <c r="A815" s="1">
        <v>37089</v>
      </c>
      <c r="B815" s="1">
        <v>39082</v>
      </c>
      <c r="C815" s="2">
        <f t="shared" si="15"/>
        <v>5.4565366187542779</v>
      </c>
      <c r="D815" s="3">
        <v>89.9</v>
      </c>
      <c r="E815" s="2">
        <v>11.5</v>
      </c>
      <c r="F815" s="3">
        <v>0</v>
      </c>
      <c r="G815" s="3">
        <v>1</v>
      </c>
      <c r="H815" s="3">
        <v>89.9</v>
      </c>
      <c r="I815" s="2">
        <v>11.5</v>
      </c>
    </row>
    <row r="816" spans="1:9">
      <c r="A816" s="1">
        <v>38125</v>
      </c>
      <c r="B816" s="1">
        <v>39082</v>
      </c>
      <c r="C816" s="2">
        <f t="shared" si="15"/>
        <v>2.6201232032854209</v>
      </c>
      <c r="D816" s="3">
        <v>89.9</v>
      </c>
      <c r="E816" s="2">
        <v>11</v>
      </c>
      <c r="F816" s="3">
        <v>0</v>
      </c>
      <c r="G816" s="3">
        <v>1</v>
      </c>
      <c r="H816" s="3">
        <v>89.9</v>
      </c>
      <c r="I816" s="2">
        <v>11</v>
      </c>
    </row>
    <row r="817" spans="1:9">
      <c r="A817" s="1">
        <v>37378</v>
      </c>
      <c r="B817" s="1">
        <v>39082</v>
      </c>
      <c r="C817" s="2">
        <f t="shared" si="15"/>
        <v>4.6652977412731005</v>
      </c>
      <c r="D817" s="3">
        <v>89.9</v>
      </c>
      <c r="E817" s="2">
        <v>11.7</v>
      </c>
      <c r="F817" s="3">
        <v>0</v>
      </c>
      <c r="G817" s="3">
        <v>0</v>
      </c>
      <c r="H817" s="3">
        <v>89.9</v>
      </c>
      <c r="I817" s="2">
        <v>11.7</v>
      </c>
    </row>
    <row r="818" spans="1:9">
      <c r="A818" s="1">
        <v>37580</v>
      </c>
      <c r="B818" s="1">
        <v>39082</v>
      </c>
      <c r="C818" s="2">
        <f t="shared" si="15"/>
        <v>4.1122518822724166</v>
      </c>
      <c r="D818" s="3">
        <v>90</v>
      </c>
      <c r="E818" s="2">
        <v>11.1</v>
      </c>
      <c r="F818" s="3">
        <v>0</v>
      </c>
      <c r="G818" s="3">
        <v>0</v>
      </c>
      <c r="H818" s="3">
        <v>90</v>
      </c>
      <c r="I818" s="2">
        <v>11.1</v>
      </c>
    </row>
    <row r="819" spans="1:9">
      <c r="A819" s="1">
        <v>36945</v>
      </c>
      <c r="B819" s="1">
        <v>39082</v>
      </c>
      <c r="C819" s="2">
        <f t="shared" si="15"/>
        <v>5.8507871321013001</v>
      </c>
      <c r="D819" s="3">
        <v>90.1</v>
      </c>
      <c r="E819" s="2">
        <v>12.3</v>
      </c>
      <c r="F819" s="3">
        <v>0</v>
      </c>
      <c r="G819" s="3">
        <v>1</v>
      </c>
      <c r="H819" s="3">
        <v>90.1</v>
      </c>
      <c r="I819" s="2">
        <v>12.3</v>
      </c>
    </row>
    <row r="820" spans="1:9">
      <c r="A820" s="1">
        <v>37038</v>
      </c>
      <c r="B820" s="1">
        <v>39082</v>
      </c>
      <c r="C820" s="2">
        <f t="shared" si="15"/>
        <v>5.5961670088980151</v>
      </c>
      <c r="D820" s="3">
        <v>90.1</v>
      </c>
      <c r="E820" s="2">
        <v>11.6</v>
      </c>
      <c r="F820" s="3">
        <v>0</v>
      </c>
      <c r="G820" s="3">
        <v>1</v>
      </c>
      <c r="H820" s="3">
        <v>90.1</v>
      </c>
      <c r="I820" s="2">
        <v>11.6</v>
      </c>
    </row>
    <row r="821" spans="1:9">
      <c r="A821" s="1">
        <v>37322</v>
      </c>
      <c r="B821" s="1">
        <v>39082</v>
      </c>
      <c r="C821" s="2">
        <f t="shared" si="15"/>
        <v>4.8186173853524981</v>
      </c>
      <c r="D821" s="3">
        <v>90.2</v>
      </c>
      <c r="E821" s="2">
        <v>11.5</v>
      </c>
      <c r="F821" s="3">
        <v>0</v>
      </c>
      <c r="G821" s="3">
        <v>1</v>
      </c>
      <c r="H821" s="3">
        <v>90.2</v>
      </c>
      <c r="I821" s="2">
        <v>11.5</v>
      </c>
    </row>
    <row r="822" spans="1:9">
      <c r="A822" s="1">
        <v>37139</v>
      </c>
      <c r="B822" s="1">
        <v>39082</v>
      </c>
      <c r="C822" s="2">
        <f t="shared" si="15"/>
        <v>5.3196440793976727</v>
      </c>
      <c r="D822" s="3">
        <v>90.2</v>
      </c>
      <c r="E822" s="2">
        <v>11.8</v>
      </c>
      <c r="F822" s="3">
        <v>0</v>
      </c>
      <c r="G822" s="3">
        <v>0</v>
      </c>
      <c r="H822" s="3">
        <v>90.2</v>
      </c>
      <c r="I822" s="2">
        <v>11.8</v>
      </c>
    </row>
    <row r="823" spans="1:9">
      <c r="A823" s="1">
        <v>36973</v>
      </c>
      <c r="B823" s="1">
        <v>39082</v>
      </c>
      <c r="C823" s="2">
        <f t="shared" si="15"/>
        <v>5.7741273100616013</v>
      </c>
      <c r="D823" s="3">
        <v>90.2</v>
      </c>
      <c r="E823" s="2">
        <v>12.4</v>
      </c>
      <c r="F823" s="3">
        <v>0</v>
      </c>
      <c r="G823" s="3">
        <v>0</v>
      </c>
      <c r="H823" s="3">
        <v>90.2</v>
      </c>
      <c r="I823" s="2">
        <v>12.4</v>
      </c>
    </row>
    <row r="824" spans="1:9">
      <c r="A824" s="1">
        <v>38032</v>
      </c>
      <c r="B824" s="1">
        <v>39082</v>
      </c>
      <c r="C824" s="2">
        <f t="shared" si="15"/>
        <v>2.8747433264887063</v>
      </c>
      <c r="D824" s="3">
        <v>90.3</v>
      </c>
      <c r="E824" s="2">
        <v>12.5</v>
      </c>
      <c r="F824" s="3">
        <v>0</v>
      </c>
      <c r="G824" s="3">
        <v>1</v>
      </c>
      <c r="H824" s="3">
        <v>90.3</v>
      </c>
      <c r="I824" s="2">
        <v>12.5</v>
      </c>
    </row>
    <row r="825" spans="1:9">
      <c r="A825" s="1">
        <v>37419</v>
      </c>
      <c r="B825" s="1">
        <v>39082</v>
      </c>
      <c r="C825" s="2">
        <f t="shared" si="15"/>
        <v>4.5530458590006848</v>
      </c>
      <c r="D825" s="3">
        <v>90.3</v>
      </c>
      <c r="E825" s="2">
        <v>11.2</v>
      </c>
      <c r="F825" s="3">
        <v>0</v>
      </c>
      <c r="G825" s="3">
        <v>0</v>
      </c>
      <c r="H825" s="3">
        <v>90.3</v>
      </c>
      <c r="I825" s="2">
        <v>11.2</v>
      </c>
    </row>
    <row r="826" spans="1:9">
      <c r="A826" s="1">
        <v>38226</v>
      </c>
      <c r="B826" s="1">
        <v>39082</v>
      </c>
      <c r="C826" s="2">
        <f t="shared" si="15"/>
        <v>2.3436002737850785</v>
      </c>
      <c r="D826" s="3">
        <v>90.4</v>
      </c>
      <c r="E826" s="2">
        <v>11.9</v>
      </c>
      <c r="F826" s="3">
        <v>0</v>
      </c>
      <c r="G826" s="3">
        <v>1</v>
      </c>
      <c r="H826" s="3">
        <v>90.4</v>
      </c>
      <c r="I826" s="2">
        <v>11.9</v>
      </c>
    </row>
    <row r="827" spans="1:9">
      <c r="A827" s="1">
        <v>38101</v>
      </c>
      <c r="B827" s="1">
        <v>39082</v>
      </c>
      <c r="C827" s="2">
        <f t="shared" si="15"/>
        <v>2.6858316221765914</v>
      </c>
      <c r="D827" s="3">
        <v>90.4</v>
      </c>
      <c r="E827" s="2">
        <v>12.5</v>
      </c>
      <c r="F827" s="3">
        <v>1</v>
      </c>
      <c r="G827" s="3">
        <v>0</v>
      </c>
      <c r="H827" s="3">
        <v>90.4</v>
      </c>
      <c r="I827" s="2">
        <v>12.5</v>
      </c>
    </row>
    <row r="828" spans="1:9">
      <c r="A828" s="1">
        <v>37412</v>
      </c>
      <c r="B828" s="1">
        <v>39082</v>
      </c>
      <c r="C828" s="2">
        <f t="shared" si="15"/>
        <v>4.5722108145106093</v>
      </c>
      <c r="D828" s="3">
        <v>90.5</v>
      </c>
      <c r="E828" s="2">
        <v>11.7</v>
      </c>
      <c r="F828" s="3">
        <v>0</v>
      </c>
      <c r="G828" s="3">
        <v>0</v>
      </c>
      <c r="H828" s="3">
        <v>90.5</v>
      </c>
      <c r="I828" s="2">
        <v>11.7</v>
      </c>
    </row>
    <row r="829" spans="1:9">
      <c r="A829" s="1">
        <v>37257</v>
      </c>
      <c r="B829" s="1">
        <v>39082</v>
      </c>
      <c r="C829" s="2">
        <f t="shared" si="15"/>
        <v>4.9965776865160851</v>
      </c>
      <c r="D829" s="3">
        <v>90.6</v>
      </c>
      <c r="E829" s="2">
        <v>12.9</v>
      </c>
      <c r="F829" s="3">
        <v>0</v>
      </c>
      <c r="G829" s="3">
        <v>1</v>
      </c>
      <c r="H829" s="3">
        <v>90.6</v>
      </c>
      <c r="I829" s="2">
        <v>12.9</v>
      </c>
    </row>
    <row r="830" spans="1:9">
      <c r="A830" s="1">
        <v>37338</v>
      </c>
      <c r="B830" s="1">
        <v>39082</v>
      </c>
      <c r="C830" s="2">
        <f t="shared" si="15"/>
        <v>4.774811772758385</v>
      </c>
      <c r="D830" s="3">
        <v>90.7</v>
      </c>
      <c r="E830" s="2">
        <v>11.3</v>
      </c>
      <c r="F830" s="3">
        <v>0</v>
      </c>
      <c r="G830" s="3">
        <v>0</v>
      </c>
      <c r="H830" s="3">
        <v>90.7</v>
      </c>
      <c r="I830" s="2">
        <v>11.3</v>
      </c>
    </row>
    <row r="831" spans="1:9">
      <c r="A831" s="1">
        <v>37309</v>
      </c>
      <c r="B831" s="1">
        <v>39082</v>
      </c>
      <c r="C831" s="2">
        <f t="shared" si="15"/>
        <v>4.8542094455852158</v>
      </c>
      <c r="D831" s="3">
        <v>90.9</v>
      </c>
      <c r="E831" s="2">
        <v>12.7</v>
      </c>
      <c r="F831" s="3">
        <v>0</v>
      </c>
      <c r="G831" s="3">
        <v>0</v>
      </c>
      <c r="H831" s="3">
        <v>90.9</v>
      </c>
      <c r="I831" s="2">
        <v>12.7</v>
      </c>
    </row>
    <row r="832" spans="1:9">
      <c r="A832" s="1">
        <v>38179</v>
      </c>
      <c r="B832" s="1">
        <v>39082</v>
      </c>
      <c r="C832" s="2">
        <f t="shared" si="15"/>
        <v>2.4722792607802875</v>
      </c>
      <c r="D832" s="3">
        <v>90.9</v>
      </c>
      <c r="E832" s="2">
        <v>12.5</v>
      </c>
      <c r="F832" s="3">
        <v>0</v>
      </c>
      <c r="G832" s="3">
        <v>1</v>
      </c>
      <c r="H832" s="3">
        <v>90.9</v>
      </c>
      <c r="I832" s="2">
        <v>12.5</v>
      </c>
    </row>
    <row r="833" spans="1:9">
      <c r="A833" s="1">
        <v>37076</v>
      </c>
      <c r="B833" s="1">
        <v>39082</v>
      </c>
      <c r="C833" s="2">
        <f t="shared" si="15"/>
        <v>5.4921286789869956</v>
      </c>
      <c r="D833" s="3">
        <v>91</v>
      </c>
      <c r="E833" s="2">
        <v>12.5</v>
      </c>
      <c r="F833" s="3">
        <v>0</v>
      </c>
      <c r="G833" s="3">
        <v>1</v>
      </c>
      <c r="H833" s="3">
        <v>91</v>
      </c>
      <c r="I833" s="2">
        <v>12.5</v>
      </c>
    </row>
    <row r="834" spans="1:9">
      <c r="A834" s="1">
        <v>38297</v>
      </c>
      <c r="B834" s="1">
        <v>39082</v>
      </c>
      <c r="C834" s="2">
        <f t="shared" ref="C834:C897" si="16">(B834-A834)/365.25</f>
        <v>2.1492128678986995</v>
      </c>
      <c r="D834" s="3">
        <v>91</v>
      </c>
      <c r="E834" s="2">
        <v>14</v>
      </c>
      <c r="F834" s="3">
        <v>0</v>
      </c>
      <c r="G834" s="3">
        <v>0</v>
      </c>
      <c r="H834" s="3">
        <v>91</v>
      </c>
      <c r="I834" s="2">
        <v>14</v>
      </c>
    </row>
    <row r="835" spans="1:9">
      <c r="A835" s="1">
        <v>38313</v>
      </c>
      <c r="B835" s="1">
        <v>39082</v>
      </c>
      <c r="C835" s="2">
        <f t="shared" si="16"/>
        <v>2.1054072553045859</v>
      </c>
      <c r="D835" s="3">
        <v>91</v>
      </c>
      <c r="E835" s="2">
        <v>12.4</v>
      </c>
      <c r="F835" s="3">
        <v>0</v>
      </c>
      <c r="G835" s="3">
        <v>1</v>
      </c>
      <c r="H835" s="3">
        <v>91</v>
      </c>
      <c r="I835" s="2">
        <v>12.4</v>
      </c>
    </row>
    <row r="836" spans="1:9">
      <c r="A836" s="1">
        <v>37154</v>
      </c>
      <c r="B836" s="1">
        <v>39082</v>
      </c>
      <c r="C836" s="2">
        <f t="shared" si="16"/>
        <v>5.2785763175906917</v>
      </c>
      <c r="D836" s="3">
        <v>91.1</v>
      </c>
      <c r="E836" s="2">
        <v>11.8</v>
      </c>
      <c r="F836" s="3">
        <v>0</v>
      </c>
      <c r="G836" s="3">
        <v>0</v>
      </c>
      <c r="H836" s="3">
        <v>91.1</v>
      </c>
      <c r="I836" s="2">
        <v>11.8</v>
      </c>
    </row>
    <row r="837" spans="1:9">
      <c r="A837" s="1">
        <v>37520</v>
      </c>
      <c r="B837" s="1">
        <v>39082</v>
      </c>
      <c r="C837" s="2">
        <f t="shared" si="16"/>
        <v>4.2765229295003424</v>
      </c>
      <c r="D837" s="3">
        <v>91.2</v>
      </c>
      <c r="E837" s="2">
        <v>13.3</v>
      </c>
      <c r="F837" s="3">
        <v>0</v>
      </c>
      <c r="G837" s="3">
        <v>0</v>
      </c>
      <c r="H837" s="3">
        <v>91.2</v>
      </c>
      <c r="I837" s="2">
        <v>13.3</v>
      </c>
    </row>
    <row r="838" spans="1:9">
      <c r="A838" s="1">
        <v>37449</v>
      </c>
      <c r="B838" s="1">
        <v>39082</v>
      </c>
      <c r="C838" s="2">
        <f t="shared" si="16"/>
        <v>4.470910335386721</v>
      </c>
      <c r="D838" s="3">
        <v>91.2</v>
      </c>
      <c r="E838" s="2">
        <v>11.6</v>
      </c>
      <c r="F838" s="3">
        <v>0</v>
      </c>
      <c r="G838" s="3">
        <v>0</v>
      </c>
      <c r="H838" s="3">
        <v>91.2</v>
      </c>
      <c r="I838" s="2">
        <v>11.6</v>
      </c>
    </row>
    <row r="839" spans="1:9">
      <c r="A839" s="1">
        <v>38335</v>
      </c>
      <c r="B839" s="1">
        <v>39082</v>
      </c>
      <c r="C839" s="2">
        <f t="shared" si="16"/>
        <v>2.0451745379876796</v>
      </c>
      <c r="D839" s="3">
        <v>91.2</v>
      </c>
      <c r="E839" s="2">
        <v>12.2</v>
      </c>
      <c r="F839" s="3">
        <v>0</v>
      </c>
      <c r="G839" s="3">
        <v>1</v>
      </c>
      <c r="H839" s="3">
        <v>91.2</v>
      </c>
      <c r="I839" s="2">
        <v>12.2</v>
      </c>
    </row>
    <row r="840" spans="1:9">
      <c r="A840" s="1">
        <v>38032</v>
      </c>
      <c r="B840" s="1">
        <v>39082</v>
      </c>
      <c r="C840" s="2">
        <f t="shared" si="16"/>
        <v>2.8747433264887063</v>
      </c>
      <c r="D840" s="3">
        <v>91.2</v>
      </c>
      <c r="E840" s="2">
        <v>11.3</v>
      </c>
      <c r="F840" s="3">
        <v>0</v>
      </c>
      <c r="G840" s="3">
        <v>0</v>
      </c>
      <c r="H840" s="3">
        <v>91.2</v>
      </c>
      <c r="I840" s="2">
        <v>11.3</v>
      </c>
    </row>
    <row r="841" spans="1:9">
      <c r="A841" s="1">
        <v>36875</v>
      </c>
      <c r="B841" s="1">
        <v>39082</v>
      </c>
      <c r="C841" s="2">
        <f t="shared" si="16"/>
        <v>6.0424366872005475</v>
      </c>
      <c r="D841" s="3">
        <v>91.2</v>
      </c>
      <c r="E841" s="2">
        <v>10.8</v>
      </c>
      <c r="F841" s="3">
        <v>0</v>
      </c>
      <c r="G841" s="3">
        <v>1</v>
      </c>
      <c r="H841" s="3">
        <v>91.2</v>
      </c>
      <c r="I841" s="2">
        <v>10.8</v>
      </c>
    </row>
    <row r="842" spans="1:9">
      <c r="A842" s="1">
        <v>37118</v>
      </c>
      <c r="B842" s="1">
        <v>39082</v>
      </c>
      <c r="C842" s="2">
        <f t="shared" si="16"/>
        <v>5.377138945927447</v>
      </c>
      <c r="D842" s="3">
        <v>91.2</v>
      </c>
      <c r="E842" s="2">
        <v>12.6</v>
      </c>
      <c r="F842" s="3">
        <v>0</v>
      </c>
      <c r="G842" s="3">
        <v>1</v>
      </c>
      <c r="H842" s="3">
        <v>91.2</v>
      </c>
      <c r="I842" s="2">
        <v>12.6</v>
      </c>
    </row>
    <row r="843" spans="1:9">
      <c r="A843" s="1">
        <v>37434</v>
      </c>
      <c r="B843" s="1">
        <v>39082</v>
      </c>
      <c r="C843" s="2">
        <f t="shared" si="16"/>
        <v>4.5119780971937029</v>
      </c>
      <c r="D843" s="3">
        <v>91.3</v>
      </c>
      <c r="E843" s="2">
        <v>11.9</v>
      </c>
      <c r="F843" s="3">
        <v>0</v>
      </c>
      <c r="G843" s="3">
        <v>1</v>
      </c>
      <c r="H843" s="3">
        <v>91.3</v>
      </c>
      <c r="I843" s="2">
        <v>11.9</v>
      </c>
    </row>
    <row r="844" spans="1:9">
      <c r="A844" s="1">
        <v>38213</v>
      </c>
      <c r="B844" s="1">
        <v>39082</v>
      </c>
      <c r="C844" s="2">
        <f t="shared" si="16"/>
        <v>2.3791923340177958</v>
      </c>
      <c r="D844" s="3">
        <v>91.4</v>
      </c>
      <c r="E844" s="2">
        <v>12.9</v>
      </c>
      <c r="F844" s="3">
        <v>0</v>
      </c>
      <c r="G844" s="3">
        <v>0</v>
      </c>
      <c r="H844" s="3">
        <v>91.4</v>
      </c>
      <c r="I844" s="2">
        <v>12.9</v>
      </c>
    </row>
    <row r="845" spans="1:9">
      <c r="A845" s="1">
        <v>37036</v>
      </c>
      <c r="B845" s="1">
        <v>39082</v>
      </c>
      <c r="C845" s="2">
        <f t="shared" si="16"/>
        <v>5.6016427104722792</v>
      </c>
      <c r="D845" s="3">
        <v>91.5</v>
      </c>
      <c r="E845" s="2">
        <v>13</v>
      </c>
      <c r="F845" s="3">
        <v>0</v>
      </c>
      <c r="G845" s="3">
        <v>0</v>
      </c>
      <c r="H845" s="3">
        <v>91.5</v>
      </c>
      <c r="I845" s="2">
        <v>13</v>
      </c>
    </row>
    <row r="846" spans="1:9">
      <c r="A846" s="1">
        <v>38299</v>
      </c>
      <c r="B846" s="1">
        <v>39082</v>
      </c>
      <c r="C846" s="2">
        <f t="shared" si="16"/>
        <v>2.1437371663244353</v>
      </c>
      <c r="D846" s="3">
        <v>91.5</v>
      </c>
      <c r="E846" s="2">
        <v>12.7</v>
      </c>
      <c r="F846" s="3">
        <v>0</v>
      </c>
      <c r="G846" s="3">
        <v>1</v>
      </c>
      <c r="H846" s="3">
        <v>91.5</v>
      </c>
      <c r="I846" s="2">
        <v>12.7</v>
      </c>
    </row>
    <row r="847" spans="1:9">
      <c r="A847" s="1">
        <v>36978</v>
      </c>
      <c r="B847" s="1">
        <v>39082</v>
      </c>
      <c r="C847" s="2">
        <f t="shared" si="16"/>
        <v>5.760438056125941</v>
      </c>
      <c r="D847" s="3">
        <v>91.6</v>
      </c>
      <c r="E847" s="2">
        <v>12.3</v>
      </c>
      <c r="F847" s="3">
        <v>0</v>
      </c>
      <c r="G847" s="3">
        <v>1</v>
      </c>
      <c r="H847" s="3">
        <v>91.6</v>
      </c>
      <c r="I847" s="2">
        <v>12.3</v>
      </c>
    </row>
    <row r="848" spans="1:9">
      <c r="A848" s="1">
        <v>37035</v>
      </c>
      <c r="B848" s="1">
        <v>39082</v>
      </c>
      <c r="C848" s="2">
        <f t="shared" si="16"/>
        <v>5.6043805612594113</v>
      </c>
      <c r="D848" s="3">
        <v>91.6</v>
      </c>
      <c r="E848" s="2">
        <v>11.9</v>
      </c>
      <c r="F848" s="3">
        <v>0</v>
      </c>
      <c r="G848" s="3">
        <v>1</v>
      </c>
      <c r="H848" s="3">
        <v>91.6</v>
      </c>
      <c r="I848" s="2">
        <v>11.9</v>
      </c>
    </row>
    <row r="849" spans="1:9">
      <c r="A849" s="1">
        <v>38303</v>
      </c>
      <c r="B849" s="1">
        <v>39082</v>
      </c>
      <c r="C849" s="2">
        <f t="shared" si="16"/>
        <v>2.1327857631759071</v>
      </c>
      <c r="D849" s="3">
        <v>91.6</v>
      </c>
      <c r="E849" s="2">
        <v>10.5</v>
      </c>
      <c r="F849" s="3">
        <v>0</v>
      </c>
      <c r="G849" s="3">
        <v>0</v>
      </c>
      <c r="H849" s="3">
        <v>91.6</v>
      </c>
      <c r="I849" s="2">
        <v>10.5</v>
      </c>
    </row>
    <row r="850" spans="1:9">
      <c r="A850" s="1">
        <v>38047</v>
      </c>
      <c r="B850" s="1">
        <v>39082</v>
      </c>
      <c r="C850" s="2">
        <f t="shared" si="16"/>
        <v>2.8336755646817249</v>
      </c>
      <c r="D850" s="3">
        <v>91.6</v>
      </c>
      <c r="E850" s="2">
        <v>13.3</v>
      </c>
      <c r="F850" s="3">
        <v>0</v>
      </c>
      <c r="G850" s="3">
        <v>1</v>
      </c>
      <c r="H850" s="3">
        <v>91.6</v>
      </c>
      <c r="I850" s="2">
        <v>13.3</v>
      </c>
    </row>
    <row r="851" spans="1:9">
      <c r="A851" s="1">
        <v>37064</v>
      </c>
      <c r="B851" s="1">
        <v>39082</v>
      </c>
      <c r="C851" s="2">
        <f t="shared" si="16"/>
        <v>5.5249828884325805</v>
      </c>
      <c r="D851" s="3">
        <v>91.7</v>
      </c>
      <c r="E851" s="2">
        <v>13.7</v>
      </c>
      <c r="F851" s="3">
        <v>0</v>
      </c>
      <c r="G851" s="3">
        <v>0</v>
      </c>
      <c r="H851" s="3">
        <v>91.7</v>
      </c>
      <c r="I851" s="2">
        <v>13.7</v>
      </c>
    </row>
    <row r="852" spans="1:9">
      <c r="A852" s="1">
        <v>38081</v>
      </c>
      <c r="B852" s="1">
        <v>39082</v>
      </c>
      <c r="C852" s="2">
        <f t="shared" si="16"/>
        <v>2.7405886379192332</v>
      </c>
      <c r="D852" s="3">
        <v>91.7</v>
      </c>
      <c r="E852" s="2">
        <v>13.3</v>
      </c>
      <c r="F852" s="3">
        <v>0</v>
      </c>
      <c r="G852" s="3">
        <v>0</v>
      </c>
      <c r="H852" s="3">
        <v>91.7</v>
      </c>
      <c r="I852" s="2">
        <v>13.3</v>
      </c>
    </row>
    <row r="853" spans="1:9">
      <c r="A853" s="1">
        <v>38045</v>
      </c>
      <c r="B853" s="1">
        <v>39082</v>
      </c>
      <c r="C853" s="2">
        <f t="shared" si="16"/>
        <v>2.839151266255989</v>
      </c>
      <c r="D853" s="3">
        <v>91.7</v>
      </c>
      <c r="E853" s="2">
        <v>14.1</v>
      </c>
      <c r="F853" s="3">
        <v>0</v>
      </c>
      <c r="G853" s="3">
        <v>0</v>
      </c>
      <c r="H853" s="3">
        <v>91.7</v>
      </c>
      <c r="I853" s="2">
        <v>14.1</v>
      </c>
    </row>
    <row r="854" spans="1:9">
      <c r="A854" s="1">
        <v>38344</v>
      </c>
      <c r="B854" s="1">
        <v>39082</v>
      </c>
      <c r="C854" s="2">
        <f t="shared" si="16"/>
        <v>2.020533880903491</v>
      </c>
      <c r="D854" s="3">
        <v>91.8</v>
      </c>
      <c r="E854" s="2">
        <v>12.2</v>
      </c>
      <c r="F854" s="3">
        <v>0</v>
      </c>
      <c r="G854" s="3">
        <v>0</v>
      </c>
      <c r="H854" s="3">
        <v>91.8</v>
      </c>
      <c r="I854" s="2">
        <v>12.2</v>
      </c>
    </row>
    <row r="855" spans="1:9">
      <c r="A855" s="1">
        <v>37270</v>
      </c>
      <c r="B855" s="1">
        <v>39082</v>
      </c>
      <c r="C855" s="2">
        <f t="shared" si="16"/>
        <v>4.9609856262833674</v>
      </c>
      <c r="D855" s="3">
        <v>91.8</v>
      </c>
      <c r="E855" s="2">
        <v>12.4</v>
      </c>
      <c r="F855" s="3">
        <v>0</v>
      </c>
      <c r="G855" s="3">
        <v>0</v>
      </c>
      <c r="H855" s="3">
        <v>91.8</v>
      </c>
      <c r="I855" s="2">
        <v>12.4</v>
      </c>
    </row>
    <row r="856" spans="1:9">
      <c r="A856" s="1">
        <v>37030</v>
      </c>
      <c r="B856" s="1">
        <v>39082</v>
      </c>
      <c r="C856" s="2">
        <f t="shared" si="16"/>
        <v>5.6180698151950716</v>
      </c>
      <c r="D856" s="3">
        <v>91.9</v>
      </c>
      <c r="E856" s="2">
        <v>13.4</v>
      </c>
      <c r="F856" s="3">
        <v>0</v>
      </c>
      <c r="G856" s="3">
        <v>1</v>
      </c>
      <c r="H856" s="3">
        <v>91.9</v>
      </c>
      <c r="I856" s="2">
        <v>13.4</v>
      </c>
    </row>
    <row r="857" spans="1:9">
      <c r="A857" s="1">
        <v>38047</v>
      </c>
      <c r="B857" s="1">
        <v>39082</v>
      </c>
      <c r="C857" s="2">
        <f t="shared" si="16"/>
        <v>2.8336755646817249</v>
      </c>
      <c r="D857" s="3">
        <v>91.9</v>
      </c>
      <c r="E857" s="2">
        <v>13.3</v>
      </c>
      <c r="F857" s="3">
        <v>0</v>
      </c>
      <c r="G857" s="3">
        <v>0</v>
      </c>
      <c r="H857" s="3">
        <v>91.9</v>
      </c>
      <c r="I857" s="2">
        <v>13.3</v>
      </c>
    </row>
    <row r="858" spans="1:9">
      <c r="A858" s="1">
        <v>37070</v>
      </c>
      <c r="B858" s="1">
        <v>39082</v>
      </c>
      <c r="C858" s="2">
        <f t="shared" si="16"/>
        <v>5.508555783709788</v>
      </c>
      <c r="D858" s="3">
        <v>91.9</v>
      </c>
      <c r="E858" s="2">
        <v>12.8</v>
      </c>
      <c r="F858" s="3">
        <v>0</v>
      </c>
      <c r="G858" s="3">
        <v>0</v>
      </c>
      <c r="H858" s="3">
        <v>91.9</v>
      </c>
      <c r="I858" s="2">
        <v>12.8</v>
      </c>
    </row>
    <row r="859" spans="1:9">
      <c r="A859" s="1">
        <v>36800</v>
      </c>
      <c r="B859" s="1">
        <v>39082</v>
      </c>
      <c r="C859" s="2">
        <f t="shared" si="16"/>
        <v>6.2477754962354553</v>
      </c>
      <c r="D859" s="3">
        <v>91.9</v>
      </c>
      <c r="E859" s="2">
        <v>15.1</v>
      </c>
      <c r="F859" s="3">
        <v>0</v>
      </c>
      <c r="G859" s="3">
        <v>0</v>
      </c>
      <c r="H859" s="3">
        <v>91.9</v>
      </c>
      <c r="I859" s="2">
        <v>15.1</v>
      </c>
    </row>
    <row r="860" spans="1:9">
      <c r="A860" s="1">
        <v>36968</v>
      </c>
      <c r="B860" s="1">
        <v>39082</v>
      </c>
      <c r="C860" s="2">
        <f t="shared" si="16"/>
        <v>5.7878165639972625</v>
      </c>
      <c r="D860" s="3">
        <v>92</v>
      </c>
      <c r="E860" s="2">
        <v>11.6</v>
      </c>
      <c r="F860" s="3">
        <v>0</v>
      </c>
      <c r="G860" s="3">
        <v>0</v>
      </c>
      <c r="H860" s="3">
        <v>92</v>
      </c>
      <c r="I860" s="2">
        <v>11.6</v>
      </c>
    </row>
    <row r="861" spans="1:9">
      <c r="A861" s="1">
        <v>36771</v>
      </c>
      <c r="B861" s="1">
        <v>39082</v>
      </c>
      <c r="C861" s="2">
        <f t="shared" si="16"/>
        <v>6.3271731690622861</v>
      </c>
      <c r="D861" s="3">
        <v>92</v>
      </c>
      <c r="E861" s="2">
        <v>11.1</v>
      </c>
      <c r="F861" s="3">
        <v>0</v>
      </c>
      <c r="G861" s="3">
        <v>0</v>
      </c>
      <c r="H861" s="3">
        <v>92</v>
      </c>
      <c r="I861" s="2">
        <v>11.1</v>
      </c>
    </row>
    <row r="862" spans="1:9">
      <c r="A862" s="1">
        <v>37041</v>
      </c>
      <c r="B862" s="1">
        <v>39082</v>
      </c>
      <c r="C862" s="2">
        <f t="shared" si="16"/>
        <v>5.5879534565366189</v>
      </c>
      <c r="D862" s="3">
        <v>92.1</v>
      </c>
      <c r="E862" s="2">
        <v>12.1</v>
      </c>
      <c r="F862" s="3">
        <v>0</v>
      </c>
      <c r="G862" s="3">
        <v>1</v>
      </c>
      <c r="H862" s="3">
        <v>92.1</v>
      </c>
      <c r="I862" s="2">
        <v>12.1</v>
      </c>
    </row>
    <row r="863" spans="1:9">
      <c r="A863" s="1">
        <v>37008</v>
      </c>
      <c r="B863" s="1">
        <v>39082</v>
      </c>
      <c r="C863" s="2">
        <f t="shared" si="16"/>
        <v>5.678302532511978</v>
      </c>
      <c r="D863" s="3">
        <v>92.1</v>
      </c>
      <c r="E863" s="2">
        <v>12.1</v>
      </c>
      <c r="F863" s="3">
        <v>1</v>
      </c>
      <c r="G863" s="3">
        <v>1</v>
      </c>
      <c r="H863" s="3">
        <v>92.1</v>
      </c>
      <c r="I863" s="2">
        <v>12.1</v>
      </c>
    </row>
    <row r="864" spans="1:9">
      <c r="A864" s="1">
        <v>37787</v>
      </c>
      <c r="B864" s="1">
        <v>39082</v>
      </c>
      <c r="C864" s="2">
        <f t="shared" si="16"/>
        <v>3.5455167693360714</v>
      </c>
      <c r="D864" s="3">
        <v>92.1</v>
      </c>
      <c r="E864" s="2">
        <v>12.1</v>
      </c>
      <c r="F864" s="3">
        <v>0</v>
      </c>
      <c r="G864" s="3">
        <v>1</v>
      </c>
      <c r="H864" s="3">
        <v>92.1</v>
      </c>
      <c r="I864" s="2">
        <v>12.1</v>
      </c>
    </row>
    <row r="865" spans="1:9">
      <c r="A865" s="1">
        <v>38233</v>
      </c>
      <c r="B865" s="1">
        <v>39082</v>
      </c>
      <c r="C865" s="2">
        <f t="shared" si="16"/>
        <v>2.324435318275154</v>
      </c>
      <c r="D865" s="3">
        <v>92.1</v>
      </c>
      <c r="E865" s="2">
        <v>13.2</v>
      </c>
      <c r="F865" s="3">
        <v>0</v>
      </c>
      <c r="G865" s="3">
        <v>1</v>
      </c>
      <c r="H865" s="3">
        <v>92.1</v>
      </c>
      <c r="I865" s="2">
        <v>13.2</v>
      </c>
    </row>
    <row r="866" spans="1:9">
      <c r="A866" s="1">
        <v>37126</v>
      </c>
      <c r="B866" s="1">
        <v>39082</v>
      </c>
      <c r="C866" s="2">
        <f t="shared" si="16"/>
        <v>5.3552361396303905</v>
      </c>
      <c r="D866" s="3">
        <v>92.2</v>
      </c>
      <c r="E866" s="2">
        <v>12.5</v>
      </c>
      <c r="F866" s="3">
        <v>0</v>
      </c>
      <c r="G866" s="3">
        <v>1</v>
      </c>
      <c r="H866" s="3">
        <v>92.2</v>
      </c>
      <c r="I866" s="2">
        <v>12.5</v>
      </c>
    </row>
    <row r="867" spans="1:9">
      <c r="A867" s="1">
        <v>38111</v>
      </c>
      <c r="B867" s="1">
        <v>39082</v>
      </c>
      <c r="C867" s="2">
        <f t="shared" si="16"/>
        <v>2.6584531143052703</v>
      </c>
      <c r="D867" s="3">
        <v>92.2</v>
      </c>
      <c r="E867" s="2">
        <v>12</v>
      </c>
      <c r="F867" s="3">
        <v>0</v>
      </c>
      <c r="G867" s="3">
        <v>1</v>
      </c>
      <c r="H867" s="3">
        <v>92.2</v>
      </c>
      <c r="I867" s="2">
        <v>12</v>
      </c>
    </row>
    <row r="868" spans="1:9">
      <c r="A868" s="1">
        <v>36982</v>
      </c>
      <c r="B868" s="1">
        <v>39082</v>
      </c>
      <c r="C868" s="2">
        <f t="shared" si="16"/>
        <v>5.7494866529774127</v>
      </c>
      <c r="D868" s="3">
        <v>92.2</v>
      </c>
      <c r="E868" s="2">
        <v>13</v>
      </c>
      <c r="F868" s="3">
        <v>0</v>
      </c>
      <c r="G868" s="3">
        <v>1</v>
      </c>
      <c r="H868" s="3">
        <v>92.2</v>
      </c>
      <c r="I868" s="2">
        <v>13</v>
      </c>
    </row>
    <row r="869" spans="1:9">
      <c r="A869" s="1">
        <v>37067</v>
      </c>
      <c r="B869" s="1">
        <v>39082</v>
      </c>
      <c r="C869" s="2">
        <f t="shared" si="16"/>
        <v>5.5167693360711842</v>
      </c>
      <c r="D869" s="3">
        <v>92.3</v>
      </c>
      <c r="E869" s="2">
        <v>14</v>
      </c>
      <c r="F869" s="3">
        <v>0</v>
      </c>
      <c r="G869" s="3">
        <v>0</v>
      </c>
      <c r="H869" s="3">
        <v>92.3</v>
      </c>
      <c r="I869" s="2">
        <v>14</v>
      </c>
    </row>
    <row r="870" spans="1:9">
      <c r="A870" s="1">
        <v>36740</v>
      </c>
      <c r="B870" s="1">
        <v>39082</v>
      </c>
      <c r="C870" s="2">
        <f t="shared" si="16"/>
        <v>6.4120465434633811</v>
      </c>
      <c r="D870" s="3">
        <v>92.3</v>
      </c>
      <c r="E870" s="2">
        <v>11.2</v>
      </c>
      <c r="F870" s="3">
        <v>0</v>
      </c>
      <c r="G870" s="3">
        <v>1</v>
      </c>
      <c r="H870" s="3">
        <v>92.3</v>
      </c>
      <c r="I870" s="2">
        <v>11.2</v>
      </c>
    </row>
    <row r="871" spans="1:9">
      <c r="A871" s="1">
        <v>38092</v>
      </c>
      <c r="B871" s="1">
        <v>39082</v>
      </c>
      <c r="C871" s="2">
        <f t="shared" si="16"/>
        <v>2.7104722792607805</v>
      </c>
      <c r="D871" s="3">
        <v>92.3</v>
      </c>
      <c r="E871" s="2">
        <v>13.2</v>
      </c>
      <c r="F871" s="3">
        <v>0</v>
      </c>
      <c r="G871" s="3">
        <v>0</v>
      </c>
      <c r="H871" s="3">
        <v>92.3</v>
      </c>
      <c r="I871" s="2">
        <v>13.2</v>
      </c>
    </row>
    <row r="872" spans="1:9">
      <c r="A872" s="1">
        <v>36924</v>
      </c>
      <c r="B872" s="1">
        <v>39082</v>
      </c>
      <c r="C872" s="2">
        <f t="shared" si="16"/>
        <v>5.9082819986310744</v>
      </c>
      <c r="D872" s="3">
        <v>92.3</v>
      </c>
      <c r="E872" s="2">
        <v>10.8</v>
      </c>
      <c r="F872" s="3">
        <v>0</v>
      </c>
      <c r="G872" s="3">
        <v>1</v>
      </c>
      <c r="H872" s="3">
        <v>92.3</v>
      </c>
      <c r="I872" s="2">
        <v>10.8</v>
      </c>
    </row>
    <row r="873" spans="1:9">
      <c r="A873" s="1">
        <v>38071</v>
      </c>
      <c r="B873" s="1">
        <v>39082</v>
      </c>
      <c r="C873" s="2">
        <f t="shared" si="16"/>
        <v>2.7679671457905544</v>
      </c>
      <c r="D873" s="3">
        <v>92.4</v>
      </c>
      <c r="E873" s="2">
        <v>14.1</v>
      </c>
      <c r="F873" s="3">
        <v>0</v>
      </c>
      <c r="G873" s="3">
        <v>0</v>
      </c>
      <c r="H873" s="3">
        <v>92.4</v>
      </c>
      <c r="I873" s="2">
        <v>14.1</v>
      </c>
    </row>
    <row r="874" spans="1:9">
      <c r="A874" s="1">
        <v>38264</v>
      </c>
      <c r="B874" s="1">
        <v>39082</v>
      </c>
      <c r="C874" s="2">
        <f t="shared" si="16"/>
        <v>2.239561943874059</v>
      </c>
      <c r="D874" s="3">
        <v>92.4</v>
      </c>
      <c r="E874" s="2">
        <v>12.6</v>
      </c>
      <c r="F874" s="3">
        <v>0</v>
      </c>
      <c r="G874" s="3">
        <v>1</v>
      </c>
      <c r="H874" s="3">
        <v>92.4</v>
      </c>
      <c r="I874" s="2">
        <v>12.6</v>
      </c>
    </row>
    <row r="875" spans="1:9">
      <c r="A875" s="1">
        <v>38261</v>
      </c>
      <c r="B875" s="1">
        <v>39082</v>
      </c>
      <c r="C875" s="2">
        <f t="shared" si="16"/>
        <v>2.2477754962354553</v>
      </c>
      <c r="D875" s="3">
        <v>92.4</v>
      </c>
      <c r="E875" s="2">
        <v>13.4</v>
      </c>
      <c r="F875" s="3">
        <v>0</v>
      </c>
      <c r="G875" s="3">
        <v>1</v>
      </c>
      <c r="H875" s="3">
        <v>92.4</v>
      </c>
      <c r="I875" s="2">
        <v>13.4</v>
      </c>
    </row>
    <row r="876" spans="1:9">
      <c r="A876" s="1">
        <v>37206</v>
      </c>
      <c r="B876" s="1">
        <v>39082</v>
      </c>
      <c r="C876" s="2">
        <f t="shared" si="16"/>
        <v>5.1362080766598224</v>
      </c>
      <c r="D876" s="3">
        <v>92.4</v>
      </c>
      <c r="E876" s="2">
        <v>12.6</v>
      </c>
      <c r="F876" s="3">
        <v>0</v>
      </c>
      <c r="G876" s="3">
        <v>0</v>
      </c>
      <c r="H876" s="3">
        <v>92.4</v>
      </c>
      <c r="I876" s="2">
        <v>12.6</v>
      </c>
    </row>
    <row r="877" spans="1:9">
      <c r="A877" s="1">
        <v>37018</v>
      </c>
      <c r="B877" s="1">
        <v>39082</v>
      </c>
      <c r="C877" s="2">
        <f t="shared" si="16"/>
        <v>5.6509240246406574</v>
      </c>
      <c r="D877" s="3">
        <v>92.4</v>
      </c>
      <c r="E877" s="2">
        <v>13.2</v>
      </c>
      <c r="F877" s="3">
        <v>0</v>
      </c>
      <c r="G877" s="3">
        <v>1</v>
      </c>
      <c r="H877" s="3">
        <v>92.4</v>
      </c>
      <c r="I877" s="2">
        <v>13.2</v>
      </c>
    </row>
    <row r="878" spans="1:9">
      <c r="A878" s="1">
        <v>36722</v>
      </c>
      <c r="B878" s="1">
        <v>39082</v>
      </c>
      <c r="C878" s="2">
        <f t="shared" si="16"/>
        <v>6.4613278576317592</v>
      </c>
      <c r="D878" s="3">
        <v>92.5</v>
      </c>
      <c r="E878" s="2">
        <v>13</v>
      </c>
      <c r="F878" s="3">
        <v>1</v>
      </c>
      <c r="G878" s="3">
        <v>1</v>
      </c>
      <c r="H878" s="3">
        <v>92.5</v>
      </c>
      <c r="I878" s="2">
        <v>13</v>
      </c>
    </row>
    <row r="879" spans="1:9">
      <c r="A879" s="1">
        <v>37494</v>
      </c>
      <c r="B879" s="1">
        <v>39082</v>
      </c>
      <c r="C879" s="2">
        <f t="shared" si="16"/>
        <v>4.3477070499657771</v>
      </c>
      <c r="D879" s="3">
        <v>92.5</v>
      </c>
      <c r="E879" s="2">
        <v>11.1</v>
      </c>
      <c r="F879" s="3">
        <v>0</v>
      </c>
      <c r="G879" s="3">
        <v>0</v>
      </c>
      <c r="H879" s="3">
        <v>92.5</v>
      </c>
      <c r="I879" s="2">
        <v>11.1</v>
      </c>
    </row>
    <row r="880" spans="1:9">
      <c r="A880" s="1">
        <v>36585</v>
      </c>
      <c r="B880" s="1">
        <v>39082</v>
      </c>
      <c r="C880" s="2">
        <f t="shared" si="16"/>
        <v>6.8364134154688569</v>
      </c>
      <c r="D880" s="3">
        <v>92.5</v>
      </c>
      <c r="E880" s="2">
        <v>11.9</v>
      </c>
      <c r="F880" s="3">
        <v>0</v>
      </c>
      <c r="G880" s="3">
        <v>0</v>
      </c>
      <c r="H880" s="3">
        <v>92.5</v>
      </c>
      <c r="I880" s="2">
        <v>11.9</v>
      </c>
    </row>
    <row r="881" spans="1:9">
      <c r="A881" s="1">
        <v>38175</v>
      </c>
      <c r="B881" s="1">
        <v>39082</v>
      </c>
      <c r="C881" s="2">
        <f t="shared" si="16"/>
        <v>2.4832306639288158</v>
      </c>
      <c r="D881" s="3">
        <v>92.5</v>
      </c>
      <c r="E881" s="2">
        <v>12.7</v>
      </c>
      <c r="F881" s="3">
        <v>0</v>
      </c>
      <c r="G881" s="3">
        <v>1</v>
      </c>
      <c r="H881" s="3">
        <v>92.5</v>
      </c>
      <c r="I881" s="2">
        <v>12.7</v>
      </c>
    </row>
    <row r="882" spans="1:9">
      <c r="A882" s="1">
        <v>38280</v>
      </c>
      <c r="B882" s="1">
        <v>39082</v>
      </c>
      <c r="C882" s="2">
        <f t="shared" si="16"/>
        <v>2.1957563312799451</v>
      </c>
      <c r="D882" s="3">
        <v>92.6</v>
      </c>
      <c r="E882" s="2">
        <v>14.2</v>
      </c>
      <c r="F882" s="3">
        <v>0</v>
      </c>
      <c r="G882" s="3">
        <v>1</v>
      </c>
      <c r="H882" s="3">
        <v>92.6</v>
      </c>
      <c r="I882" s="2">
        <v>14.2</v>
      </c>
    </row>
    <row r="883" spans="1:9">
      <c r="A883" s="1">
        <v>37073</v>
      </c>
      <c r="B883" s="1">
        <v>39082</v>
      </c>
      <c r="C883" s="2">
        <f t="shared" si="16"/>
        <v>5.5003422313483918</v>
      </c>
      <c r="D883" s="3">
        <v>92.6</v>
      </c>
      <c r="E883" s="2">
        <v>12.2</v>
      </c>
      <c r="F883" s="3">
        <v>0</v>
      </c>
      <c r="G883" s="3">
        <v>1</v>
      </c>
      <c r="H883" s="3">
        <v>92.6</v>
      </c>
      <c r="I883" s="2">
        <v>12.2</v>
      </c>
    </row>
    <row r="884" spans="1:9">
      <c r="A884" s="1">
        <v>37988</v>
      </c>
      <c r="B884" s="1">
        <v>39082</v>
      </c>
      <c r="C884" s="2">
        <f t="shared" si="16"/>
        <v>2.9952087611225187</v>
      </c>
      <c r="D884" s="3">
        <v>92.6</v>
      </c>
      <c r="E884" s="2">
        <v>13.2</v>
      </c>
      <c r="F884" s="3">
        <v>0</v>
      </c>
      <c r="G884" s="3">
        <v>1</v>
      </c>
      <c r="H884" s="3">
        <v>92.6</v>
      </c>
      <c r="I884" s="2">
        <v>13.2</v>
      </c>
    </row>
    <row r="885" spans="1:9">
      <c r="A885" s="1">
        <v>38255</v>
      </c>
      <c r="B885" s="1">
        <v>39082</v>
      </c>
      <c r="C885" s="2">
        <f t="shared" si="16"/>
        <v>2.2642026009582477</v>
      </c>
      <c r="D885" s="3">
        <v>92.6</v>
      </c>
      <c r="E885" s="2">
        <v>12.5</v>
      </c>
      <c r="F885" s="3">
        <v>0</v>
      </c>
      <c r="G885" s="3">
        <v>1</v>
      </c>
      <c r="H885" s="3">
        <v>92.6</v>
      </c>
      <c r="I885" s="2">
        <v>12.5</v>
      </c>
    </row>
    <row r="886" spans="1:9">
      <c r="A886" s="1">
        <v>37154</v>
      </c>
      <c r="B886" s="1">
        <v>39082</v>
      </c>
      <c r="C886" s="2">
        <f t="shared" si="16"/>
        <v>5.2785763175906917</v>
      </c>
      <c r="D886" s="3">
        <v>92.6</v>
      </c>
      <c r="E886" s="2">
        <v>13.4</v>
      </c>
      <c r="F886" s="3">
        <v>0</v>
      </c>
      <c r="G886" s="3">
        <v>0</v>
      </c>
      <c r="H886" s="3">
        <v>92.6</v>
      </c>
      <c r="I886" s="2">
        <v>13.4</v>
      </c>
    </row>
    <row r="887" spans="1:9">
      <c r="A887" s="1">
        <v>37163</v>
      </c>
      <c r="B887" s="1">
        <v>39082</v>
      </c>
      <c r="C887" s="2">
        <f t="shared" si="16"/>
        <v>5.2539356605065022</v>
      </c>
      <c r="D887" s="3">
        <v>92.7</v>
      </c>
      <c r="E887" s="2">
        <v>13</v>
      </c>
      <c r="F887" s="3">
        <v>0</v>
      </c>
      <c r="G887" s="3">
        <v>0</v>
      </c>
      <c r="H887" s="3">
        <v>92.7</v>
      </c>
      <c r="I887" s="2">
        <v>13</v>
      </c>
    </row>
    <row r="888" spans="1:9">
      <c r="A888" s="1">
        <v>36713</v>
      </c>
      <c r="B888" s="1">
        <v>39082</v>
      </c>
      <c r="C888" s="2">
        <f t="shared" si="16"/>
        <v>6.4859685147159478</v>
      </c>
      <c r="D888" s="3">
        <v>92.7</v>
      </c>
      <c r="E888" s="2">
        <v>10.7</v>
      </c>
      <c r="F888" s="3">
        <v>1</v>
      </c>
      <c r="G888" s="3">
        <v>1</v>
      </c>
      <c r="H888" s="3">
        <v>92.7</v>
      </c>
      <c r="I888" s="2">
        <v>10.7</v>
      </c>
    </row>
    <row r="889" spans="1:9">
      <c r="A889" s="1">
        <v>38118</v>
      </c>
      <c r="B889" s="1">
        <v>39082</v>
      </c>
      <c r="C889" s="2">
        <f t="shared" si="16"/>
        <v>2.6392881587953458</v>
      </c>
      <c r="D889" s="3">
        <v>92.7</v>
      </c>
      <c r="E889" s="2">
        <v>12.9</v>
      </c>
      <c r="F889" s="3">
        <v>0</v>
      </c>
      <c r="G889" s="3">
        <v>1</v>
      </c>
      <c r="H889" s="3">
        <v>92.7</v>
      </c>
      <c r="I889" s="2">
        <v>12.9</v>
      </c>
    </row>
    <row r="890" spans="1:9">
      <c r="A890" s="1">
        <v>38335</v>
      </c>
      <c r="B890" s="1">
        <v>39082</v>
      </c>
      <c r="C890" s="2">
        <f t="shared" si="16"/>
        <v>2.0451745379876796</v>
      </c>
      <c r="D890" s="3">
        <v>92.7</v>
      </c>
      <c r="E890" s="2">
        <v>14</v>
      </c>
      <c r="F890" s="3">
        <v>0</v>
      </c>
      <c r="G890" s="3">
        <v>1</v>
      </c>
      <c r="H890" s="3">
        <v>92.7</v>
      </c>
      <c r="I890" s="2">
        <v>14</v>
      </c>
    </row>
    <row r="891" spans="1:9">
      <c r="A891" s="1">
        <v>37049</v>
      </c>
      <c r="B891" s="1">
        <v>39082</v>
      </c>
      <c r="C891" s="2">
        <f t="shared" si="16"/>
        <v>5.5660506502395624</v>
      </c>
      <c r="D891" s="3">
        <v>92.7</v>
      </c>
      <c r="E891" s="2">
        <v>13.8</v>
      </c>
      <c r="F891" s="3">
        <v>0</v>
      </c>
      <c r="G891" s="3">
        <v>1</v>
      </c>
      <c r="H891" s="3">
        <v>92.7</v>
      </c>
      <c r="I891" s="2">
        <v>13.8</v>
      </c>
    </row>
    <row r="892" spans="1:9">
      <c r="A892" s="1">
        <v>36841</v>
      </c>
      <c r="B892" s="1">
        <v>39082</v>
      </c>
      <c r="C892" s="2">
        <f t="shared" si="16"/>
        <v>6.1355236139630387</v>
      </c>
      <c r="D892" s="3">
        <v>92.9</v>
      </c>
      <c r="E892" s="2">
        <v>14.2</v>
      </c>
      <c r="F892" s="3">
        <v>0</v>
      </c>
      <c r="G892" s="3">
        <v>0</v>
      </c>
      <c r="H892" s="3">
        <v>92.9</v>
      </c>
      <c r="I892" s="2">
        <v>14.2</v>
      </c>
    </row>
    <row r="893" spans="1:9">
      <c r="A893" s="1">
        <v>37127</v>
      </c>
      <c r="B893" s="1">
        <v>39082</v>
      </c>
      <c r="C893" s="2">
        <f t="shared" si="16"/>
        <v>5.3524982888432584</v>
      </c>
      <c r="D893" s="3">
        <v>93</v>
      </c>
      <c r="E893" s="2">
        <v>13.7</v>
      </c>
      <c r="F893" s="3">
        <v>0</v>
      </c>
      <c r="G893" s="3">
        <v>1</v>
      </c>
      <c r="H893" s="3">
        <v>93</v>
      </c>
      <c r="I893" s="2">
        <v>13.7</v>
      </c>
    </row>
    <row r="894" spans="1:9">
      <c r="A894" s="1">
        <v>37297</v>
      </c>
      <c r="B894" s="1">
        <v>39082</v>
      </c>
      <c r="C894" s="2">
        <f t="shared" si="16"/>
        <v>4.8870636550308006</v>
      </c>
      <c r="D894" s="3">
        <v>93</v>
      </c>
      <c r="E894" s="2">
        <v>13.3</v>
      </c>
      <c r="F894" s="3">
        <v>0</v>
      </c>
      <c r="G894" s="3">
        <v>1</v>
      </c>
      <c r="H894" s="3">
        <v>93</v>
      </c>
      <c r="I894" s="2">
        <v>13.3</v>
      </c>
    </row>
    <row r="895" spans="1:9">
      <c r="A895" s="1">
        <v>36676</v>
      </c>
      <c r="B895" s="1">
        <v>39082</v>
      </c>
      <c r="C895" s="2">
        <f t="shared" si="16"/>
        <v>6.5872689938398361</v>
      </c>
      <c r="D895" s="3">
        <v>93</v>
      </c>
      <c r="E895" s="2">
        <v>12.5</v>
      </c>
      <c r="F895" s="3">
        <v>0</v>
      </c>
      <c r="G895" s="3">
        <v>1</v>
      </c>
      <c r="H895" s="3">
        <v>93</v>
      </c>
      <c r="I895" s="2">
        <v>12.5</v>
      </c>
    </row>
    <row r="896" spans="1:9">
      <c r="A896" s="1">
        <v>37292</v>
      </c>
      <c r="B896" s="1">
        <v>39082</v>
      </c>
      <c r="C896" s="2">
        <f t="shared" si="16"/>
        <v>4.900752908966461</v>
      </c>
      <c r="D896" s="3">
        <v>93.1</v>
      </c>
      <c r="E896" s="2">
        <v>13.1</v>
      </c>
      <c r="F896" s="3">
        <v>0</v>
      </c>
      <c r="G896" s="3">
        <v>1</v>
      </c>
      <c r="H896" s="3">
        <v>93.1</v>
      </c>
      <c r="I896" s="2">
        <v>13.1</v>
      </c>
    </row>
    <row r="897" spans="1:9">
      <c r="A897" s="1">
        <v>38348</v>
      </c>
      <c r="B897" s="1">
        <v>39082</v>
      </c>
      <c r="C897" s="2">
        <f t="shared" si="16"/>
        <v>2.0095824777549622</v>
      </c>
      <c r="D897" s="3">
        <v>93.1</v>
      </c>
      <c r="E897" s="2">
        <v>13.9</v>
      </c>
      <c r="F897" s="3">
        <v>0</v>
      </c>
      <c r="G897" s="3">
        <v>0</v>
      </c>
      <c r="H897" s="3">
        <v>93.1</v>
      </c>
      <c r="I897" s="2">
        <v>13.9</v>
      </c>
    </row>
    <row r="898" spans="1:9">
      <c r="A898" s="1">
        <v>36682</v>
      </c>
      <c r="B898" s="1">
        <v>39082</v>
      </c>
      <c r="C898" s="2">
        <f t="shared" ref="C898:C961" si="17">(B898-A898)/365.25</f>
        <v>6.5708418891170428</v>
      </c>
      <c r="D898" s="3">
        <v>93.1</v>
      </c>
      <c r="E898" s="2">
        <v>12.3</v>
      </c>
      <c r="F898" s="3">
        <v>0</v>
      </c>
      <c r="G898" s="3">
        <v>0</v>
      </c>
      <c r="H898" s="3">
        <v>93.1</v>
      </c>
      <c r="I898" s="2">
        <v>12.3</v>
      </c>
    </row>
    <row r="899" spans="1:9">
      <c r="A899" s="1">
        <v>37155</v>
      </c>
      <c r="B899" s="1">
        <v>39082</v>
      </c>
      <c r="C899" s="2">
        <f t="shared" si="17"/>
        <v>5.2758384668035596</v>
      </c>
      <c r="D899" s="3">
        <v>93.2</v>
      </c>
      <c r="E899" s="2">
        <v>12.6</v>
      </c>
      <c r="F899" s="3">
        <v>0</v>
      </c>
      <c r="G899" s="3">
        <v>0</v>
      </c>
      <c r="H899" s="3">
        <v>93.2</v>
      </c>
      <c r="I899" s="2">
        <v>12.6</v>
      </c>
    </row>
    <row r="900" spans="1:9">
      <c r="A900" s="1">
        <v>37183</v>
      </c>
      <c r="B900" s="1">
        <v>39082</v>
      </c>
      <c r="C900" s="2">
        <f t="shared" si="17"/>
        <v>5.1991786447638599</v>
      </c>
      <c r="D900" s="3">
        <v>93.3</v>
      </c>
      <c r="E900" s="2">
        <v>12.4</v>
      </c>
      <c r="F900" s="3">
        <v>0</v>
      </c>
      <c r="G900" s="3">
        <v>0</v>
      </c>
      <c r="H900" s="3">
        <v>93.3</v>
      </c>
      <c r="I900" s="2">
        <v>12.4</v>
      </c>
    </row>
    <row r="901" spans="1:9">
      <c r="A901" s="1">
        <v>37060</v>
      </c>
      <c r="B901" s="1">
        <v>39082</v>
      </c>
      <c r="C901" s="2">
        <f t="shared" si="17"/>
        <v>5.5359342915811087</v>
      </c>
      <c r="D901" s="3">
        <v>93.3</v>
      </c>
      <c r="E901" s="2">
        <v>12.9</v>
      </c>
      <c r="F901" s="3">
        <v>0</v>
      </c>
      <c r="G901" s="3">
        <v>0</v>
      </c>
      <c r="H901" s="3">
        <v>93.3</v>
      </c>
      <c r="I901" s="2">
        <v>12.9</v>
      </c>
    </row>
    <row r="902" spans="1:9">
      <c r="A902" s="1">
        <v>37144</v>
      </c>
      <c r="B902" s="1">
        <v>39082</v>
      </c>
      <c r="C902" s="2">
        <f t="shared" si="17"/>
        <v>5.3059548254620124</v>
      </c>
      <c r="D902" s="3">
        <v>93.3</v>
      </c>
      <c r="E902" s="2">
        <v>14</v>
      </c>
      <c r="F902" s="3">
        <v>0</v>
      </c>
      <c r="G902" s="3">
        <v>0</v>
      </c>
      <c r="H902" s="3">
        <v>93.3</v>
      </c>
      <c r="I902" s="2">
        <v>14</v>
      </c>
    </row>
    <row r="903" spans="1:9">
      <c r="A903" s="1">
        <v>38169</v>
      </c>
      <c r="B903" s="1">
        <v>39082</v>
      </c>
      <c r="C903" s="2">
        <f t="shared" si="17"/>
        <v>2.4996577686516086</v>
      </c>
      <c r="D903" s="3">
        <v>93.3</v>
      </c>
      <c r="E903" s="2">
        <v>12.8</v>
      </c>
      <c r="F903" s="3">
        <v>0</v>
      </c>
      <c r="G903" s="3">
        <v>0</v>
      </c>
      <c r="H903" s="3">
        <v>93.3</v>
      </c>
      <c r="I903" s="2">
        <v>12.8</v>
      </c>
    </row>
    <row r="904" spans="1:9">
      <c r="A904" s="1">
        <v>38275</v>
      </c>
      <c r="B904" s="1">
        <v>39082</v>
      </c>
      <c r="C904" s="2">
        <f t="shared" si="17"/>
        <v>2.2094455852156059</v>
      </c>
      <c r="D904" s="3">
        <v>93.3</v>
      </c>
      <c r="E904" s="2">
        <v>13.2</v>
      </c>
      <c r="F904" s="3">
        <v>0</v>
      </c>
      <c r="G904" s="3">
        <v>0</v>
      </c>
      <c r="H904" s="3">
        <v>93.3</v>
      </c>
      <c r="I904" s="2">
        <v>13.2</v>
      </c>
    </row>
    <row r="905" spans="1:9">
      <c r="A905" s="1">
        <v>37050</v>
      </c>
      <c r="B905" s="1">
        <v>39082</v>
      </c>
      <c r="C905" s="2">
        <f t="shared" si="17"/>
        <v>5.5633127994524294</v>
      </c>
      <c r="D905" s="3">
        <v>93.4</v>
      </c>
      <c r="E905" s="2">
        <v>12.2</v>
      </c>
      <c r="F905" s="3">
        <v>0</v>
      </c>
      <c r="G905" s="3">
        <v>0</v>
      </c>
      <c r="H905" s="3">
        <v>93.4</v>
      </c>
      <c r="I905" s="2">
        <v>12.2</v>
      </c>
    </row>
    <row r="906" spans="1:9">
      <c r="A906" s="1">
        <v>36897</v>
      </c>
      <c r="B906" s="1">
        <v>39082</v>
      </c>
      <c r="C906" s="2">
        <f t="shared" si="17"/>
        <v>5.9822039698836411</v>
      </c>
      <c r="D906" s="3">
        <v>93.4</v>
      </c>
      <c r="E906" s="2">
        <v>12.8</v>
      </c>
      <c r="F906" s="3">
        <v>0</v>
      </c>
      <c r="G906" s="3">
        <v>0</v>
      </c>
      <c r="H906" s="3">
        <v>93.4</v>
      </c>
      <c r="I906" s="2">
        <v>12.8</v>
      </c>
    </row>
    <row r="907" spans="1:9">
      <c r="A907" s="1">
        <v>38292</v>
      </c>
      <c r="B907" s="1">
        <v>39082</v>
      </c>
      <c r="C907" s="2">
        <f t="shared" si="17"/>
        <v>2.1629021218343598</v>
      </c>
      <c r="D907" s="3">
        <v>93.4</v>
      </c>
      <c r="E907" s="2">
        <v>13.4</v>
      </c>
      <c r="F907" s="3">
        <v>0</v>
      </c>
      <c r="G907" s="3">
        <v>1</v>
      </c>
      <c r="H907" s="3">
        <v>93.4</v>
      </c>
      <c r="I907" s="2">
        <v>13.4</v>
      </c>
    </row>
    <row r="908" spans="1:9">
      <c r="A908" s="1">
        <v>37347</v>
      </c>
      <c r="B908" s="1">
        <v>39082</v>
      </c>
      <c r="C908" s="2">
        <f t="shared" si="17"/>
        <v>4.7501711156741955</v>
      </c>
      <c r="D908" s="3">
        <v>93.4</v>
      </c>
      <c r="E908" s="2">
        <v>12.4</v>
      </c>
      <c r="F908" s="3">
        <v>0</v>
      </c>
      <c r="G908" s="3">
        <v>0</v>
      </c>
      <c r="H908" s="3">
        <v>93.4</v>
      </c>
      <c r="I908" s="2">
        <v>12.4</v>
      </c>
    </row>
    <row r="909" spans="1:9">
      <c r="A909" s="1">
        <v>37012</v>
      </c>
      <c r="B909" s="1">
        <v>39082</v>
      </c>
      <c r="C909" s="2">
        <f t="shared" si="17"/>
        <v>5.6673511293634498</v>
      </c>
      <c r="D909" s="3">
        <v>93.5</v>
      </c>
      <c r="E909" s="2">
        <v>13.3</v>
      </c>
      <c r="F909" s="3">
        <v>0</v>
      </c>
      <c r="G909" s="3">
        <v>1</v>
      </c>
      <c r="H909" s="3">
        <v>93.5</v>
      </c>
      <c r="I909" s="2">
        <v>13.3</v>
      </c>
    </row>
    <row r="910" spans="1:9">
      <c r="A910" s="1">
        <v>37313</v>
      </c>
      <c r="B910" s="1">
        <v>39082</v>
      </c>
      <c r="C910" s="2">
        <f t="shared" si="17"/>
        <v>4.8432580424366876</v>
      </c>
      <c r="D910" s="3">
        <v>93.5</v>
      </c>
      <c r="E910" s="2">
        <v>12.6</v>
      </c>
      <c r="F910" s="3">
        <v>0</v>
      </c>
      <c r="G910" s="3">
        <v>1</v>
      </c>
      <c r="H910" s="3">
        <v>93.5</v>
      </c>
      <c r="I910" s="2">
        <v>12.6</v>
      </c>
    </row>
    <row r="911" spans="1:9">
      <c r="A911" s="1">
        <v>38320</v>
      </c>
      <c r="B911" s="1">
        <v>39082</v>
      </c>
      <c r="C911" s="2">
        <f t="shared" si="17"/>
        <v>2.086242299794661</v>
      </c>
      <c r="D911" s="3">
        <v>93.6</v>
      </c>
      <c r="E911" s="2">
        <v>10.8</v>
      </c>
      <c r="F911" s="3">
        <v>0</v>
      </c>
      <c r="G911" s="3">
        <v>1</v>
      </c>
      <c r="H911" s="3">
        <v>93.6</v>
      </c>
      <c r="I911" s="2">
        <v>10.8</v>
      </c>
    </row>
    <row r="912" spans="1:9">
      <c r="A912" s="1">
        <v>36771</v>
      </c>
      <c r="B912" s="1">
        <v>39082</v>
      </c>
      <c r="C912" s="2">
        <f t="shared" si="17"/>
        <v>6.3271731690622861</v>
      </c>
      <c r="D912" s="3">
        <v>93.6</v>
      </c>
      <c r="E912" s="2">
        <v>12.1</v>
      </c>
      <c r="F912" s="3">
        <v>1</v>
      </c>
      <c r="G912" s="3">
        <v>0</v>
      </c>
      <c r="H912" s="3">
        <v>93.6</v>
      </c>
      <c r="I912" s="2">
        <v>12.1</v>
      </c>
    </row>
    <row r="913" spans="1:9">
      <c r="A913" s="1">
        <v>38261</v>
      </c>
      <c r="B913" s="1">
        <v>39082</v>
      </c>
      <c r="C913" s="2">
        <f t="shared" si="17"/>
        <v>2.2477754962354553</v>
      </c>
      <c r="D913" s="3">
        <v>93.6</v>
      </c>
      <c r="E913" s="2">
        <v>12.3</v>
      </c>
      <c r="F913" s="3">
        <v>0</v>
      </c>
      <c r="G913" s="3">
        <v>1</v>
      </c>
      <c r="H913" s="3">
        <v>93.6</v>
      </c>
      <c r="I913" s="2">
        <v>12.3</v>
      </c>
    </row>
    <row r="914" spans="1:9">
      <c r="A914" s="1">
        <v>36940</v>
      </c>
      <c r="B914" s="1">
        <v>39082</v>
      </c>
      <c r="C914" s="2">
        <f t="shared" si="17"/>
        <v>5.8644763860369613</v>
      </c>
      <c r="D914" s="3">
        <v>93.7</v>
      </c>
      <c r="E914" s="2">
        <v>12.5</v>
      </c>
      <c r="F914" s="3">
        <v>0</v>
      </c>
      <c r="G914" s="3">
        <v>1</v>
      </c>
      <c r="H914" s="3">
        <v>93.7</v>
      </c>
      <c r="I914" s="2">
        <v>12.5</v>
      </c>
    </row>
    <row r="915" spans="1:9">
      <c r="A915" s="1">
        <v>38026</v>
      </c>
      <c r="B915" s="1">
        <v>39082</v>
      </c>
      <c r="C915" s="2">
        <f t="shared" si="17"/>
        <v>2.8911704312114992</v>
      </c>
      <c r="D915" s="3">
        <v>93.8</v>
      </c>
      <c r="E915" s="2">
        <v>13.9</v>
      </c>
      <c r="F915" s="3">
        <v>0</v>
      </c>
      <c r="G915" s="3">
        <v>0</v>
      </c>
      <c r="H915" s="3">
        <v>93.8</v>
      </c>
      <c r="I915" s="2">
        <v>13.9</v>
      </c>
    </row>
    <row r="916" spans="1:9">
      <c r="A916" s="1">
        <v>36942</v>
      </c>
      <c r="B916" s="1">
        <v>39082</v>
      </c>
      <c r="C916" s="2">
        <f t="shared" si="17"/>
        <v>5.8590006844626972</v>
      </c>
      <c r="D916" s="3">
        <v>93.8</v>
      </c>
      <c r="E916" s="2">
        <v>12.3</v>
      </c>
      <c r="F916" s="3">
        <v>0</v>
      </c>
      <c r="G916" s="3">
        <v>0</v>
      </c>
      <c r="H916" s="3">
        <v>93.8</v>
      </c>
      <c r="I916" s="2">
        <v>12.3</v>
      </c>
    </row>
    <row r="917" spans="1:9">
      <c r="A917" s="1">
        <v>37085</v>
      </c>
      <c r="B917" s="1">
        <v>39082</v>
      </c>
      <c r="C917" s="2">
        <f t="shared" si="17"/>
        <v>5.4674880219028061</v>
      </c>
      <c r="D917" s="3">
        <v>93.8</v>
      </c>
      <c r="E917" s="2">
        <v>11.2</v>
      </c>
      <c r="F917" s="3">
        <v>0</v>
      </c>
      <c r="G917" s="3">
        <v>0</v>
      </c>
      <c r="H917" s="3">
        <v>93.8</v>
      </c>
      <c r="I917" s="2">
        <v>11.2</v>
      </c>
    </row>
    <row r="918" spans="1:9">
      <c r="A918" s="1">
        <v>38165</v>
      </c>
      <c r="B918" s="1">
        <v>39082</v>
      </c>
      <c r="C918" s="2">
        <f t="shared" si="17"/>
        <v>2.5106091718001369</v>
      </c>
      <c r="D918" s="3">
        <v>93.9</v>
      </c>
      <c r="E918" s="2">
        <v>13.5</v>
      </c>
      <c r="F918" s="3">
        <v>0</v>
      </c>
      <c r="G918" s="3">
        <v>0</v>
      </c>
      <c r="H918" s="3">
        <v>93.9</v>
      </c>
      <c r="I918" s="2">
        <v>13.5</v>
      </c>
    </row>
    <row r="919" spans="1:9">
      <c r="A919" s="1">
        <v>38322</v>
      </c>
      <c r="B919" s="1">
        <v>39082</v>
      </c>
      <c r="C919" s="2">
        <f t="shared" si="17"/>
        <v>2.0807665982203969</v>
      </c>
      <c r="D919" s="3">
        <v>93.9</v>
      </c>
      <c r="E919" s="2">
        <v>13</v>
      </c>
      <c r="F919" s="3">
        <v>0</v>
      </c>
      <c r="G919" s="3">
        <v>1</v>
      </c>
      <c r="H919" s="3">
        <v>93.9</v>
      </c>
      <c r="I919" s="2">
        <v>13</v>
      </c>
    </row>
    <row r="920" spans="1:9">
      <c r="A920" s="1">
        <v>38336</v>
      </c>
      <c r="B920" s="1">
        <v>39082</v>
      </c>
      <c r="C920" s="2">
        <f t="shared" si="17"/>
        <v>2.0424366872005475</v>
      </c>
      <c r="D920" s="3">
        <v>94</v>
      </c>
      <c r="E920" s="2">
        <v>14.8</v>
      </c>
      <c r="F920" s="3">
        <v>0</v>
      </c>
      <c r="G920" s="3">
        <v>0</v>
      </c>
      <c r="H920" s="3">
        <v>94</v>
      </c>
      <c r="I920" s="2">
        <v>14.8</v>
      </c>
    </row>
    <row r="921" spans="1:9">
      <c r="A921" s="1">
        <v>38018</v>
      </c>
      <c r="B921" s="1">
        <v>39082</v>
      </c>
      <c r="C921" s="2">
        <f t="shared" si="17"/>
        <v>2.9130732375085557</v>
      </c>
      <c r="D921" s="3">
        <v>94</v>
      </c>
      <c r="E921" s="2">
        <v>14.2</v>
      </c>
      <c r="F921" s="3">
        <v>0</v>
      </c>
      <c r="G921" s="3">
        <v>0</v>
      </c>
      <c r="H921" s="3">
        <v>94</v>
      </c>
      <c r="I921" s="2">
        <v>14.2</v>
      </c>
    </row>
    <row r="922" spans="1:9">
      <c r="A922" s="1">
        <v>37107</v>
      </c>
      <c r="B922" s="1">
        <v>39082</v>
      </c>
      <c r="C922" s="2">
        <f t="shared" si="17"/>
        <v>5.4072553045858998</v>
      </c>
      <c r="D922" s="3">
        <v>94</v>
      </c>
      <c r="E922" s="2">
        <v>14</v>
      </c>
      <c r="F922" s="3">
        <v>1</v>
      </c>
      <c r="G922" s="3">
        <v>0</v>
      </c>
      <c r="H922" s="3">
        <v>94</v>
      </c>
      <c r="I922" s="2">
        <v>14</v>
      </c>
    </row>
    <row r="923" spans="1:9">
      <c r="A923" s="1">
        <v>36883</v>
      </c>
      <c r="B923" s="1">
        <v>39082</v>
      </c>
      <c r="C923" s="2">
        <f t="shared" si="17"/>
        <v>6.020533880903491</v>
      </c>
      <c r="D923" s="3">
        <v>94.1</v>
      </c>
      <c r="E923" s="2">
        <v>12.4</v>
      </c>
      <c r="F923" s="3">
        <v>0</v>
      </c>
      <c r="G923" s="3">
        <v>1</v>
      </c>
      <c r="H923" s="3">
        <v>94.1</v>
      </c>
      <c r="I923" s="2">
        <v>12.4</v>
      </c>
    </row>
    <row r="924" spans="1:9">
      <c r="A924" s="1">
        <v>37070</v>
      </c>
      <c r="B924" s="1">
        <v>39082</v>
      </c>
      <c r="C924" s="2">
        <f t="shared" si="17"/>
        <v>5.508555783709788</v>
      </c>
      <c r="D924" s="3">
        <v>94.2</v>
      </c>
      <c r="E924" s="2">
        <v>13.9</v>
      </c>
      <c r="F924" s="3">
        <v>0</v>
      </c>
      <c r="G924" s="3">
        <v>0</v>
      </c>
      <c r="H924" s="3">
        <v>94.2</v>
      </c>
      <c r="I924" s="2">
        <v>13.9</v>
      </c>
    </row>
    <row r="925" spans="1:9">
      <c r="A925" s="1">
        <v>37098</v>
      </c>
      <c r="B925" s="1">
        <v>39082</v>
      </c>
      <c r="C925" s="2">
        <f t="shared" si="17"/>
        <v>5.4318959616700893</v>
      </c>
      <c r="D925" s="3">
        <v>94.3</v>
      </c>
      <c r="E925" s="2">
        <v>13.1</v>
      </c>
      <c r="F925" s="3">
        <v>0</v>
      </c>
      <c r="G925" s="3">
        <v>0</v>
      </c>
      <c r="H925" s="3">
        <v>94.3</v>
      </c>
      <c r="I925" s="2">
        <v>13.1</v>
      </c>
    </row>
    <row r="926" spans="1:9">
      <c r="A926" s="1">
        <v>37358</v>
      </c>
      <c r="B926" s="1">
        <v>39082</v>
      </c>
      <c r="C926" s="2">
        <f t="shared" si="17"/>
        <v>4.7200547570157427</v>
      </c>
      <c r="D926" s="3">
        <v>94.3</v>
      </c>
      <c r="E926" s="2">
        <v>11.8</v>
      </c>
      <c r="F926" s="3">
        <v>0</v>
      </c>
      <c r="G926" s="3">
        <v>0</v>
      </c>
      <c r="H926" s="3">
        <v>94.3</v>
      </c>
      <c r="I926" s="2">
        <v>11.8</v>
      </c>
    </row>
    <row r="927" spans="1:9">
      <c r="A927" s="1">
        <v>37156</v>
      </c>
      <c r="B927" s="1">
        <v>39082</v>
      </c>
      <c r="C927" s="2">
        <f t="shared" si="17"/>
        <v>5.2731006160164275</v>
      </c>
      <c r="D927" s="3">
        <v>94.4</v>
      </c>
      <c r="E927" s="2">
        <v>14</v>
      </c>
      <c r="F927" s="3">
        <v>0</v>
      </c>
      <c r="G927" s="3">
        <v>0</v>
      </c>
      <c r="H927" s="3">
        <v>94.4</v>
      </c>
      <c r="I927" s="2">
        <v>14</v>
      </c>
    </row>
    <row r="928" spans="1:9">
      <c r="A928" s="1">
        <v>36965</v>
      </c>
      <c r="B928" s="1">
        <v>39082</v>
      </c>
      <c r="C928" s="2">
        <f t="shared" si="17"/>
        <v>5.7960301163586587</v>
      </c>
      <c r="D928" s="3">
        <v>94.4</v>
      </c>
      <c r="E928" s="2">
        <v>13</v>
      </c>
      <c r="F928" s="3">
        <v>0</v>
      </c>
      <c r="G928" s="3">
        <v>1</v>
      </c>
      <c r="H928" s="3">
        <v>94.4</v>
      </c>
      <c r="I928" s="2">
        <v>13</v>
      </c>
    </row>
    <row r="929" spans="1:9">
      <c r="A929" s="1">
        <v>37536</v>
      </c>
      <c r="B929" s="1">
        <v>39082</v>
      </c>
      <c r="C929" s="2">
        <f t="shared" si="17"/>
        <v>4.2327173169062284</v>
      </c>
      <c r="D929" s="3">
        <v>94.4</v>
      </c>
      <c r="E929" s="2">
        <v>10.4</v>
      </c>
      <c r="F929" s="3">
        <v>0</v>
      </c>
      <c r="G929" s="3">
        <v>0</v>
      </c>
      <c r="H929" s="3">
        <v>94.4</v>
      </c>
      <c r="I929" s="2">
        <v>10.4</v>
      </c>
    </row>
    <row r="930" spans="1:9">
      <c r="A930" s="1">
        <v>37267</v>
      </c>
      <c r="B930" s="1">
        <v>39082</v>
      </c>
      <c r="C930" s="2">
        <f t="shared" si="17"/>
        <v>4.9691991786447636</v>
      </c>
      <c r="D930" s="3">
        <v>94.4</v>
      </c>
      <c r="E930" s="2">
        <v>12.8</v>
      </c>
      <c r="F930" s="3">
        <v>0</v>
      </c>
      <c r="G930" s="3">
        <v>1</v>
      </c>
      <c r="H930" s="3">
        <v>94.4</v>
      </c>
      <c r="I930" s="2">
        <v>12.8</v>
      </c>
    </row>
    <row r="931" spans="1:9">
      <c r="A931" s="1">
        <v>38261</v>
      </c>
      <c r="B931" s="1">
        <v>39082</v>
      </c>
      <c r="C931" s="2">
        <f t="shared" si="17"/>
        <v>2.2477754962354553</v>
      </c>
      <c r="D931" s="3">
        <v>94.5</v>
      </c>
      <c r="E931" s="2">
        <v>14.6</v>
      </c>
      <c r="F931" s="3">
        <v>0</v>
      </c>
      <c r="G931" s="3">
        <v>0</v>
      </c>
      <c r="H931" s="3">
        <v>94.5</v>
      </c>
      <c r="I931" s="2">
        <v>14.6</v>
      </c>
    </row>
    <row r="932" spans="1:9">
      <c r="A932" s="1">
        <v>37223</v>
      </c>
      <c r="B932" s="1">
        <v>39082</v>
      </c>
      <c r="C932" s="2">
        <f t="shared" si="17"/>
        <v>5.0896646132785763</v>
      </c>
      <c r="D932" s="3">
        <v>94.5</v>
      </c>
      <c r="E932" s="2">
        <v>13.2</v>
      </c>
      <c r="F932" s="3">
        <v>0</v>
      </c>
      <c r="G932" s="3">
        <v>0</v>
      </c>
      <c r="H932" s="3">
        <v>94.5</v>
      </c>
      <c r="I932" s="2">
        <v>13.2</v>
      </c>
    </row>
    <row r="933" spans="1:9">
      <c r="A933" s="1">
        <v>37077</v>
      </c>
      <c r="B933" s="1">
        <v>39082</v>
      </c>
      <c r="C933" s="2">
        <f t="shared" si="17"/>
        <v>5.4893908281998627</v>
      </c>
      <c r="D933" s="3">
        <v>94.5</v>
      </c>
      <c r="E933" s="2">
        <v>12.1</v>
      </c>
      <c r="F933" s="3">
        <v>0</v>
      </c>
      <c r="G933" s="3">
        <v>0</v>
      </c>
      <c r="H933" s="3">
        <v>94.5</v>
      </c>
      <c r="I933" s="2">
        <v>12.1</v>
      </c>
    </row>
    <row r="934" spans="1:9">
      <c r="A934" s="1">
        <v>37831</v>
      </c>
      <c r="B934" s="1">
        <v>39082</v>
      </c>
      <c r="C934" s="2">
        <f t="shared" si="17"/>
        <v>3.4250513347022586</v>
      </c>
      <c r="D934" s="3">
        <v>94.5</v>
      </c>
      <c r="E934" s="2">
        <v>10.7</v>
      </c>
      <c r="F934" s="3">
        <v>0</v>
      </c>
      <c r="G934" s="3">
        <v>1</v>
      </c>
      <c r="H934" s="3">
        <v>94.5</v>
      </c>
      <c r="I934" s="2">
        <v>10.7</v>
      </c>
    </row>
    <row r="935" spans="1:9">
      <c r="A935" s="1">
        <v>37055</v>
      </c>
      <c r="B935" s="1">
        <v>39082</v>
      </c>
      <c r="C935" s="2">
        <f t="shared" si="17"/>
        <v>5.5496235455167691</v>
      </c>
      <c r="D935" s="3">
        <v>94.6</v>
      </c>
      <c r="E935" s="2">
        <v>12.8</v>
      </c>
      <c r="F935" s="3">
        <v>0</v>
      </c>
      <c r="G935" s="3">
        <v>0</v>
      </c>
      <c r="H935" s="3">
        <v>94.6</v>
      </c>
      <c r="I935" s="2">
        <v>12.8</v>
      </c>
    </row>
    <row r="936" spans="1:9">
      <c r="A936" s="1">
        <v>38221</v>
      </c>
      <c r="B936" s="1">
        <v>39082</v>
      </c>
      <c r="C936" s="2">
        <f t="shared" si="17"/>
        <v>2.3572895277207393</v>
      </c>
      <c r="D936" s="3">
        <v>94.6</v>
      </c>
      <c r="E936" s="2">
        <v>12.6</v>
      </c>
      <c r="F936" s="3">
        <v>0</v>
      </c>
      <c r="G936" s="3">
        <v>1</v>
      </c>
      <c r="H936" s="3">
        <v>94.6</v>
      </c>
      <c r="I936" s="2">
        <v>12.6</v>
      </c>
    </row>
    <row r="937" spans="1:9">
      <c r="A937" s="1">
        <v>37136</v>
      </c>
      <c r="B937" s="1">
        <v>39082</v>
      </c>
      <c r="C937" s="2">
        <f t="shared" si="17"/>
        <v>5.3278576317590689</v>
      </c>
      <c r="D937" s="3">
        <v>94.6</v>
      </c>
      <c r="E937" s="2">
        <v>16</v>
      </c>
      <c r="F937" s="3">
        <v>0</v>
      </c>
      <c r="G937" s="3">
        <v>1</v>
      </c>
      <c r="H937" s="3">
        <v>94.6</v>
      </c>
      <c r="I937" s="2">
        <v>16</v>
      </c>
    </row>
    <row r="938" spans="1:9">
      <c r="A938" s="1">
        <v>36845</v>
      </c>
      <c r="B938" s="1">
        <v>39082</v>
      </c>
      <c r="C938" s="2">
        <f t="shared" si="17"/>
        <v>6.1245722108145104</v>
      </c>
      <c r="D938" s="3">
        <v>94.6</v>
      </c>
      <c r="E938" s="2">
        <v>13.5</v>
      </c>
      <c r="F938" s="3">
        <v>0</v>
      </c>
      <c r="G938" s="3">
        <v>1</v>
      </c>
      <c r="H938" s="3">
        <v>94.6</v>
      </c>
      <c r="I938" s="2">
        <v>13.5</v>
      </c>
    </row>
    <row r="939" spans="1:9">
      <c r="A939" s="1">
        <v>36809</v>
      </c>
      <c r="B939" s="1">
        <v>39082</v>
      </c>
      <c r="C939" s="2">
        <f t="shared" si="17"/>
        <v>6.2231348391512666</v>
      </c>
      <c r="D939" s="3">
        <v>94.7</v>
      </c>
      <c r="E939" s="2">
        <v>13</v>
      </c>
      <c r="F939" s="3">
        <v>0</v>
      </c>
      <c r="G939" s="3">
        <v>1</v>
      </c>
      <c r="H939" s="3">
        <v>94.7</v>
      </c>
      <c r="I939" s="2">
        <v>13</v>
      </c>
    </row>
    <row r="940" spans="1:9">
      <c r="A940" s="1">
        <v>37987</v>
      </c>
      <c r="B940" s="1">
        <v>39082</v>
      </c>
      <c r="C940" s="2">
        <f t="shared" si="17"/>
        <v>2.9979466119096507</v>
      </c>
      <c r="D940" s="3">
        <v>94.7</v>
      </c>
      <c r="E940" s="2">
        <v>14.2</v>
      </c>
      <c r="F940" s="3">
        <v>0</v>
      </c>
      <c r="G940" s="3">
        <v>1</v>
      </c>
      <c r="H940" s="3">
        <v>94.7</v>
      </c>
      <c r="I940" s="2">
        <v>14.2</v>
      </c>
    </row>
    <row r="941" spans="1:9">
      <c r="A941" s="1">
        <v>36663</v>
      </c>
      <c r="B941" s="1">
        <v>39082</v>
      </c>
      <c r="C941" s="2">
        <f t="shared" si="17"/>
        <v>6.622861054072553</v>
      </c>
      <c r="D941" s="3">
        <v>94.8</v>
      </c>
      <c r="E941" s="2">
        <v>12.1</v>
      </c>
      <c r="F941" s="3">
        <v>0</v>
      </c>
      <c r="G941" s="3">
        <v>0</v>
      </c>
      <c r="H941" s="3">
        <v>94.8</v>
      </c>
      <c r="I941" s="2">
        <v>12.1</v>
      </c>
    </row>
    <row r="942" spans="1:9">
      <c r="A942" s="1">
        <v>38240</v>
      </c>
      <c r="B942" s="1">
        <v>39082</v>
      </c>
      <c r="C942" s="2">
        <f t="shared" si="17"/>
        <v>2.3052703627652291</v>
      </c>
      <c r="D942" s="3">
        <v>94.8</v>
      </c>
      <c r="E942" s="2">
        <v>13.7</v>
      </c>
      <c r="F942" s="3">
        <v>0</v>
      </c>
      <c r="G942" s="3">
        <v>1</v>
      </c>
      <c r="H942" s="3">
        <v>94.8</v>
      </c>
      <c r="I942" s="2">
        <v>13.7</v>
      </c>
    </row>
    <row r="943" spans="1:9">
      <c r="A943" s="1">
        <v>38256</v>
      </c>
      <c r="B943" s="1">
        <v>39082</v>
      </c>
      <c r="C943" s="2">
        <f t="shared" si="17"/>
        <v>2.2614647501711156</v>
      </c>
      <c r="D943" s="3">
        <v>94.8</v>
      </c>
      <c r="E943" s="2">
        <v>14.3</v>
      </c>
      <c r="F943" s="3">
        <v>0</v>
      </c>
      <c r="G943" s="3">
        <v>1</v>
      </c>
      <c r="H943" s="3">
        <v>94.8</v>
      </c>
      <c r="I943" s="2">
        <v>14.3</v>
      </c>
    </row>
    <row r="944" spans="1:9">
      <c r="A944" s="1">
        <v>38309</v>
      </c>
      <c r="B944" s="1">
        <v>39082</v>
      </c>
      <c r="C944" s="2">
        <f t="shared" si="17"/>
        <v>2.1163586584531142</v>
      </c>
      <c r="D944" s="3">
        <v>94.9</v>
      </c>
      <c r="E944" s="2">
        <v>12.7</v>
      </c>
      <c r="F944" s="3">
        <v>0</v>
      </c>
      <c r="G944" s="3">
        <v>1</v>
      </c>
      <c r="H944" s="3">
        <v>94.9</v>
      </c>
      <c r="I944" s="2">
        <v>12.7</v>
      </c>
    </row>
    <row r="945" spans="1:9">
      <c r="A945" s="1">
        <v>37070</v>
      </c>
      <c r="B945" s="1">
        <v>39082</v>
      </c>
      <c r="C945" s="2">
        <f t="shared" si="17"/>
        <v>5.508555783709788</v>
      </c>
      <c r="D945" s="3">
        <v>95</v>
      </c>
      <c r="E945" s="2">
        <v>11.6</v>
      </c>
      <c r="F945" s="3">
        <v>0</v>
      </c>
      <c r="G945" s="3">
        <v>0</v>
      </c>
      <c r="H945" s="3">
        <v>95</v>
      </c>
      <c r="I945" s="2">
        <v>11.6</v>
      </c>
    </row>
    <row r="946" spans="1:9">
      <c r="A946" s="1">
        <v>38226</v>
      </c>
      <c r="B946" s="1">
        <v>39082</v>
      </c>
      <c r="C946" s="2">
        <f t="shared" si="17"/>
        <v>2.3436002737850785</v>
      </c>
      <c r="D946" s="3">
        <v>95</v>
      </c>
      <c r="E946" s="2">
        <v>13.9</v>
      </c>
      <c r="F946" s="3">
        <v>0</v>
      </c>
      <c r="G946" s="3">
        <v>0</v>
      </c>
      <c r="H946" s="3">
        <v>95</v>
      </c>
      <c r="I946" s="2">
        <v>13.9</v>
      </c>
    </row>
    <row r="947" spans="1:9">
      <c r="A947" s="1">
        <v>36995</v>
      </c>
      <c r="B947" s="1">
        <v>39082</v>
      </c>
      <c r="C947" s="2">
        <f t="shared" si="17"/>
        <v>5.7138945927446958</v>
      </c>
      <c r="D947" s="3">
        <v>95</v>
      </c>
      <c r="E947" s="2">
        <v>12.2</v>
      </c>
      <c r="F947" s="3">
        <v>0</v>
      </c>
      <c r="G947" s="3">
        <v>1</v>
      </c>
      <c r="H947" s="3">
        <v>95</v>
      </c>
      <c r="I947" s="2">
        <v>12.2</v>
      </c>
    </row>
    <row r="948" spans="1:9">
      <c r="A948" s="1">
        <v>37290</v>
      </c>
      <c r="B948" s="1">
        <v>39082</v>
      </c>
      <c r="C948" s="2">
        <f t="shared" si="17"/>
        <v>4.9062286105407251</v>
      </c>
      <c r="D948" s="3">
        <v>95</v>
      </c>
      <c r="E948" s="2">
        <v>13.3</v>
      </c>
      <c r="F948" s="3">
        <v>0</v>
      </c>
      <c r="G948" s="3">
        <v>0</v>
      </c>
      <c r="H948" s="3">
        <v>95</v>
      </c>
      <c r="I948" s="2">
        <v>13.3</v>
      </c>
    </row>
    <row r="949" spans="1:9">
      <c r="A949" s="1">
        <v>37995</v>
      </c>
      <c r="B949" s="1">
        <v>39082</v>
      </c>
      <c r="C949" s="2">
        <f t="shared" si="17"/>
        <v>2.9760438056125942</v>
      </c>
      <c r="D949" s="3">
        <v>95.1</v>
      </c>
      <c r="E949" s="2">
        <v>13.3</v>
      </c>
      <c r="F949" s="3">
        <v>0</v>
      </c>
      <c r="G949" s="3">
        <v>0</v>
      </c>
      <c r="H949" s="3">
        <v>95.1</v>
      </c>
      <c r="I949" s="2">
        <v>13.3</v>
      </c>
    </row>
    <row r="950" spans="1:9">
      <c r="A950" s="1">
        <v>37218</v>
      </c>
      <c r="B950" s="1">
        <v>39082</v>
      </c>
      <c r="C950" s="2">
        <f t="shared" si="17"/>
        <v>5.1033538672142367</v>
      </c>
      <c r="D950" s="3">
        <v>95.1</v>
      </c>
      <c r="E950" s="2">
        <v>14.6</v>
      </c>
      <c r="F950" s="3">
        <v>0</v>
      </c>
      <c r="G950" s="3">
        <v>0</v>
      </c>
      <c r="H950" s="3">
        <v>95.1</v>
      </c>
      <c r="I950" s="2">
        <v>14.6</v>
      </c>
    </row>
    <row r="951" spans="1:9">
      <c r="A951" s="1">
        <v>37118</v>
      </c>
      <c r="B951" s="1">
        <v>39082</v>
      </c>
      <c r="C951" s="2">
        <f t="shared" si="17"/>
        <v>5.377138945927447</v>
      </c>
      <c r="D951" s="3">
        <v>95.1</v>
      </c>
      <c r="E951" s="2">
        <v>13.1</v>
      </c>
      <c r="F951" s="3">
        <v>0</v>
      </c>
      <c r="G951" s="3">
        <v>0</v>
      </c>
      <c r="H951" s="3">
        <v>95.1</v>
      </c>
      <c r="I951" s="2">
        <v>13.1</v>
      </c>
    </row>
    <row r="952" spans="1:9">
      <c r="A952" s="1">
        <v>38252</v>
      </c>
      <c r="B952" s="1">
        <v>39082</v>
      </c>
      <c r="C952" s="2">
        <f t="shared" si="17"/>
        <v>2.2724161533196439</v>
      </c>
      <c r="D952" s="3">
        <v>95.2</v>
      </c>
      <c r="E952" s="2">
        <v>12.1</v>
      </c>
      <c r="F952" s="3">
        <v>0</v>
      </c>
      <c r="G952" s="3">
        <v>0</v>
      </c>
      <c r="H952" s="3">
        <v>95.2</v>
      </c>
      <c r="I952" s="2">
        <v>12.1</v>
      </c>
    </row>
    <row r="953" spans="1:9">
      <c r="A953" s="1">
        <v>36909</v>
      </c>
      <c r="B953" s="1">
        <v>39082</v>
      </c>
      <c r="C953" s="2">
        <f t="shared" si="17"/>
        <v>5.9493497604380563</v>
      </c>
      <c r="D953" s="3">
        <v>95.2</v>
      </c>
      <c r="E953" s="2">
        <v>12.1</v>
      </c>
      <c r="F953" s="3">
        <v>0</v>
      </c>
      <c r="G953" s="3">
        <v>0</v>
      </c>
      <c r="H953" s="3">
        <v>95.2</v>
      </c>
      <c r="I953" s="2">
        <v>12.1</v>
      </c>
    </row>
    <row r="954" spans="1:9">
      <c r="A954" s="1">
        <v>38027</v>
      </c>
      <c r="B954" s="1">
        <v>39082</v>
      </c>
      <c r="C954" s="2">
        <f t="shared" si="17"/>
        <v>2.8884325804243667</v>
      </c>
      <c r="D954" s="3">
        <v>95.2</v>
      </c>
      <c r="E954" s="2">
        <v>13.1</v>
      </c>
      <c r="F954" s="3">
        <v>0</v>
      </c>
      <c r="G954" s="3">
        <v>1</v>
      </c>
      <c r="H954" s="3">
        <v>95.2</v>
      </c>
      <c r="I954" s="2">
        <v>13.1</v>
      </c>
    </row>
    <row r="955" spans="1:9">
      <c r="A955" s="1">
        <v>36936</v>
      </c>
      <c r="B955" s="1">
        <v>39082</v>
      </c>
      <c r="C955" s="2">
        <f t="shared" si="17"/>
        <v>5.8754277891854896</v>
      </c>
      <c r="D955" s="3">
        <v>95.2</v>
      </c>
      <c r="E955" s="2">
        <v>12.6</v>
      </c>
      <c r="F955" s="3">
        <v>0</v>
      </c>
      <c r="G955" s="3">
        <v>1</v>
      </c>
      <c r="H955" s="3">
        <v>95.2</v>
      </c>
      <c r="I955" s="2">
        <v>12.6</v>
      </c>
    </row>
    <row r="956" spans="1:9">
      <c r="A956" s="1">
        <v>38010</v>
      </c>
      <c r="B956" s="1">
        <v>39082</v>
      </c>
      <c r="C956" s="2">
        <f t="shared" si="17"/>
        <v>2.9349760438056127</v>
      </c>
      <c r="D956" s="3">
        <v>95.2</v>
      </c>
      <c r="E956" s="2">
        <v>12.8</v>
      </c>
      <c r="F956" s="3">
        <v>0</v>
      </c>
      <c r="G956" s="3">
        <v>1</v>
      </c>
      <c r="H956" s="3">
        <v>95.2</v>
      </c>
      <c r="I956" s="2">
        <v>12.8</v>
      </c>
    </row>
    <row r="957" spans="1:9">
      <c r="A957" s="1">
        <v>37209</v>
      </c>
      <c r="B957" s="1">
        <v>39082</v>
      </c>
      <c r="C957" s="2">
        <f t="shared" si="17"/>
        <v>5.1279945242984262</v>
      </c>
      <c r="D957" s="3">
        <v>95.2</v>
      </c>
      <c r="E957" s="2">
        <v>14</v>
      </c>
      <c r="F957" s="3">
        <v>0</v>
      </c>
      <c r="G957" s="3">
        <v>1</v>
      </c>
      <c r="H957" s="3">
        <v>95.2</v>
      </c>
      <c r="I957" s="2">
        <v>14</v>
      </c>
    </row>
    <row r="958" spans="1:9">
      <c r="A958" s="1">
        <v>36913</v>
      </c>
      <c r="B958" s="1">
        <v>39082</v>
      </c>
      <c r="C958" s="2">
        <f t="shared" si="17"/>
        <v>5.938398357289528</v>
      </c>
      <c r="D958" s="3">
        <v>95.3</v>
      </c>
      <c r="E958" s="2">
        <v>13</v>
      </c>
      <c r="F958" s="3">
        <v>0</v>
      </c>
      <c r="G958" s="3">
        <v>1</v>
      </c>
      <c r="H958" s="3">
        <v>95.3</v>
      </c>
      <c r="I958" s="2">
        <v>13</v>
      </c>
    </row>
    <row r="959" spans="1:9">
      <c r="A959" s="1">
        <v>36833</v>
      </c>
      <c r="B959" s="1">
        <v>39082</v>
      </c>
      <c r="C959" s="2">
        <f t="shared" si="17"/>
        <v>6.1574264202600961</v>
      </c>
      <c r="D959" s="3">
        <v>95.3</v>
      </c>
      <c r="E959" s="2">
        <v>13.1</v>
      </c>
      <c r="F959" s="3">
        <v>1</v>
      </c>
      <c r="G959" s="3">
        <v>0</v>
      </c>
      <c r="H959" s="3">
        <v>95.3</v>
      </c>
      <c r="I959" s="2">
        <v>13.1</v>
      </c>
    </row>
    <row r="960" spans="1:9">
      <c r="A960" s="1">
        <v>37987</v>
      </c>
      <c r="B960" s="1">
        <v>39082</v>
      </c>
      <c r="C960" s="2">
        <f t="shared" si="17"/>
        <v>2.9979466119096507</v>
      </c>
      <c r="D960" s="3">
        <v>95.4</v>
      </c>
      <c r="E960" s="2">
        <v>13</v>
      </c>
      <c r="F960" s="3">
        <v>0</v>
      </c>
      <c r="G960" s="3">
        <v>1</v>
      </c>
      <c r="H960" s="3">
        <v>95.4</v>
      </c>
      <c r="I960" s="2">
        <v>13</v>
      </c>
    </row>
    <row r="961" spans="1:9">
      <c r="A961" s="1">
        <v>38175</v>
      </c>
      <c r="B961" s="1">
        <v>39082</v>
      </c>
      <c r="C961" s="2">
        <f t="shared" si="17"/>
        <v>2.4832306639288158</v>
      </c>
      <c r="D961" s="3">
        <v>95.4</v>
      </c>
      <c r="E961" s="2">
        <v>14.4</v>
      </c>
      <c r="F961" s="3">
        <v>0</v>
      </c>
      <c r="G961" s="3">
        <v>0</v>
      </c>
      <c r="H961" s="3">
        <v>95.4</v>
      </c>
      <c r="I961" s="2">
        <v>14.4</v>
      </c>
    </row>
    <row r="962" spans="1:9">
      <c r="A962" s="1">
        <v>37071</v>
      </c>
      <c r="B962" s="1">
        <v>39082</v>
      </c>
      <c r="C962" s="2">
        <f t="shared" ref="C962:C1025" si="18">(B962-A962)/365.25</f>
        <v>5.505817932922656</v>
      </c>
      <c r="D962" s="3">
        <v>95.5</v>
      </c>
      <c r="E962" s="2">
        <v>13.8</v>
      </c>
      <c r="F962" s="3">
        <v>0</v>
      </c>
      <c r="G962" s="3">
        <v>0</v>
      </c>
      <c r="H962" s="3">
        <v>95.5</v>
      </c>
      <c r="I962" s="2">
        <v>13.8</v>
      </c>
    </row>
    <row r="963" spans="1:9">
      <c r="A963" s="1">
        <v>38312</v>
      </c>
      <c r="B963" s="1">
        <v>39082</v>
      </c>
      <c r="C963" s="2">
        <f t="shared" si="18"/>
        <v>2.108145106091718</v>
      </c>
      <c r="D963" s="3">
        <v>95.5</v>
      </c>
      <c r="E963" s="2">
        <v>12.8</v>
      </c>
      <c r="F963" s="3">
        <v>0</v>
      </c>
      <c r="G963" s="3">
        <v>0</v>
      </c>
      <c r="H963" s="3">
        <v>95.5</v>
      </c>
      <c r="I963" s="2">
        <v>12.8</v>
      </c>
    </row>
    <row r="964" spans="1:9">
      <c r="A964" s="1">
        <v>36770</v>
      </c>
      <c r="B964" s="1">
        <v>39082</v>
      </c>
      <c r="C964" s="2">
        <f t="shared" si="18"/>
        <v>6.3299110198494182</v>
      </c>
      <c r="D964" s="3">
        <v>95.5</v>
      </c>
      <c r="E964" s="2">
        <v>12.7</v>
      </c>
      <c r="F964" s="3">
        <v>0</v>
      </c>
      <c r="G964" s="3">
        <v>0</v>
      </c>
      <c r="H964" s="3">
        <v>95.5</v>
      </c>
      <c r="I964" s="2">
        <v>12.7</v>
      </c>
    </row>
    <row r="965" spans="1:9">
      <c r="A965" s="1">
        <v>37034</v>
      </c>
      <c r="B965" s="1">
        <v>39082</v>
      </c>
      <c r="C965" s="2">
        <f t="shared" si="18"/>
        <v>5.6071184120465434</v>
      </c>
      <c r="D965" s="3">
        <v>95.6</v>
      </c>
      <c r="E965" s="2">
        <v>13.8</v>
      </c>
      <c r="F965" s="3">
        <v>0</v>
      </c>
      <c r="G965" s="3">
        <v>0</v>
      </c>
      <c r="H965" s="3">
        <v>95.6</v>
      </c>
      <c r="I965" s="2">
        <v>13.8</v>
      </c>
    </row>
    <row r="966" spans="1:9">
      <c r="A966" s="1">
        <v>36717</v>
      </c>
      <c r="B966" s="1">
        <v>39082</v>
      </c>
      <c r="C966" s="2">
        <f t="shared" si="18"/>
        <v>6.4750171115674195</v>
      </c>
      <c r="D966" s="3">
        <v>95.6</v>
      </c>
      <c r="E966" s="2">
        <v>12.8</v>
      </c>
      <c r="F966" s="3">
        <v>0</v>
      </c>
      <c r="G966" s="3">
        <v>1</v>
      </c>
      <c r="H966" s="3">
        <v>95.6</v>
      </c>
      <c r="I966" s="2">
        <v>12.8</v>
      </c>
    </row>
    <row r="967" spans="1:9">
      <c r="A967" s="1">
        <v>37796</v>
      </c>
      <c r="B967" s="1">
        <v>39082</v>
      </c>
      <c r="C967" s="2">
        <f t="shared" si="18"/>
        <v>3.5208761122518824</v>
      </c>
      <c r="D967" s="3">
        <v>95.6</v>
      </c>
      <c r="E967" s="2">
        <v>15.8</v>
      </c>
      <c r="F967" s="3">
        <v>0</v>
      </c>
      <c r="G967" s="3">
        <v>1</v>
      </c>
      <c r="H967" s="3">
        <v>95.6</v>
      </c>
      <c r="I967" s="2">
        <v>15.8</v>
      </c>
    </row>
    <row r="968" spans="1:9">
      <c r="A968" s="1">
        <v>37159</v>
      </c>
      <c r="B968" s="1">
        <v>39082</v>
      </c>
      <c r="C968" s="2">
        <f t="shared" si="18"/>
        <v>5.2648870636550305</v>
      </c>
      <c r="D968" s="3">
        <v>95.7</v>
      </c>
      <c r="E968" s="2">
        <v>11.7</v>
      </c>
      <c r="F968" s="3">
        <v>0</v>
      </c>
      <c r="G968" s="3">
        <v>1</v>
      </c>
      <c r="H968" s="3">
        <v>95.7</v>
      </c>
      <c r="I968" s="2">
        <v>11.7</v>
      </c>
    </row>
    <row r="969" spans="1:9">
      <c r="A969" s="1">
        <v>38292</v>
      </c>
      <c r="B969" s="1">
        <v>39082</v>
      </c>
      <c r="C969" s="2">
        <f t="shared" si="18"/>
        <v>2.1629021218343598</v>
      </c>
      <c r="D969" s="3">
        <v>95.8</v>
      </c>
      <c r="E969" s="2">
        <v>14.5</v>
      </c>
      <c r="F969" s="3">
        <v>0</v>
      </c>
      <c r="G969" s="3">
        <v>0</v>
      </c>
      <c r="H969" s="3">
        <v>95.8</v>
      </c>
      <c r="I969" s="2">
        <v>14.5</v>
      </c>
    </row>
    <row r="970" spans="1:9">
      <c r="A970" s="1">
        <v>36995</v>
      </c>
      <c r="B970" s="1">
        <v>39082</v>
      </c>
      <c r="C970" s="2">
        <f t="shared" si="18"/>
        <v>5.7138945927446958</v>
      </c>
      <c r="D970" s="3">
        <v>95.9</v>
      </c>
      <c r="E970" s="2">
        <v>13</v>
      </c>
      <c r="F970" s="3">
        <v>0</v>
      </c>
      <c r="G970" s="3">
        <v>0</v>
      </c>
      <c r="H970" s="3">
        <v>95.9</v>
      </c>
      <c r="I970" s="2">
        <v>13</v>
      </c>
    </row>
    <row r="971" spans="1:9">
      <c r="A971" s="1">
        <v>36873</v>
      </c>
      <c r="B971" s="1">
        <v>39082</v>
      </c>
      <c r="C971" s="2">
        <f t="shared" si="18"/>
        <v>6.0479123887748116</v>
      </c>
      <c r="D971" s="3">
        <v>96</v>
      </c>
      <c r="E971" s="2">
        <v>13.1</v>
      </c>
      <c r="F971" s="3">
        <v>0</v>
      </c>
      <c r="G971" s="3">
        <v>0</v>
      </c>
      <c r="H971" s="3">
        <v>96</v>
      </c>
      <c r="I971" s="2">
        <v>13.1</v>
      </c>
    </row>
    <row r="972" spans="1:9">
      <c r="A972" s="1">
        <v>38117</v>
      </c>
      <c r="B972" s="1">
        <v>39082</v>
      </c>
      <c r="C972" s="2">
        <f t="shared" si="18"/>
        <v>2.6420260095824779</v>
      </c>
      <c r="D972" s="3">
        <v>96</v>
      </c>
      <c r="E972" s="2">
        <v>12.8</v>
      </c>
      <c r="F972" s="3">
        <v>0</v>
      </c>
      <c r="G972" s="3">
        <v>0</v>
      </c>
      <c r="H972" s="3">
        <v>96</v>
      </c>
      <c r="I972" s="2">
        <v>12.8</v>
      </c>
    </row>
    <row r="973" spans="1:9">
      <c r="A973" s="1">
        <v>36976</v>
      </c>
      <c r="B973" s="1">
        <v>39082</v>
      </c>
      <c r="C973" s="2">
        <f t="shared" si="18"/>
        <v>5.7659137577002051</v>
      </c>
      <c r="D973" s="3">
        <v>96.1</v>
      </c>
      <c r="E973" s="2">
        <v>12.8</v>
      </c>
      <c r="F973" s="3">
        <v>0</v>
      </c>
      <c r="G973" s="3">
        <v>0</v>
      </c>
      <c r="H973" s="3">
        <v>96.1</v>
      </c>
      <c r="I973" s="2">
        <v>12.8</v>
      </c>
    </row>
    <row r="974" spans="1:9">
      <c r="A974" s="1">
        <v>37804</v>
      </c>
      <c r="B974" s="1">
        <v>39082</v>
      </c>
      <c r="C974" s="2">
        <f t="shared" si="18"/>
        <v>3.4989733059548254</v>
      </c>
      <c r="D974" s="3">
        <v>96.1</v>
      </c>
      <c r="E974" s="2">
        <v>11.2</v>
      </c>
      <c r="F974" s="3">
        <v>0</v>
      </c>
      <c r="G974" s="3">
        <v>0</v>
      </c>
      <c r="H974" s="3">
        <v>96.1</v>
      </c>
      <c r="I974" s="2">
        <v>11.2</v>
      </c>
    </row>
    <row r="975" spans="1:9">
      <c r="A975" s="1">
        <v>36906</v>
      </c>
      <c r="B975" s="1">
        <v>39082</v>
      </c>
      <c r="C975" s="2">
        <f t="shared" si="18"/>
        <v>5.9575633127994525</v>
      </c>
      <c r="D975" s="3">
        <v>96.1</v>
      </c>
      <c r="E975" s="2">
        <v>12.8</v>
      </c>
      <c r="F975" s="3">
        <v>0</v>
      </c>
      <c r="G975" s="3">
        <v>1</v>
      </c>
      <c r="H975" s="3">
        <v>96.1</v>
      </c>
      <c r="I975" s="2">
        <v>12.8</v>
      </c>
    </row>
    <row r="976" spans="1:9">
      <c r="A976" s="1">
        <v>38275</v>
      </c>
      <c r="B976" s="1">
        <v>39082</v>
      </c>
      <c r="C976" s="2">
        <f t="shared" si="18"/>
        <v>2.2094455852156059</v>
      </c>
      <c r="D976" s="3">
        <v>96.2</v>
      </c>
      <c r="E976" s="2">
        <v>15.2</v>
      </c>
      <c r="F976" s="3">
        <v>0</v>
      </c>
      <c r="G976" s="3">
        <v>1</v>
      </c>
      <c r="H976" s="3">
        <v>96.2</v>
      </c>
      <c r="I976" s="2">
        <v>15.2</v>
      </c>
    </row>
    <row r="977" spans="1:9">
      <c r="A977" s="1">
        <v>38023</v>
      </c>
      <c r="B977" s="1">
        <v>39082</v>
      </c>
      <c r="C977" s="2">
        <f t="shared" si="18"/>
        <v>2.8993839835728954</v>
      </c>
      <c r="D977" s="3">
        <v>96.3</v>
      </c>
      <c r="E977" s="2">
        <v>12.8</v>
      </c>
      <c r="F977" s="3">
        <v>0</v>
      </c>
      <c r="G977" s="3">
        <v>0</v>
      </c>
      <c r="H977" s="3">
        <v>96.3</v>
      </c>
      <c r="I977" s="2">
        <v>12.8</v>
      </c>
    </row>
    <row r="978" spans="1:9">
      <c r="A978" s="1">
        <v>37107</v>
      </c>
      <c r="B978" s="1">
        <v>39082</v>
      </c>
      <c r="C978" s="2">
        <f t="shared" si="18"/>
        <v>5.4072553045858998</v>
      </c>
      <c r="D978" s="3">
        <v>96.3</v>
      </c>
      <c r="E978" s="2">
        <v>12.8</v>
      </c>
      <c r="F978" s="3">
        <v>0</v>
      </c>
      <c r="G978" s="3">
        <v>1</v>
      </c>
      <c r="H978" s="3">
        <v>96.3</v>
      </c>
      <c r="I978" s="2">
        <v>12.8</v>
      </c>
    </row>
    <row r="979" spans="1:9">
      <c r="A979" s="1">
        <v>37204</v>
      </c>
      <c r="B979" s="1">
        <v>39082</v>
      </c>
      <c r="C979" s="2">
        <f t="shared" si="18"/>
        <v>5.1416837782340865</v>
      </c>
      <c r="D979" s="3">
        <v>96.4</v>
      </c>
      <c r="E979" s="2">
        <v>12.7</v>
      </c>
      <c r="F979" s="3">
        <v>0</v>
      </c>
      <c r="G979" s="3">
        <v>1</v>
      </c>
      <c r="H979" s="3">
        <v>96.4</v>
      </c>
      <c r="I979" s="2">
        <v>12.7</v>
      </c>
    </row>
    <row r="980" spans="1:9">
      <c r="A980" s="1">
        <v>37248</v>
      </c>
      <c r="B980" s="1">
        <v>39082</v>
      </c>
      <c r="C980" s="2">
        <f t="shared" si="18"/>
        <v>5.0212183436002737</v>
      </c>
      <c r="D980" s="3">
        <v>96.4</v>
      </c>
      <c r="E980" s="2">
        <v>15.3</v>
      </c>
      <c r="F980" s="3">
        <v>0</v>
      </c>
      <c r="G980" s="3">
        <v>0</v>
      </c>
      <c r="H980" s="3">
        <v>96.4</v>
      </c>
      <c r="I980" s="2">
        <v>15.3</v>
      </c>
    </row>
    <row r="981" spans="1:9">
      <c r="A981" s="1">
        <v>36969</v>
      </c>
      <c r="B981" s="1">
        <v>39082</v>
      </c>
      <c r="C981" s="2">
        <f t="shared" si="18"/>
        <v>5.7850787132101305</v>
      </c>
      <c r="D981" s="3">
        <v>96.5</v>
      </c>
      <c r="E981" s="2">
        <v>12.5</v>
      </c>
      <c r="F981" s="3">
        <v>0</v>
      </c>
      <c r="G981" s="3">
        <v>0</v>
      </c>
      <c r="H981" s="3">
        <v>96.5</v>
      </c>
      <c r="I981" s="2">
        <v>12.5</v>
      </c>
    </row>
    <row r="982" spans="1:9">
      <c r="A982" s="1">
        <v>36971</v>
      </c>
      <c r="B982" s="1">
        <v>39082</v>
      </c>
      <c r="C982" s="2">
        <f t="shared" si="18"/>
        <v>5.7796030116358654</v>
      </c>
      <c r="D982" s="3">
        <v>96.6</v>
      </c>
      <c r="E982" s="2">
        <v>12.6</v>
      </c>
      <c r="F982" s="3">
        <v>0</v>
      </c>
      <c r="G982" s="3">
        <v>1</v>
      </c>
      <c r="H982" s="3">
        <v>96.6</v>
      </c>
      <c r="I982" s="2">
        <v>12.6</v>
      </c>
    </row>
    <row r="983" spans="1:9">
      <c r="A983" s="1">
        <v>38261</v>
      </c>
      <c r="B983" s="1">
        <v>39082</v>
      </c>
      <c r="C983" s="2">
        <f t="shared" si="18"/>
        <v>2.2477754962354553</v>
      </c>
      <c r="D983" s="3">
        <v>96.6</v>
      </c>
      <c r="E983" s="2">
        <v>14.3</v>
      </c>
      <c r="F983" s="3">
        <v>0</v>
      </c>
      <c r="G983" s="3">
        <v>1</v>
      </c>
      <c r="H983" s="3">
        <v>96.6</v>
      </c>
      <c r="I983" s="2">
        <v>14.3</v>
      </c>
    </row>
    <row r="984" spans="1:9">
      <c r="A984" s="1">
        <v>36963</v>
      </c>
      <c r="B984" s="1">
        <v>39082</v>
      </c>
      <c r="C984" s="2">
        <f t="shared" si="18"/>
        <v>5.8015058179329229</v>
      </c>
      <c r="D984" s="3">
        <v>96.6</v>
      </c>
      <c r="E984" s="2">
        <v>13.7</v>
      </c>
      <c r="F984" s="3">
        <v>0</v>
      </c>
      <c r="G984" s="3">
        <v>0</v>
      </c>
      <c r="H984" s="3">
        <v>96.6</v>
      </c>
      <c r="I984" s="2">
        <v>13.7</v>
      </c>
    </row>
    <row r="985" spans="1:9">
      <c r="A985" s="1">
        <v>36912</v>
      </c>
      <c r="B985" s="1">
        <v>39082</v>
      </c>
      <c r="C985" s="2">
        <f t="shared" si="18"/>
        <v>5.9411362080766601</v>
      </c>
      <c r="D985" s="3">
        <v>96.6</v>
      </c>
      <c r="E985" s="2">
        <v>12.1</v>
      </c>
      <c r="F985" s="3">
        <v>0</v>
      </c>
      <c r="G985" s="3">
        <v>0</v>
      </c>
      <c r="H985" s="3">
        <v>96.6</v>
      </c>
      <c r="I985" s="2">
        <v>12.1</v>
      </c>
    </row>
    <row r="986" spans="1:9">
      <c r="A986" s="1">
        <v>37076</v>
      </c>
      <c r="B986" s="1">
        <v>39082</v>
      </c>
      <c r="C986" s="2">
        <f t="shared" si="18"/>
        <v>5.4921286789869956</v>
      </c>
      <c r="D986" s="3">
        <v>96.7</v>
      </c>
      <c r="E986" s="2">
        <v>13</v>
      </c>
      <c r="F986" s="3">
        <v>0</v>
      </c>
      <c r="G986" s="3">
        <v>0</v>
      </c>
      <c r="H986" s="3">
        <v>96.7</v>
      </c>
      <c r="I986" s="2">
        <v>13</v>
      </c>
    </row>
    <row r="987" spans="1:9">
      <c r="A987" s="1">
        <v>37121</v>
      </c>
      <c r="B987" s="1">
        <v>39082</v>
      </c>
      <c r="C987" s="2">
        <f t="shared" si="18"/>
        <v>5.3689253935660508</v>
      </c>
      <c r="D987" s="3">
        <v>96.7</v>
      </c>
      <c r="E987" s="2">
        <v>13.4</v>
      </c>
      <c r="F987" s="3">
        <v>0</v>
      </c>
      <c r="G987" s="3">
        <v>1</v>
      </c>
      <c r="H987" s="3">
        <v>96.7</v>
      </c>
      <c r="I987" s="2">
        <v>13.4</v>
      </c>
    </row>
    <row r="988" spans="1:9">
      <c r="A988" s="1">
        <v>36872</v>
      </c>
      <c r="B988" s="1">
        <v>39082</v>
      </c>
      <c r="C988" s="2">
        <f t="shared" si="18"/>
        <v>6.0506502395619437</v>
      </c>
      <c r="D988" s="3">
        <v>96.7</v>
      </c>
      <c r="E988" s="2">
        <v>14</v>
      </c>
      <c r="F988" s="3">
        <v>1</v>
      </c>
      <c r="G988" s="3">
        <v>1</v>
      </c>
      <c r="H988" s="3">
        <v>96.7</v>
      </c>
      <c r="I988" s="2">
        <v>14</v>
      </c>
    </row>
    <row r="989" spans="1:9">
      <c r="A989" s="1">
        <v>36925</v>
      </c>
      <c r="B989" s="1">
        <v>39082</v>
      </c>
      <c r="C989" s="2">
        <f t="shared" si="18"/>
        <v>5.9055441478439423</v>
      </c>
      <c r="D989" s="3">
        <v>96.7</v>
      </c>
      <c r="E989" s="2">
        <v>12.4</v>
      </c>
      <c r="F989" s="3">
        <v>0</v>
      </c>
      <c r="G989" s="3">
        <v>1</v>
      </c>
      <c r="H989" s="3">
        <v>96.7</v>
      </c>
      <c r="I989" s="2">
        <v>12.4</v>
      </c>
    </row>
    <row r="990" spans="1:9">
      <c r="A990" s="1">
        <v>36727</v>
      </c>
      <c r="B990" s="1">
        <v>39082</v>
      </c>
      <c r="C990" s="2">
        <f t="shared" si="18"/>
        <v>6.4476386036960989</v>
      </c>
      <c r="D990" s="3">
        <v>96.8</v>
      </c>
      <c r="E990" s="2">
        <v>15</v>
      </c>
      <c r="F990" s="3">
        <v>0</v>
      </c>
      <c r="G990" s="3">
        <v>1</v>
      </c>
      <c r="H990" s="3">
        <v>96.8</v>
      </c>
      <c r="I990" s="2">
        <v>15</v>
      </c>
    </row>
    <row r="991" spans="1:9">
      <c r="A991" s="1">
        <v>36802</v>
      </c>
      <c r="B991" s="1">
        <v>39082</v>
      </c>
      <c r="C991" s="2">
        <f t="shared" si="18"/>
        <v>6.2422997946611911</v>
      </c>
      <c r="D991" s="3">
        <v>96.8</v>
      </c>
      <c r="E991" s="2">
        <v>15.1</v>
      </c>
      <c r="F991" s="3">
        <v>0</v>
      </c>
      <c r="G991" s="3">
        <v>0</v>
      </c>
      <c r="H991" s="3">
        <v>96.8</v>
      </c>
      <c r="I991" s="2">
        <v>15.1</v>
      </c>
    </row>
    <row r="992" spans="1:9">
      <c r="A992" s="1">
        <v>36956</v>
      </c>
      <c r="B992" s="1">
        <v>39082</v>
      </c>
      <c r="C992" s="2">
        <f t="shared" si="18"/>
        <v>5.8206707734428473</v>
      </c>
      <c r="D992" s="3">
        <v>97</v>
      </c>
      <c r="E992" s="2">
        <v>13.6</v>
      </c>
      <c r="F992" s="3">
        <v>0</v>
      </c>
      <c r="G992" s="3">
        <v>1</v>
      </c>
      <c r="H992" s="3">
        <v>97</v>
      </c>
      <c r="I992" s="2">
        <v>13.6</v>
      </c>
    </row>
    <row r="993" spans="1:9">
      <c r="A993" s="1">
        <v>36800</v>
      </c>
      <c r="B993" s="1">
        <v>39082</v>
      </c>
      <c r="C993" s="2">
        <f t="shared" si="18"/>
        <v>6.2477754962354553</v>
      </c>
      <c r="D993" s="3">
        <v>97</v>
      </c>
      <c r="E993" s="2">
        <v>14.1</v>
      </c>
      <c r="F993" s="3">
        <v>0</v>
      </c>
      <c r="G993" s="3">
        <v>0</v>
      </c>
      <c r="H993" s="3">
        <v>97</v>
      </c>
      <c r="I993" s="2">
        <v>14.1</v>
      </c>
    </row>
    <row r="994" spans="1:9">
      <c r="A994" s="1">
        <v>37003</v>
      </c>
      <c r="B994" s="1">
        <v>39082</v>
      </c>
      <c r="C994" s="2">
        <f t="shared" si="18"/>
        <v>5.6919917864476384</v>
      </c>
      <c r="D994" s="3">
        <v>97.1</v>
      </c>
      <c r="E994" s="2">
        <v>13.3</v>
      </c>
      <c r="F994" s="3">
        <v>0</v>
      </c>
      <c r="G994" s="3">
        <v>0</v>
      </c>
      <c r="H994" s="3">
        <v>97.1</v>
      </c>
      <c r="I994" s="2">
        <v>13.3</v>
      </c>
    </row>
    <row r="995" spans="1:9">
      <c r="A995" s="1">
        <v>37138</v>
      </c>
      <c r="B995" s="1">
        <v>39082</v>
      </c>
      <c r="C995" s="2">
        <f t="shared" si="18"/>
        <v>5.3223819301848048</v>
      </c>
      <c r="D995" s="3">
        <v>97.2</v>
      </c>
      <c r="E995" s="2">
        <v>14.4</v>
      </c>
      <c r="F995" s="3">
        <v>0</v>
      </c>
      <c r="G995" s="3">
        <v>1</v>
      </c>
      <c r="H995" s="3">
        <v>97.2</v>
      </c>
      <c r="I995" s="2">
        <v>14.4</v>
      </c>
    </row>
    <row r="996" spans="1:9">
      <c r="A996" s="1">
        <v>36914</v>
      </c>
      <c r="B996" s="1">
        <v>39082</v>
      </c>
      <c r="C996" s="2">
        <f t="shared" si="18"/>
        <v>5.935660506502396</v>
      </c>
      <c r="D996" s="3">
        <v>97.3</v>
      </c>
      <c r="E996" s="2">
        <v>14.5</v>
      </c>
      <c r="F996" s="3">
        <v>0</v>
      </c>
      <c r="G996" s="3">
        <v>0</v>
      </c>
      <c r="H996" s="3">
        <v>97.3</v>
      </c>
      <c r="I996" s="2">
        <v>14.5</v>
      </c>
    </row>
    <row r="997" spans="1:9">
      <c r="A997" s="1">
        <v>38245</v>
      </c>
      <c r="B997" s="1">
        <v>39082</v>
      </c>
      <c r="C997" s="2">
        <f t="shared" si="18"/>
        <v>2.2915811088295688</v>
      </c>
      <c r="D997" s="3">
        <v>97.3</v>
      </c>
      <c r="E997" s="2">
        <v>12.3</v>
      </c>
      <c r="F997" s="3">
        <v>0</v>
      </c>
      <c r="G997" s="3">
        <v>0</v>
      </c>
      <c r="H997" s="3">
        <v>97.3</v>
      </c>
      <c r="I997" s="2">
        <v>12.3</v>
      </c>
    </row>
    <row r="998" spans="1:9">
      <c r="A998" s="1">
        <v>36912</v>
      </c>
      <c r="B998" s="1">
        <v>39082</v>
      </c>
      <c r="C998" s="2">
        <f t="shared" si="18"/>
        <v>5.9411362080766601</v>
      </c>
      <c r="D998" s="3">
        <v>97.3</v>
      </c>
      <c r="E998" s="2">
        <v>13</v>
      </c>
      <c r="F998" s="3">
        <v>0</v>
      </c>
      <c r="G998" s="3">
        <v>1</v>
      </c>
      <c r="H998" s="3">
        <v>97.3</v>
      </c>
      <c r="I998" s="2">
        <v>13</v>
      </c>
    </row>
    <row r="999" spans="1:9">
      <c r="A999" s="1">
        <v>38102</v>
      </c>
      <c r="B999" s="1">
        <v>39082</v>
      </c>
      <c r="C999" s="2">
        <f t="shared" si="18"/>
        <v>2.6830937713894594</v>
      </c>
      <c r="D999" s="3">
        <v>97.3</v>
      </c>
      <c r="E999" s="2">
        <v>13.6</v>
      </c>
      <c r="F999" s="3">
        <v>0</v>
      </c>
      <c r="G999" s="3">
        <v>1</v>
      </c>
      <c r="H999" s="3">
        <v>97.3</v>
      </c>
      <c r="I999" s="2">
        <v>13.6</v>
      </c>
    </row>
    <row r="1000" spans="1:9">
      <c r="A1000" s="1">
        <v>36713</v>
      </c>
      <c r="B1000" s="1">
        <v>39082</v>
      </c>
      <c r="C1000" s="2">
        <f t="shared" si="18"/>
        <v>6.4859685147159478</v>
      </c>
      <c r="D1000" s="3">
        <v>97.4</v>
      </c>
      <c r="E1000" s="2">
        <v>13.1</v>
      </c>
      <c r="F1000" s="3">
        <v>0</v>
      </c>
      <c r="G1000" s="3">
        <v>1</v>
      </c>
      <c r="H1000" s="3">
        <v>97.4</v>
      </c>
      <c r="I1000" s="2">
        <v>13.1</v>
      </c>
    </row>
    <row r="1001" spans="1:9">
      <c r="A1001" s="1">
        <v>38146</v>
      </c>
      <c r="B1001" s="1">
        <v>39082</v>
      </c>
      <c r="C1001" s="2">
        <f t="shared" si="18"/>
        <v>2.5626283367556466</v>
      </c>
      <c r="D1001" s="3">
        <v>97.6</v>
      </c>
      <c r="E1001" s="2">
        <v>13.8</v>
      </c>
      <c r="F1001" s="3">
        <v>0</v>
      </c>
      <c r="G1001" s="3">
        <v>1</v>
      </c>
      <c r="H1001" s="3">
        <v>97.6</v>
      </c>
      <c r="I1001" s="2">
        <v>13.8</v>
      </c>
    </row>
    <row r="1002" spans="1:9">
      <c r="A1002" s="1">
        <v>38647</v>
      </c>
      <c r="B1002" s="1">
        <v>39082</v>
      </c>
      <c r="C1002" s="2">
        <f t="shared" si="18"/>
        <v>1.1909650924024642</v>
      </c>
      <c r="D1002" s="3">
        <v>97.6</v>
      </c>
      <c r="E1002" s="2">
        <v>14.1</v>
      </c>
      <c r="F1002" s="3">
        <v>0</v>
      </c>
      <c r="G1002" s="3">
        <v>0</v>
      </c>
      <c r="H1002" s="3">
        <v>97.6</v>
      </c>
      <c r="I1002" s="2">
        <v>14.1</v>
      </c>
    </row>
    <row r="1003" spans="1:9">
      <c r="A1003" s="1">
        <v>38088</v>
      </c>
      <c r="B1003" s="1">
        <v>39082</v>
      </c>
      <c r="C1003" s="2">
        <f t="shared" si="18"/>
        <v>2.7214236824093088</v>
      </c>
      <c r="D1003" s="3">
        <v>97.6</v>
      </c>
      <c r="E1003" s="2">
        <v>13.7</v>
      </c>
      <c r="F1003" s="3">
        <v>0</v>
      </c>
      <c r="G1003" s="3">
        <v>0</v>
      </c>
      <c r="H1003" s="3">
        <v>97.6</v>
      </c>
      <c r="I1003" s="2">
        <v>13.7</v>
      </c>
    </row>
    <row r="1004" spans="1:9">
      <c r="A1004" s="1">
        <v>37987</v>
      </c>
      <c r="B1004" s="1">
        <v>39082</v>
      </c>
      <c r="C1004" s="2">
        <f t="shared" si="18"/>
        <v>2.9979466119096507</v>
      </c>
      <c r="D1004" s="3">
        <v>97.7</v>
      </c>
      <c r="E1004" s="2">
        <v>14.7</v>
      </c>
      <c r="F1004" s="3">
        <v>0</v>
      </c>
      <c r="G1004" s="3">
        <v>1</v>
      </c>
      <c r="H1004" s="3">
        <v>97.7</v>
      </c>
      <c r="I1004" s="2">
        <v>14.7</v>
      </c>
    </row>
    <row r="1005" spans="1:9">
      <c r="A1005" s="1">
        <v>36680</v>
      </c>
      <c r="B1005" s="1">
        <v>39082</v>
      </c>
      <c r="C1005" s="2">
        <f t="shared" si="18"/>
        <v>6.5763175906913069</v>
      </c>
      <c r="D1005" s="3">
        <v>97.7</v>
      </c>
      <c r="E1005" s="2">
        <v>13</v>
      </c>
      <c r="F1005" s="3">
        <v>0</v>
      </c>
      <c r="G1005" s="3">
        <v>1</v>
      </c>
      <c r="H1005" s="3">
        <v>97.7</v>
      </c>
      <c r="I1005" s="2">
        <v>13</v>
      </c>
    </row>
    <row r="1006" spans="1:9">
      <c r="A1006" s="1">
        <v>36647</v>
      </c>
      <c r="B1006" s="1">
        <v>39082</v>
      </c>
      <c r="C1006" s="2">
        <f t="shared" si="18"/>
        <v>6.666666666666667</v>
      </c>
      <c r="D1006" s="3">
        <v>97.8</v>
      </c>
      <c r="E1006" s="2">
        <v>12.3</v>
      </c>
      <c r="F1006" s="3">
        <v>0</v>
      </c>
      <c r="G1006" s="3">
        <v>0</v>
      </c>
      <c r="H1006" s="3">
        <v>97.8</v>
      </c>
      <c r="I1006" s="2">
        <v>12.3</v>
      </c>
    </row>
    <row r="1007" spans="1:9">
      <c r="A1007" s="1">
        <v>36827</v>
      </c>
      <c r="B1007" s="1">
        <v>39082</v>
      </c>
      <c r="C1007" s="2">
        <f t="shared" si="18"/>
        <v>6.1738535249828885</v>
      </c>
      <c r="D1007" s="3">
        <v>97.8</v>
      </c>
      <c r="E1007" s="2">
        <v>12.5</v>
      </c>
      <c r="F1007" s="3">
        <v>0</v>
      </c>
      <c r="G1007" s="3">
        <v>0</v>
      </c>
      <c r="H1007" s="3">
        <v>97.8</v>
      </c>
      <c r="I1007" s="2">
        <v>12.5</v>
      </c>
    </row>
    <row r="1008" spans="1:9">
      <c r="A1008" s="1">
        <v>36754</v>
      </c>
      <c r="B1008" s="1">
        <v>39082</v>
      </c>
      <c r="C1008" s="2">
        <f t="shared" si="18"/>
        <v>6.3737166324435321</v>
      </c>
      <c r="D1008" s="3">
        <v>97.9</v>
      </c>
      <c r="E1008" s="2">
        <v>13.2</v>
      </c>
      <c r="F1008" s="3">
        <v>0</v>
      </c>
      <c r="G1008" s="3">
        <v>0</v>
      </c>
      <c r="H1008" s="3">
        <v>97.9</v>
      </c>
      <c r="I1008" s="2">
        <v>13.2</v>
      </c>
    </row>
    <row r="1009" spans="1:9">
      <c r="A1009" s="1">
        <v>38273</v>
      </c>
      <c r="B1009" s="1">
        <v>39082</v>
      </c>
      <c r="C1009" s="2">
        <f t="shared" si="18"/>
        <v>2.21492128678987</v>
      </c>
      <c r="D1009" s="3">
        <v>98</v>
      </c>
      <c r="E1009" s="2">
        <v>14.5</v>
      </c>
      <c r="F1009" s="3">
        <v>0</v>
      </c>
      <c r="G1009" s="3">
        <v>0</v>
      </c>
      <c r="H1009" s="3">
        <v>98</v>
      </c>
      <c r="I1009" s="2">
        <v>14.5</v>
      </c>
    </row>
    <row r="1010" spans="1:9">
      <c r="A1010" s="1">
        <v>37113</v>
      </c>
      <c r="B1010" s="1">
        <v>39082</v>
      </c>
      <c r="C1010" s="2">
        <f t="shared" si="18"/>
        <v>5.3908281998631074</v>
      </c>
      <c r="D1010" s="3">
        <v>98</v>
      </c>
      <c r="E1010" s="2">
        <v>12.2</v>
      </c>
      <c r="F1010" s="3">
        <v>0</v>
      </c>
      <c r="G1010" s="3">
        <v>0</v>
      </c>
      <c r="H1010" s="3">
        <v>98</v>
      </c>
      <c r="I1010" s="2">
        <v>12.2</v>
      </c>
    </row>
    <row r="1011" spans="1:9">
      <c r="A1011" s="1">
        <v>36924</v>
      </c>
      <c r="B1011" s="1">
        <v>39082</v>
      </c>
      <c r="C1011" s="2">
        <f t="shared" si="18"/>
        <v>5.9082819986310744</v>
      </c>
      <c r="D1011" s="3">
        <v>98</v>
      </c>
      <c r="E1011" s="2">
        <v>11.9</v>
      </c>
      <c r="F1011" s="3">
        <v>0</v>
      </c>
      <c r="G1011" s="3">
        <v>1</v>
      </c>
      <c r="H1011" s="3">
        <v>98</v>
      </c>
      <c r="I1011" s="2">
        <v>11.9</v>
      </c>
    </row>
    <row r="1012" spans="1:9">
      <c r="A1012" s="1">
        <v>37494</v>
      </c>
      <c r="B1012" s="1">
        <v>39082</v>
      </c>
      <c r="C1012" s="2">
        <f t="shared" si="18"/>
        <v>4.3477070499657771</v>
      </c>
      <c r="D1012" s="3">
        <v>98.1</v>
      </c>
      <c r="E1012" s="2">
        <v>12.7</v>
      </c>
      <c r="F1012" s="3">
        <v>0</v>
      </c>
      <c r="G1012" s="3">
        <v>1</v>
      </c>
      <c r="H1012" s="3">
        <v>98.1</v>
      </c>
      <c r="I1012" s="2">
        <v>12.7</v>
      </c>
    </row>
    <row r="1013" spans="1:9">
      <c r="A1013" s="1">
        <v>36875</v>
      </c>
      <c r="B1013" s="1">
        <v>39082</v>
      </c>
      <c r="C1013" s="2">
        <f t="shared" si="18"/>
        <v>6.0424366872005475</v>
      </c>
      <c r="D1013" s="3">
        <v>98.1</v>
      </c>
      <c r="E1013" s="2">
        <v>14.2</v>
      </c>
      <c r="F1013" s="3">
        <v>0</v>
      </c>
      <c r="G1013" s="3">
        <v>0</v>
      </c>
      <c r="H1013" s="3">
        <v>98.1</v>
      </c>
      <c r="I1013" s="2">
        <v>14.2</v>
      </c>
    </row>
    <row r="1014" spans="1:9">
      <c r="A1014" s="1">
        <v>37045</v>
      </c>
      <c r="B1014" s="1">
        <v>39082</v>
      </c>
      <c r="C1014" s="2">
        <f t="shared" si="18"/>
        <v>5.5770020533880906</v>
      </c>
      <c r="D1014" s="3">
        <v>98.3</v>
      </c>
      <c r="E1014" s="2">
        <v>13.7</v>
      </c>
      <c r="F1014" s="3">
        <v>0</v>
      </c>
      <c r="G1014" s="3">
        <v>0</v>
      </c>
      <c r="H1014" s="3">
        <v>98.3</v>
      </c>
      <c r="I1014" s="2">
        <v>13.7</v>
      </c>
    </row>
    <row r="1015" spans="1:9">
      <c r="A1015" s="1">
        <v>38113</v>
      </c>
      <c r="B1015" s="1">
        <v>39082</v>
      </c>
      <c r="C1015" s="2">
        <f t="shared" si="18"/>
        <v>2.6529774127310062</v>
      </c>
      <c r="D1015" s="3">
        <v>98.3</v>
      </c>
      <c r="E1015" s="2">
        <v>14</v>
      </c>
      <c r="F1015" s="3">
        <v>0</v>
      </c>
      <c r="G1015" s="3">
        <v>1</v>
      </c>
      <c r="H1015" s="3">
        <v>98.3</v>
      </c>
      <c r="I1015" s="2">
        <v>14</v>
      </c>
    </row>
    <row r="1016" spans="1:9">
      <c r="A1016" s="1">
        <v>36925</v>
      </c>
      <c r="B1016" s="1">
        <v>39082</v>
      </c>
      <c r="C1016" s="2">
        <f t="shared" si="18"/>
        <v>5.9055441478439423</v>
      </c>
      <c r="D1016" s="3">
        <v>98.3</v>
      </c>
      <c r="E1016" s="2">
        <v>14.7</v>
      </c>
      <c r="F1016" s="3">
        <v>0</v>
      </c>
      <c r="G1016" s="3">
        <v>0</v>
      </c>
      <c r="H1016" s="3">
        <v>98.3</v>
      </c>
      <c r="I1016" s="2">
        <v>14.7</v>
      </c>
    </row>
    <row r="1017" spans="1:9">
      <c r="A1017" s="1">
        <v>38231</v>
      </c>
      <c r="B1017" s="1">
        <v>39082</v>
      </c>
      <c r="C1017" s="2">
        <f t="shared" si="18"/>
        <v>2.3299110198494182</v>
      </c>
      <c r="D1017" s="3">
        <v>98.4</v>
      </c>
      <c r="E1017" s="2">
        <v>14.9</v>
      </c>
      <c r="F1017" s="3">
        <v>0</v>
      </c>
      <c r="G1017" s="3">
        <v>1</v>
      </c>
      <c r="H1017" s="3">
        <v>98.4</v>
      </c>
      <c r="I1017" s="2">
        <v>14.9</v>
      </c>
    </row>
    <row r="1018" spans="1:9">
      <c r="A1018" s="1">
        <v>38200</v>
      </c>
      <c r="B1018" s="1">
        <v>39082</v>
      </c>
      <c r="C1018" s="2">
        <f t="shared" si="18"/>
        <v>2.4147843942505132</v>
      </c>
      <c r="D1018" s="3">
        <v>98.4</v>
      </c>
      <c r="E1018" s="2">
        <v>15.5</v>
      </c>
      <c r="F1018" s="3">
        <v>0</v>
      </c>
      <c r="G1018" s="3">
        <v>1</v>
      </c>
      <c r="H1018" s="3">
        <v>98.4</v>
      </c>
      <c r="I1018" s="2">
        <v>15.5</v>
      </c>
    </row>
    <row r="1019" spans="1:9">
      <c r="A1019" s="1">
        <v>38235</v>
      </c>
      <c r="B1019" s="1">
        <v>39082</v>
      </c>
      <c r="C1019" s="2">
        <f t="shared" si="18"/>
        <v>2.3189596167008899</v>
      </c>
      <c r="D1019" s="3">
        <v>98.5</v>
      </c>
      <c r="E1019" s="2">
        <v>13</v>
      </c>
      <c r="F1019" s="3">
        <v>0</v>
      </c>
      <c r="G1019" s="3">
        <v>0</v>
      </c>
      <c r="H1019" s="3">
        <v>98.5</v>
      </c>
      <c r="I1019" s="2">
        <v>13</v>
      </c>
    </row>
    <row r="1020" spans="1:9">
      <c r="A1020" s="1">
        <v>38152</v>
      </c>
      <c r="B1020" s="1">
        <v>39082</v>
      </c>
      <c r="C1020" s="2">
        <f t="shared" si="18"/>
        <v>2.5462012320328542</v>
      </c>
      <c r="D1020" s="3">
        <v>98.5</v>
      </c>
      <c r="E1020" s="2">
        <v>14.3</v>
      </c>
      <c r="F1020" s="3">
        <v>0</v>
      </c>
      <c r="G1020" s="3">
        <v>0</v>
      </c>
      <c r="H1020" s="3">
        <v>98.5</v>
      </c>
      <c r="I1020" s="2">
        <v>14.3</v>
      </c>
    </row>
    <row r="1021" spans="1:9">
      <c r="A1021" s="1">
        <v>36815</v>
      </c>
      <c r="B1021" s="1">
        <v>39082</v>
      </c>
      <c r="C1021" s="2">
        <f t="shared" si="18"/>
        <v>6.2067077344284733</v>
      </c>
      <c r="D1021" s="3">
        <v>98.5</v>
      </c>
      <c r="E1021" s="2">
        <v>14.5</v>
      </c>
      <c r="F1021" s="3">
        <v>0</v>
      </c>
      <c r="G1021" s="3">
        <v>1</v>
      </c>
      <c r="H1021" s="3">
        <v>98.5</v>
      </c>
      <c r="I1021" s="2">
        <v>14.5</v>
      </c>
    </row>
    <row r="1022" spans="1:9">
      <c r="A1022" s="1">
        <v>38258</v>
      </c>
      <c r="B1022" s="1">
        <v>39082</v>
      </c>
      <c r="C1022" s="2">
        <f t="shared" si="18"/>
        <v>2.2559890485968515</v>
      </c>
      <c r="D1022" s="3">
        <v>98.5</v>
      </c>
      <c r="E1022" s="2">
        <v>14.4</v>
      </c>
      <c r="F1022" s="3">
        <v>0</v>
      </c>
      <c r="G1022" s="3">
        <v>0</v>
      </c>
      <c r="H1022" s="3">
        <v>98.5</v>
      </c>
      <c r="I1022" s="2">
        <v>14.4</v>
      </c>
    </row>
    <row r="1023" spans="1:9">
      <c r="A1023" s="1">
        <v>36797</v>
      </c>
      <c r="B1023" s="1">
        <v>39082</v>
      </c>
      <c r="C1023" s="2">
        <f t="shared" si="18"/>
        <v>6.2559890485968515</v>
      </c>
      <c r="D1023" s="3">
        <v>98.6</v>
      </c>
      <c r="E1023" s="2">
        <v>13.4</v>
      </c>
      <c r="F1023" s="3">
        <v>0</v>
      </c>
      <c r="G1023" s="3">
        <v>0</v>
      </c>
      <c r="H1023" s="3">
        <v>98.6</v>
      </c>
      <c r="I1023" s="2">
        <v>13.4</v>
      </c>
    </row>
    <row r="1024" spans="1:9">
      <c r="A1024" s="1">
        <v>37480</v>
      </c>
      <c r="B1024" s="1">
        <v>39082</v>
      </c>
      <c r="C1024" s="2">
        <f t="shared" si="18"/>
        <v>4.386036960985626</v>
      </c>
      <c r="D1024" s="3">
        <v>98.7</v>
      </c>
      <c r="E1024" s="2">
        <v>15.9</v>
      </c>
      <c r="F1024" s="3">
        <v>0</v>
      </c>
      <c r="G1024" s="3">
        <v>0</v>
      </c>
      <c r="H1024" s="3">
        <v>98.7</v>
      </c>
      <c r="I1024" s="2">
        <v>15.9</v>
      </c>
    </row>
    <row r="1025" spans="1:9">
      <c r="A1025" s="1">
        <v>38222</v>
      </c>
      <c r="B1025" s="1">
        <v>39082</v>
      </c>
      <c r="C1025" s="2">
        <f t="shared" si="18"/>
        <v>2.3545516769336072</v>
      </c>
      <c r="D1025" s="3">
        <v>98.8</v>
      </c>
      <c r="E1025" s="2">
        <v>13.9</v>
      </c>
      <c r="F1025" s="3">
        <v>0</v>
      </c>
      <c r="G1025" s="3">
        <v>1</v>
      </c>
      <c r="H1025" s="3">
        <v>98.8</v>
      </c>
      <c r="I1025" s="2">
        <v>13.9</v>
      </c>
    </row>
    <row r="1026" spans="1:9">
      <c r="A1026" s="1">
        <v>36650</v>
      </c>
      <c r="B1026" s="1">
        <v>39082</v>
      </c>
      <c r="C1026" s="2">
        <f t="shared" ref="C1026:C1081" si="19">(B1026-A1026)/365.25</f>
        <v>6.6584531143052708</v>
      </c>
      <c r="D1026" s="3">
        <v>98.8</v>
      </c>
      <c r="E1026" s="2">
        <v>14.1</v>
      </c>
      <c r="F1026" s="3">
        <v>0</v>
      </c>
      <c r="G1026" s="3">
        <v>0</v>
      </c>
      <c r="H1026" s="3">
        <v>98.8</v>
      </c>
      <c r="I1026" s="2">
        <v>14.1</v>
      </c>
    </row>
    <row r="1027" spans="1:9">
      <c r="A1027" s="1">
        <v>36887</v>
      </c>
      <c r="B1027" s="1">
        <v>39082</v>
      </c>
      <c r="C1027" s="2">
        <f t="shared" si="19"/>
        <v>6.0095824777549627</v>
      </c>
      <c r="D1027" s="3">
        <v>98.8</v>
      </c>
      <c r="E1027" s="2">
        <v>13</v>
      </c>
      <c r="F1027" s="3">
        <v>0</v>
      </c>
      <c r="G1027" s="3">
        <v>1</v>
      </c>
      <c r="H1027" s="3">
        <v>98.8</v>
      </c>
      <c r="I1027" s="2">
        <v>13</v>
      </c>
    </row>
    <row r="1028" spans="1:9">
      <c r="A1028" s="1">
        <v>36622</v>
      </c>
      <c r="B1028" s="1">
        <v>39082</v>
      </c>
      <c r="C1028" s="2">
        <f t="shared" si="19"/>
        <v>6.7351129363449695</v>
      </c>
      <c r="D1028" s="3">
        <v>99</v>
      </c>
      <c r="E1028" s="2">
        <v>14.7</v>
      </c>
      <c r="F1028" s="3">
        <v>0</v>
      </c>
      <c r="G1028" s="3">
        <v>0</v>
      </c>
      <c r="H1028" s="3">
        <v>99</v>
      </c>
      <c r="I1028" s="2">
        <v>14.7</v>
      </c>
    </row>
    <row r="1029" spans="1:9">
      <c r="A1029" s="1">
        <v>36753</v>
      </c>
      <c r="B1029" s="1">
        <v>39082</v>
      </c>
      <c r="C1029" s="2">
        <f t="shared" si="19"/>
        <v>6.3764544832306642</v>
      </c>
      <c r="D1029" s="3">
        <v>99</v>
      </c>
      <c r="E1029" s="2">
        <v>13</v>
      </c>
      <c r="F1029" s="3">
        <v>0</v>
      </c>
      <c r="G1029" s="3">
        <v>1</v>
      </c>
      <c r="H1029" s="3">
        <v>99</v>
      </c>
      <c r="I1029" s="2">
        <v>13</v>
      </c>
    </row>
    <row r="1030" spans="1:9">
      <c r="A1030" s="1">
        <v>36928</v>
      </c>
      <c r="B1030" s="1">
        <v>39082</v>
      </c>
      <c r="C1030" s="2">
        <f t="shared" si="19"/>
        <v>5.8973305954825461</v>
      </c>
      <c r="D1030" s="3">
        <v>99.1</v>
      </c>
      <c r="E1030" s="2">
        <v>14.2</v>
      </c>
      <c r="F1030" s="3">
        <v>0</v>
      </c>
      <c r="G1030" s="3">
        <v>0</v>
      </c>
      <c r="H1030" s="3">
        <v>99.1</v>
      </c>
      <c r="I1030" s="2">
        <v>14.2</v>
      </c>
    </row>
    <row r="1031" spans="1:9">
      <c r="A1031" s="1">
        <v>37049</v>
      </c>
      <c r="B1031" s="1">
        <v>39082</v>
      </c>
      <c r="C1031" s="2">
        <f t="shared" si="19"/>
        <v>5.5660506502395624</v>
      </c>
      <c r="D1031" s="3">
        <v>99.2</v>
      </c>
      <c r="E1031" s="2">
        <v>14.7</v>
      </c>
      <c r="F1031" s="3">
        <v>0</v>
      </c>
      <c r="G1031" s="3">
        <v>1</v>
      </c>
      <c r="H1031" s="3">
        <v>99.2</v>
      </c>
      <c r="I1031" s="2">
        <v>14.7</v>
      </c>
    </row>
    <row r="1032" spans="1:9">
      <c r="A1032" s="1">
        <v>37987</v>
      </c>
      <c r="B1032" s="1">
        <v>39082</v>
      </c>
      <c r="C1032" s="2">
        <f t="shared" si="19"/>
        <v>2.9979466119096507</v>
      </c>
      <c r="D1032" s="3">
        <v>99.2</v>
      </c>
      <c r="E1032" s="2">
        <v>15</v>
      </c>
      <c r="F1032" s="3">
        <v>0</v>
      </c>
      <c r="G1032" s="3">
        <v>1</v>
      </c>
      <c r="H1032" s="3">
        <v>99.2</v>
      </c>
      <c r="I1032" s="2">
        <v>15</v>
      </c>
    </row>
    <row r="1033" spans="1:9">
      <c r="A1033" s="1">
        <v>36661</v>
      </c>
      <c r="B1033" s="1">
        <v>39082</v>
      </c>
      <c r="C1033" s="2">
        <f t="shared" si="19"/>
        <v>6.6283367556468171</v>
      </c>
      <c r="D1033" s="3">
        <v>99.2</v>
      </c>
      <c r="E1033" s="2">
        <v>14.9</v>
      </c>
      <c r="F1033" s="3">
        <v>0</v>
      </c>
      <c r="G1033" s="3">
        <v>1</v>
      </c>
      <c r="H1033" s="3">
        <v>99.2</v>
      </c>
      <c r="I1033" s="2">
        <v>14.9</v>
      </c>
    </row>
    <row r="1034" spans="1:9">
      <c r="A1034" s="1">
        <v>36667</v>
      </c>
      <c r="B1034" s="1">
        <v>39082</v>
      </c>
      <c r="C1034" s="2">
        <f t="shared" si="19"/>
        <v>6.6119096509240247</v>
      </c>
      <c r="D1034" s="3">
        <v>99.3</v>
      </c>
      <c r="E1034" s="2">
        <v>13.4</v>
      </c>
      <c r="F1034" s="3">
        <v>1</v>
      </c>
      <c r="G1034" s="3">
        <v>1</v>
      </c>
      <c r="H1034" s="3">
        <v>99.3</v>
      </c>
      <c r="I1034" s="2">
        <v>13.4</v>
      </c>
    </row>
    <row r="1035" spans="1:9">
      <c r="A1035" s="1">
        <v>37993</v>
      </c>
      <c r="B1035" s="1">
        <v>39082</v>
      </c>
      <c r="C1035" s="2">
        <f t="shared" si="19"/>
        <v>2.9815195071868583</v>
      </c>
      <c r="D1035" s="3">
        <v>99.3</v>
      </c>
      <c r="E1035" s="2">
        <v>14.1</v>
      </c>
      <c r="F1035" s="3">
        <v>0</v>
      </c>
      <c r="G1035" s="3">
        <v>1</v>
      </c>
      <c r="H1035" s="3">
        <v>99.3</v>
      </c>
      <c r="I1035" s="2">
        <v>14.1</v>
      </c>
    </row>
    <row r="1036" spans="1:9">
      <c r="A1036" s="1">
        <v>38155</v>
      </c>
      <c r="B1036" s="1">
        <v>39082</v>
      </c>
      <c r="C1036" s="2">
        <f t="shared" si="19"/>
        <v>2.537987679671458</v>
      </c>
      <c r="D1036" s="3">
        <v>99.3</v>
      </c>
      <c r="E1036" s="2">
        <v>13.7</v>
      </c>
      <c r="F1036" s="3">
        <v>0</v>
      </c>
      <c r="G1036" s="3">
        <v>0</v>
      </c>
      <c r="H1036" s="3">
        <v>99.3</v>
      </c>
      <c r="I1036" s="2">
        <v>13.7</v>
      </c>
    </row>
    <row r="1037" spans="1:9">
      <c r="A1037" s="1">
        <v>36761</v>
      </c>
      <c r="B1037" s="1">
        <v>39082</v>
      </c>
      <c r="C1037" s="2">
        <f t="shared" si="19"/>
        <v>6.3545516769336068</v>
      </c>
      <c r="D1037" s="3">
        <v>99.3</v>
      </c>
      <c r="E1037" s="2">
        <v>15.7</v>
      </c>
      <c r="F1037" s="3">
        <v>0</v>
      </c>
      <c r="G1037" s="3">
        <v>0</v>
      </c>
      <c r="H1037" s="3">
        <v>99.3</v>
      </c>
      <c r="I1037" s="2">
        <v>15.7</v>
      </c>
    </row>
    <row r="1038" spans="1:9">
      <c r="A1038" s="1">
        <v>36894</v>
      </c>
      <c r="B1038" s="1">
        <v>39082</v>
      </c>
      <c r="C1038" s="2">
        <f t="shared" si="19"/>
        <v>5.9904175222450373</v>
      </c>
      <c r="D1038" s="3">
        <v>99.4</v>
      </c>
      <c r="E1038" s="2">
        <v>15.3</v>
      </c>
      <c r="F1038" s="3">
        <v>0</v>
      </c>
      <c r="G1038" s="3">
        <v>1</v>
      </c>
      <c r="H1038" s="3">
        <v>99.4</v>
      </c>
      <c r="I1038" s="2">
        <v>15.3</v>
      </c>
    </row>
    <row r="1039" spans="1:9">
      <c r="A1039" s="1">
        <v>36703</v>
      </c>
      <c r="B1039" s="1">
        <v>39082</v>
      </c>
      <c r="C1039" s="2">
        <f t="shared" si="19"/>
        <v>6.5133470225872694</v>
      </c>
      <c r="D1039" s="3">
        <v>99.4</v>
      </c>
      <c r="E1039" s="2">
        <v>13.8</v>
      </c>
      <c r="F1039" s="3">
        <v>0</v>
      </c>
      <c r="G1039" s="3">
        <v>0</v>
      </c>
      <c r="H1039" s="3">
        <v>99.4</v>
      </c>
      <c r="I1039" s="2">
        <v>13.8</v>
      </c>
    </row>
    <row r="1040" spans="1:9">
      <c r="A1040" s="1">
        <v>38317</v>
      </c>
      <c r="B1040" s="1">
        <v>39082</v>
      </c>
      <c r="C1040" s="2">
        <f t="shared" si="19"/>
        <v>2.0944558521560577</v>
      </c>
      <c r="D1040" s="3">
        <v>99.5</v>
      </c>
      <c r="E1040" s="2">
        <v>14.6</v>
      </c>
      <c r="F1040" s="3">
        <v>0</v>
      </c>
      <c r="G1040" s="3">
        <v>0</v>
      </c>
      <c r="H1040" s="3">
        <v>99.5</v>
      </c>
      <c r="I1040" s="2">
        <v>14.6</v>
      </c>
    </row>
    <row r="1041" spans="1:9">
      <c r="A1041" s="1">
        <v>38217</v>
      </c>
      <c r="B1041" s="1">
        <v>39082</v>
      </c>
      <c r="C1041" s="2">
        <f t="shared" si="19"/>
        <v>2.3682409308692676</v>
      </c>
      <c r="D1041" s="3">
        <v>99.5</v>
      </c>
      <c r="E1041" s="2">
        <v>14.9</v>
      </c>
      <c r="F1041" s="3">
        <v>0</v>
      </c>
      <c r="G1041" s="3">
        <v>0</v>
      </c>
      <c r="H1041" s="3">
        <v>99.5</v>
      </c>
      <c r="I1041" s="2">
        <v>14.9</v>
      </c>
    </row>
    <row r="1042" spans="1:9">
      <c r="A1042" s="1">
        <v>36647</v>
      </c>
      <c r="B1042" s="1">
        <v>39082</v>
      </c>
      <c r="C1042" s="2">
        <f t="shared" si="19"/>
        <v>6.666666666666667</v>
      </c>
      <c r="D1042" s="3">
        <v>99.5</v>
      </c>
      <c r="E1042" s="2">
        <v>16.399999999999999</v>
      </c>
      <c r="F1042" s="3">
        <v>0</v>
      </c>
      <c r="G1042" s="3">
        <v>1</v>
      </c>
      <c r="H1042" s="3">
        <v>99.5</v>
      </c>
      <c r="I1042" s="2">
        <v>16.399999999999999</v>
      </c>
    </row>
    <row r="1043" spans="1:9">
      <c r="A1043" s="1">
        <v>36732</v>
      </c>
      <c r="B1043" s="1">
        <v>39082</v>
      </c>
      <c r="C1043" s="2">
        <f t="shared" si="19"/>
        <v>6.4339493497604376</v>
      </c>
      <c r="D1043" s="3">
        <v>99.5</v>
      </c>
      <c r="E1043" s="2">
        <v>14.3</v>
      </c>
      <c r="F1043" s="3">
        <v>0</v>
      </c>
      <c r="G1043" s="3">
        <v>0</v>
      </c>
      <c r="H1043" s="3">
        <v>99.5</v>
      </c>
      <c r="I1043" s="2">
        <v>14.3</v>
      </c>
    </row>
    <row r="1044" spans="1:9">
      <c r="A1044" s="1">
        <v>38231</v>
      </c>
      <c r="B1044" s="1">
        <v>39082</v>
      </c>
      <c r="C1044" s="2">
        <f t="shared" si="19"/>
        <v>2.3299110198494182</v>
      </c>
      <c r="D1044" s="3">
        <v>99.6</v>
      </c>
      <c r="E1044" s="2">
        <v>16.100000000000001</v>
      </c>
      <c r="F1044" s="3">
        <v>0</v>
      </c>
      <c r="G1044" s="3">
        <v>0</v>
      </c>
      <c r="H1044" s="3">
        <v>99.6</v>
      </c>
      <c r="I1044" s="2">
        <v>16.100000000000001</v>
      </c>
    </row>
    <row r="1045" spans="1:9">
      <c r="A1045" s="1">
        <v>36854</v>
      </c>
      <c r="B1045" s="1">
        <v>39082</v>
      </c>
      <c r="C1045" s="2">
        <f t="shared" si="19"/>
        <v>6.0999315537303218</v>
      </c>
      <c r="D1045" s="3">
        <v>99.7</v>
      </c>
      <c r="E1045" s="2">
        <v>14.4</v>
      </c>
      <c r="F1045" s="3">
        <v>0</v>
      </c>
      <c r="G1045" s="3">
        <v>0</v>
      </c>
      <c r="H1045" s="3">
        <v>99.7</v>
      </c>
      <c r="I1045" s="2">
        <v>14.4</v>
      </c>
    </row>
    <row r="1046" spans="1:9">
      <c r="A1046" s="1">
        <v>36939</v>
      </c>
      <c r="B1046" s="1">
        <v>39082</v>
      </c>
      <c r="C1046" s="2">
        <f t="shared" si="19"/>
        <v>5.8672142368240934</v>
      </c>
      <c r="D1046" s="3">
        <v>99.7</v>
      </c>
      <c r="E1046" s="2">
        <v>14.3</v>
      </c>
      <c r="F1046" s="3">
        <v>0</v>
      </c>
      <c r="G1046" s="3">
        <v>0</v>
      </c>
      <c r="H1046" s="3">
        <v>99.7</v>
      </c>
      <c r="I1046" s="2">
        <v>14.3</v>
      </c>
    </row>
    <row r="1047" spans="1:9">
      <c r="A1047" s="1">
        <v>37422</v>
      </c>
      <c r="B1047" s="1">
        <v>39082</v>
      </c>
      <c r="C1047" s="2">
        <f t="shared" si="19"/>
        <v>4.5448323066392877</v>
      </c>
      <c r="D1047" s="3">
        <v>99.7</v>
      </c>
      <c r="E1047" s="2">
        <v>13.2</v>
      </c>
      <c r="F1047" s="3">
        <v>0</v>
      </c>
      <c r="G1047" s="3">
        <v>1</v>
      </c>
      <c r="H1047" s="3">
        <v>99.7</v>
      </c>
      <c r="I1047" s="2">
        <v>13.2</v>
      </c>
    </row>
    <row r="1048" spans="1:9">
      <c r="A1048" s="1">
        <v>38194</v>
      </c>
      <c r="B1048" s="1">
        <v>39082</v>
      </c>
      <c r="C1048" s="2">
        <f t="shared" si="19"/>
        <v>2.431211498973306</v>
      </c>
      <c r="D1048" s="3">
        <v>99.8</v>
      </c>
      <c r="E1048" s="2">
        <v>14.2</v>
      </c>
      <c r="F1048" s="3">
        <v>0</v>
      </c>
      <c r="G1048" s="3">
        <v>0</v>
      </c>
      <c r="H1048" s="3">
        <v>99.8</v>
      </c>
      <c r="I1048" s="2">
        <v>14.2</v>
      </c>
    </row>
    <row r="1049" spans="1:9">
      <c r="A1049" s="1">
        <v>38238</v>
      </c>
      <c r="B1049" s="1">
        <v>39082</v>
      </c>
      <c r="C1049" s="2">
        <f t="shared" si="19"/>
        <v>2.3107460643394937</v>
      </c>
      <c r="D1049" s="3">
        <v>99.8</v>
      </c>
      <c r="E1049" s="2">
        <v>14.5</v>
      </c>
      <c r="F1049" s="3">
        <v>0</v>
      </c>
      <c r="G1049" s="3">
        <v>0</v>
      </c>
      <c r="H1049" s="3">
        <v>99.8</v>
      </c>
      <c r="I1049" s="2">
        <v>14.5</v>
      </c>
    </row>
    <row r="1050" spans="1:9">
      <c r="A1050" s="1">
        <v>36762</v>
      </c>
      <c r="B1050" s="1">
        <v>39082</v>
      </c>
      <c r="C1050" s="2">
        <f t="shared" si="19"/>
        <v>6.3518138261464747</v>
      </c>
      <c r="D1050" s="3">
        <v>99.8</v>
      </c>
      <c r="E1050" s="2">
        <v>15.1</v>
      </c>
      <c r="F1050" s="3">
        <v>0</v>
      </c>
      <c r="G1050" s="3">
        <v>0</v>
      </c>
      <c r="H1050" s="3">
        <v>99.8</v>
      </c>
      <c r="I1050" s="2">
        <v>15.1</v>
      </c>
    </row>
    <row r="1051" spans="1:9">
      <c r="A1051" s="1">
        <v>37088</v>
      </c>
      <c r="B1051" s="1">
        <v>39082</v>
      </c>
      <c r="C1051" s="2">
        <f t="shared" si="19"/>
        <v>5.4592744695414099</v>
      </c>
      <c r="D1051" s="3">
        <v>100.1</v>
      </c>
      <c r="E1051" s="2">
        <v>16</v>
      </c>
      <c r="F1051" s="3">
        <v>0</v>
      </c>
      <c r="G1051" s="3">
        <v>1</v>
      </c>
      <c r="H1051" s="3">
        <v>100.1</v>
      </c>
      <c r="I1051" s="2">
        <v>16</v>
      </c>
    </row>
    <row r="1052" spans="1:9">
      <c r="A1052" s="1">
        <v>36662</v>
      </c>
      <c r="B1052" s="1">
        <v>39082</v>
      </c>
      <c r="C1052" s="2">
        <f t="shared" si="19"/>
        <v>6.6255989048596851</v>
      </c>
      <c r="D1052" s="3">
        <v>100.4</v>
      </c>
      <c r="E1052" s="2">
        <v>15.1</v>
      </c>
      <c r="F1052" s="3">
        <v>0</v>
      </c>
      <c r="G1052" s="3">
        <v>1</v>
      </c>
      <c r="H1052" s="3">
        <v>100.4</v>
      </c>
      <c r="I1052" s="2">
        <v>15.1</v>
      </c>
    </row>
    <row r="1053" spans="1:9">
      <c r="A1053" s="1">
        <v>38186</v>
      </c>
      <c r="B1053" s="1">
        <v>39082</v>
      </c>
      <c r="C1053" s="2">
        <f t="shared" si="19"/>
        <v>2.4531143052703626</v>
      </c>
      <c r="D1053" s="3">
        <v>100.5</v>
      </c>
      <c r="E1053" s="2">
        <v>15.4</v>
      </c>
      <c r="F1053" s="3">
        <v>0</v>
      </c>
      <c r="G1053" s="3">
        <v>1</v>
      </c>
      <c r="H1053" s="3">
        <v>100.5</v>
      </c>
      <c r="I1053" s="2">
        <v>15.4</v>
      </c>
    </row>
    <row r="1054" spans="1:9">
      <c r="A1054" s="1">
        <v>36872</v>
      </c>
      <c r="B1054" s="1">
        <v>39082</v>
      </c>
      <c r="C1054" s="2">
        <f t="shared" si="19"/>
        <v>6.0506502395619437</v>
      </c>
      <c r="D1054" s="3">
        <v>100.7</v>
      </c>
      <c r="E1054" s="2">
        <v>15.7</v>
      </c>
      <c r="F1054" s="3">
        <v>0</v>
      </c>
      <c r="G1054" s="3">
        <v>1</v>
      </c>
      <c r="H1054" s="3">
        <v>100.7</v>
      </c>
      <c r="I1054" s="2">
        <v>15.7</v>
      </c>
    </row>
    <row r="1055" spans="1:9">
      <c r="A1055" s="1">
        <v>36786</v>
      </c>
      <c r="B1055" s="1">
        <v>39082</v>
      </c>
      <c r="C1055" s="2">
        <f t="shared" si="19"/>
        <v>6.2861054072553042</v>
      </c>
      <c r="D1055" s="3">
        <v>100.7</v>
      </c>
      <c r="E1055" s="2">
        <v>13.2</v>
      </c>
      <c r="F1055" s="3">
        <v>0</v>
      </c>
      <c r="G1055" s="3">
        <v>1</v>
      </c>
      <c r="H1055" s="3">
        <v>100.7</v>
      </c>
      <c r="I1055" s="2">
        <v>13.2</v>
      </c>
    </row>
    <row r="1056" spans="1:9">
      <c r="A1056" s="1">
        <v>36931</v>
      </c>
      <c r="B1056" s="1">
        <v>39082</v>
      </c>
      <c r="C1056" s="2">
        <f t="shared" si="19"/>
        <v>5.8891170431211499</v>
      </c>
      <c r="D1056" s="3">
        <v>101</v>
      </c>
      <c r="E1056" s="2">
        <v>12.6</v>
      </c>
      <c r="F1056" s="3">
        <v>0</v>
      </c>
      <c r="G1056" s="3">
        <v>0</v>
      </c>
      <c r="H1056" s="3">
        <v>101</v>
      </c>
      <c r="I1056" s="2">
        <v>12.6</v>
      </c>
    </row>
    <row r="1057" spans="1:9">
      <c r="A1057" s="1">
        <v>38241</v>
      </c>
      <c r="B1057" s="1">
        <v>39082</v>
      </c>
      <c r="C1057" s="2">
        <f t="shared" si="19"/>
        <v>2.3025325119780971</v>
      </c>
      <c r="D1057" s="3">
        <v>101</v>
      </c>
      <c r="E1057" s="2">
        <v>14.1</v>
      </c>
      <c r="F1057" s="3">
        <v>0</v>
      </c>
      <c r="G1057" s="3">
        <v>0</v>
      </c>
      <c r="H1057" s="3">
        <v>101</v>
      </c>
      <c r="I1057" s="2">
        <v>14.1</v>
      </c>
    </row>
    <row r="1058" spans="1:9">
      <c r="A1058" s="1">
        <v>36994</v>
      </c>
      <c r="B1058" s="1">
        <v>39082</v>
      </c>
      <c r="C1058" s="2">
        <f t="shared" si="19"/>
        <v>5.7166324435318279</v>
      </c>
      <c r="D1058" s="3">
        <v>101.1</v>
      </c>
      <c r="E1058" s="2">
        <v>15.3</v>
      </c>
      <c r="F1058" s="3">
        <v>0</v>
      </c>
      <c r="G1058" s="3">
        <v>1</v>
      </c>
      <c r="H1058" s="3">
        <v>101.1</v>
      </c>
      <c r="I1058" s="2">
        <v>15.3</v>
      </c>
    </row>
    <row r="1059" spans="1:9">
      <c r="A1059" s="1">
        <v>36844</v>
      </c>
      <c r="B1059" s="1">
        <v>39082</v>
      </c>
      <c r="C1059" s="2">
        <f t="shared" si="19"/>
        <v>6.1273100616016425</v>
      </c>
      <c r="D1059" s="3">
        <v>101.2</v>
      </c>
      <c r="E1059" s="2">
        <v>16.8</v>
      </c>
      <c r="F1059" s="3">
        <v>0</v>
      </c>
      <c r="G1059" s="3">
        <v>0</v>
      </c>
      <c r="H1059" s="3">
        <v>101.2</v>
      </c>
      <c r="I1059" s="2">
        <v>16.8</v>
      </c>
    </row>
    <row r="1060" spans="1:9">
      <c r="A1060" s="1">
        <v>38020</v>
      </c>
      <c r="B1060" s="1">
        <v>39082</v>
      </c>
      <c r="C1060" s="2">
        <f t="shared" si="19"/>
        <v>2.9075975359342916</v>
      </c>
      <c r="D1060" s="3">
        <v>101.4</v>
      </c>
      <c r="E1060" s="2">
        <v>18.7</v>
      </c>
      <c r="F1060" s="3">
        <v>0</v>
      </c>
      <c r="G1060" s="3">
        <v>1</v>
      </c>
      <c r="H1060" s="3">
        <v>101.4</v>
      </c>
      <c r="I1060" s="2">
        <v>18.7</v>
      </c>
    </row>
    <row r="1061" spans="1:9">
      <c r="A1061" s="1">
        <v>36745</v>
      </c>
      <c r="B1061" s="1">
        <v>39082</v>
      </c>
      <c r="C1061" s="2">
        <f t="shared" si="19"/>
        <v>6.3983572895277208</v>
      </c>
      <c r="D1061" s="3">
        <v>101.5</v>
      </c>
      <c r="E1061" s="2">
        <v>14.5</v>
      </c>
      <c r="F1061" s="3">
        <v>0</v>
      </c>
      <c r="G1061" s="3">
        <v>1</v>
      </c>
      <c r="H1061" s="3">
        <v>101.5</v>
      </c>
      <c r="I1061" s="2">
        <v>14.5</v>
      </c>
    </row>
    <row r="1062" spans="1:9">
      <c r="A1062" s="1">
        <v>38032</v>
      </c>
      <c r="B1062" s="1">
        <v>39082</v>
      </c>
      <c r="C1062" s="2">
        <f t="shared" si="19"/>
        <v>2.8747433264887063</v>
      </c>
      <c r="D1062" s="3">
        <v>101.8</v>
      </c>
      <c r="E1062" s="2">
        <v>16</v>
      </c>
      <c r="F1062" s="3">
        <v>0</v>
      </c>
      <c r="G1062" s="3">
        <v>0</v>
      </c>
      <c r="H1062" s="3">
        <v>101.8</v>
      </c>
      <c r="I1062" s="2">
        <v>16</v>
      </c>
    </row>
    <row r="1063" spans="1:9">
      <c r="A1063" s="1">
        <v>38236</v>
      </c>
      <c r="B1063" s="1">
        <v>39082</v>
      </c>
      <c r="C1063" s="2">
        <f t="shared" si="19"/>
        <v>2.3162217659137578</v>
      </c>
      <c r="D1063" s="3">
        <v>102</v>
      </c>
      <c r="E1063" s="2">
        <v>16.100000000000001</v>
      </c>
      <c r="F1063" s="3">
        <v>0</v>
      </c>
      <c r="G1063" s="3">
        <v>0</v>
      </c>
      <c r="H1063" s="3">
        <v>102</v>
      </c>
      <c r="I1063" s="2">
        <v>16.100000000000001</v>
      </c>
    </row>
    <row r="1064" spans="1:9">
      <c r="A1064" s="1">
        <v>38276</v>
      </c>
      <c r="B1064" s="1">
        <v>39082</v>
      </c>
      <c r="C1064" s="2">
        <f t="shared" si="19"/>
        <v>2.2067077344284738</v>
      </c>
      <c r="D1064" s="3">
        <v>102</v>
      </c>
      <c r="E1064" s="2">
        <v>14.5</v>
      </c>
      <c r="F1064" s="3">
        <v>0</v>
      </c>
      <c r="G1064" s="3">
        <v>1</v>
      </c>
      <c r="H1064" s="3">
        <v>102</v>
      </c>
      <c r="I1064" s="2">
        <v>14.5</v>
      </c>
    </row>
    <row r="1065" spans="1:9">
      <c r="A1065" s="1">
        <v>38108</v>
      </c>
      <c r="B1065" s="1">
        <v>39082</v>
      </c>
      <c r="C1065" s="2">
        <f t="shared" si="19"/>
        <v>2.6666666666666665</v>
      </c>
      <c r="D1065" s="3">
        <v>102</v>
      </c>
      <c r="E1065" s="2">
        <v>14.3</v>
      </c>
      <c r="F1065" s="3">
        <v>0</v>
      </c>
      <c r="G1065" s="3">
        <v>0</v>
      </c>
      <c r="H1065" s="3">
        <v>102</v>
      </c>
      <c r="I1065" s="2">
        <v>14.3</v>
      </c>
    </row>
    <row r="1066" spans="1:9">
      <c r="A1066" s="1">
        <v>38341</v>
      </c>
      <c r="B1066" s="1">
        <v>39082</v>
      </c>
      <c r="C1066" s="2">
        <f t="shared" si="19"/>
        <v>2.0287474332648872</v>
      </c>
      <c r="D1066" s="3">
        <v>102.3</v>
      </c>
      <c r="E1066" s="2">
        <v>15.4</v>
      </c>
      <c r="F1066" s="3">
        <v>0</v>
      </c>
      <c r="G1066" s="3">
        <v>0</v>
      </c>
      <c r="H1066" s="3">
        <v>102.3</v>
      </c>
      <c r="I1066" s="2">
        <v>15.4</v>
      </c>
    </row>
    <row r="1067" spans="1:9">
      <c r="A1067" s="1">
        <v>38092</v>
      </c>
      <c r="B1067" s="1">
        <v>39082</v>
      </c>
      <c r="C1067" s="2">
        <f t="shared" si="19"/>
        <v>2.7104722792607805</v>
      </c>
      <c r="D1067" s="3">
        <v>102.3</v>
      </c>
      <c r="E1067" s="2">
        <v>15.4</v>
      </c>
      <c r="F1067" s="3">
        <v>0</v>
      </c>
      <c r="G1067" s="3">
        <v>0</v>
      </c>
      <c r="H1067" s="3">
        <v>102.3</v>
      </c>
      <c r="I1067" s="2">
        <v>15.4</v>
      </c>
    </row>
    <row r="1068" spans="1:9">
      <c r="A1068" s="1">
        <v>36825</v>
      </c>
      <c r="B1068" s="1">
        <v>39082</v>
      </c>
      <c r="C1068" s="2">
        <f t="shared" si="19"/>
        <v>6.1793292265571527</v>
      </c>
      <c r="D1068" s="3">
        <v>102.5</v>
      </c>
      <c r="E1068" s="2">
        <v>15.6</v>
      </c>
      <c r="F1068" s="3">
        <v>0</v>
      </c>
      <c r="G1068" s="3">
        <v>1</v>
      </c>
      <c r="H1068" s="3">
        <v>102.5</v>
      </c>
      <c r="I1068" s="2">
        <v>15.6</v>
      </c>
    </row>
    <row r="1069" spans="1:9">
      <c r="A1069" s="1">
        <v>38164</v>
      </c>
      <c r="B1069" s="1">
        <v>39082</v>
      </c>
      <c r="C1069" s="2">
        <f t="shared" si="19"/>
        <v>2.5133470225872689</v>
      </c>
      <c r="D1069" s="3">
        <v>102.5</v>
      </c>
      <c r="E1069" s="2">
        <v>14.2</v>
      </c>
      <c r="F1069" s="3">
        <v>0</v>
      </c>
      <c r="G1069" s="3">
        <v>0</v>
      </c>
      <c r="H1069" s="3">
        <v>102.5</v>
      </c>
      <c r="I1069" s="2">
        <v>14.2</v>
      </c>
    </row>
    <row r="1070" spans="1:9">
      <c r="A1070" s="1">
        <v>36823</v>
      </c>
      <c r="B1070" s="1">
        <v>39082</v>
      </c>
      <c r="C1070" s="2">
        <f t="shared" si="19"/>
        <v>6.1848049281314168</v>
      </c>
      <c r="D1070" s="3">
        <v>103.3</v>
      </c>
      <c r="E1070" s="2">
        <v>14.4</v>
      </c>
      <c r="F1070" s="3">
        <v>0</v>
      </c>
      <c r="G1070" s="3">
        <v>1</v>
      </c>
      <c r="H1070" s="3">
        <v>103.3</v>
      </c>
      <c r="I1070" s="2">
        <v>14.4</v>
      </c>
    </row>
    <row r="1071" spans="1:9">
      <c r="A1071" s="1">
        <v>36747</v>
      </c>
      <c r="B1071" s="1">
        <v>39082</v>
      </c>
      <c r="C1071" s="2">
        <f t="shared" si="19"/>
        <v>6.3928815879534566</v>
      </c>
      <c r="D1071" s="3">
        <v>103.5</v>
      </c>
      <c r="E1071" s="2">
        <v>12.2</v>
      </c>
      <c r="F1071" s="3">
        <v>0</v>
      </c>
      <c r="G1071" s="3">
        <v>0</v>
      </c>
      <c r="H1071" s="3">
        <v>103.5</v>
      </c>
      <c r="I1071" s="2">
        <v>12.2</v>
      </c>
    </row>
    <row r="1072" spans="1:9">
      <c r="A1072" s="1">
        <v>38132</v>
      </c>
      <c r="B1072" s="1">
        <v>39082</v>
      </c>
      <c r="C1072" s="2">
        <f t="shared" si="19"/>
        <v>2.6009582477754964</v>
      </c>
      <c r="D1072" s="3">
        <v>103.6</v>
      </c>
      <c r="E1072" s="2">
        <v>16</v>
      </c>
      <c r="F1072" s="3">
        <v>0</v>
      </c>
      <c r="G1072" s="3">
        <v>0</v>
      </c>
      <c r="H1072" s="3">
        <v>103.6</v>
      </c>
      <c r="I1072" s="2">
        <v>16</v>
      </c>
    </row>
    <row r="1073" spans="1:9">
      <c r="A1073" s="1">
        <v>36677</v>
      </c>
      <c r="B1073" s="1">
        <v>39082</v>
      </c>
      <c r="C1073" s="2">
        <f t="shared" si="19"/>
        <v>6.584531143052704</v>
      </c>
      <c r="D1073" s="3">
        <v>103.6</v>
      </c>
      <c r="E1073" s="2">
        <v>15.8</v>
      </c>
      <c r="F1073" s="3">
        <v>0</v>
      </c>
      <c r="G1073" s="3">
        <v>1</v>
      </c>
      <c r="H1073" s="3">
        <v>103.6</v>
      </c>
      <c r="I1073" s="2">
        <v>15.8</v>
      </c>
    </row>
    <row r="1074" spans="1:9">
      <c r="A1074" s="1">
        <v>38153</v>
      </c>
      <c r="B1074" s="1">
        <v>39082</v>
      </c>
      <c r="C1074" s="2">
        <f t="shared" si="19"/>
        <v>2.5434633812457221</v>
      </c>
      <c r="D1074" s="3">
        <v>104</v>
      </c>
      <c r="E1074" s="2">
        <v>15.6</v>
      </c>
      <c r="F1074" s="3">
        <v>0</v>
      </c>
      <c r="G1074" s="3">
        <v>1</v>
      </c>
      <c r="H1074" s="3">
        <v>104</v>
      </c>
      <c r="I1074" s="2">
        <v>15.6</v>
      </c>
    </row>
    <row r="1075" spans="1:9">
      <c r="A1075" s="1">
        <v>36797</v>
      </c>
      <c r="B1075" s="1">
        <v>39082</v>
      </c>
      <c r="C1075" s="2">
        <f t="shared" si="19"/>
        <v>6.2559890485968515</v>
      </c>
      <c r="D1075" s="3">
        <v>105</v>
      </c>
      <c r="E1075" s="2">
        <v>13.4</v>
      </c>
      <c r="F1075" s="3">
        <v>0</v>
      </c>
      <c r="G1075" s="3">
        <v>1</v>
      </c>
      <c r="H1075" s="3">
        <v>105</v>
      </c>
      <c r="I1075" s="2">
        <v>13.4</v>
      </c>
    </row>
    <row r="1076" spans="1:9">
      <c r="A1076" s="1">
        <v>36985</v>
      </c>
      <c r="B1076" s="1">
        <v>39082</v>
      </c>
      <c r="C1076" s="2">
        <f t="shared" si="19"/>
        <v>5.7412731006160165</v>
      </c>
      <c r="D1076" s="3">
        <v>105.2</v>
      </c>
      <c r="E1076" s="2">
        <v>15.7</v>
      </c>
      <c r="F1076" s="3">
        <v>0</v>
      </c>
      <c r="G1076" s="3">
        <v>0</v>
      </c>
      <c r="H1076" s="3">
        <v>105.2</v>
      </c>
      <c r="I1076" s="2">
        <v>15.7</v>
      </c>
    </row>
    <row r="1077" spans="1:9">
      <c r="A1077" s="1">
        <v>36678</v>
      </c>
      <c r="B1077" s="1">
        <v>39082</v>
      </c>
      <c r="C1077" s="2">
        <f t="shared" si="19"/>
        <v>6.5817932922655711</v>
      </c>
      <c r="D1077" s="3">
        <v>105.3</v>
      </c>
      <c r="E1077" s="2">
        <v>16.5</v>
      </c>
      <c r="F1077" s="3">
        <v>0</v>
      </c>
      <c r="G1077" s="3">
        <v>1</v>
      </c>
      <c r="H1077" s="3">
        <v>105.3</v>
      </c>
      <c r="I1077" s="2">
        <v>16.5</v>
      </c>
    </row>
    <row r="1078" spans="1:9">
      <c r="A1078" s="1">
        <v>36669</v>
      </c>
      <c r="B1078" s="1">
        <v>39082</v>
      </c>
      <c r="C1078" s="2">
        <f t="shared" si="19"/>
        <v>6.6064339493497606</v>
      </c>
      <c r="D1078" s="3">
        <v>105.5</v>
      </c>
      <c r="E1078" s="2">
        <v>17.7</v>
      </c>
      <c r="F1078" s="3">
        <v>0</v>
      </c>
      <c r="G1078" s="3">
        <v>1</v>
      </c>
      <c r="H1078" s="3">
        <v>105.5</v>
      </c>
      <c r="I1078" s="2">
        <v>17.7</v>
      </c>
    </row>
    <row r="1079" spans="1:9">
      <c r="A1079" s="1">
        <v>36662</v>
      </c>
      <c r="B1079" s="1">
        <v>39082</v>
      </c>
      <c r="C1079" s="2">
        <f t="shared" si="19"/>
        <v>6.6255989048596851</v>
      </c>
      <c r="D1079" s="3">
        <v>105.8</v>
      </c>
      <c r="E1079" s="2">
        <v>15.5</v>
      </c>
      <c r="F1079" s="3">
        <v>0</v>
      </c>
      <c r="G1079" s="3">
        <v>0</v>
      </c>
      <c r="H1079" s="3">
        <v>105.8</v>
      </c>
      <c r="I1079" s="2">
        <v>15.5</v>
      </c>
    </row>
    <row r="1080" spans="1:9">
      <c r="A1080" s="1">
        <v>38092</v>
      </c>
      <c r="B1080" s="1">
        <v>39082</v>
      </c>
      <c r="C1080" s="2">
        <f t="shared" si="19"/>
        <v>2.7104722792607805</v>
      </c>
      <c r="D1080" s="3">
        <v>106.2</v>
      </c>
      <c r="E1080" s="2">
        <v>15.6</v>
      </c>
      <c r="F1080" s="3">
        <v>0</v>
      </c>
      <c r="G1080" s="3">
        <v>0</v>
      </c>
      <c r="H1080" s="3">
        <v>106.2</v>
      </c>
      <c r="I1080" s="2">
        <v>15.6</v>
      </c>
    </row>
    <row r="1081" spans="1:9">
      <c r="A1081" s="1">
        <v>38148</v>
      </c>
      <c r="B1081" s="1">
        <v>39082</v>
      </c>
      <c r="C1081" s="2">
        <f t="shared" si="19"/>
        <v>2.5571526351813825</v>
      </c>
      <c r="D1081" s="3">
        <v>110.1</v>
      </c>
      <c r="E1081" s="2">
        <v>14.4</v>
      </c>
      <c r="F1081" s="3">
        <v>0</v>
      </c>
      <c r="G1081" s="3">
        <v>1</v>
      </c>
      <c r="H1081" s="3">
        <v>110.1</v>
      </c>
      <c r="I1081" s="2">
        <v>14.4</v>
      </c>
    </row>
  </sheetData>
  <mergeCells count="1">
    <mergeCell ref="L44:N44"/>
  </mergeCell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C4D8B-47A0-48EE-9175-F38847127557}">
  <sheetPr filterMode="1"/>
  <dimension ref="A1:O1081"/>
  <sheetViews>
    <sheetView workbookViewId="0">
      <selection activeCell="I54" sqref="I54"/>
    </sheetView>
  </sheetViews>
  <sheetFormatPr defaultRowHeight="14.4"/>
  <cols>
    <col min="4" max="4" width="9.77734375" bestFit="1" customWidth="1"/>
    <col min="7" max="7" width="16.21875" bestFit="1" customWidth="1"/>
    <col min="8" max="10" width="21.109375" bestFit="1" customWidth="1"/>
    <col min="13" max="13" width="18.21875" bestFit="1" customWidth="1"/>
    <col min="14" max="14" width="13.44140625" customWidth="1"/>
  </cols>
  <sheetData>
    <row r="1" spans="1:15">
      <c r="A1" t="s">
        <v>1</v>
      </c>
      <c r="B1" t="s">
        <v>2</v>
      </c>
      <c r="C1" t="s">
        <v>17</v>
      </c>
      <c r="D1" s="11" t="s">
        <v>1238</v>
      </c>
      <c r="E1" s="11" t="s">
        <v>1239</v>
      </c>
      <c r="F1" s="11" t="s">
        <v>1240</v>
      </c>
    </row>
    <row r="2" spans="1:15">
      <c r="A2" s="3">
        <v>3</v>
      </c>
      <c r="B2" s="3">
        <v>1</v>
      </c>
      <c r="C2" s="3">
        <v>54.8</v>
      </c>
      <c r="D2" s="3">
        <v>65</v>
      </c>
      <c r="E2" s="3">
        <v>67.8</v>
      </c>
      <c r="F2" s="3">
        <v>54.8</v>
      </c>
    </row>
    <row r="3" spans="1:15">
      <c r="A3" s="3">
        <v>3</v>
      </c>
      <c r="B3" s="3">
        <v>1</v>
      </c>
      <c r="C3" s="3">
        <v>60.6</v>
      </c>
      <c r="D3" s="3">
        <v>65.599999999999994</v>
      </c>
      <c r="E3" s="3">
        <v>70.400000000000006</v>
      </c>
      <c r="F3" s="3">
        <v>60.6</v>
      </c>
    </row>
    <row r="4" spans="1:15" hidden="1">
      <c r="A4" s="3">
        <v>1</v>
      </c>
      <c r="B4" s="3">
        <v>1</v>
      </c>
      <c r="C4" s="3">
        <v>65</v>
      </c>
      <c r="D4" s="3">
        <v>67.7</v>
      </c>
      <c r="E4" s="3">
        <v>71.8</v>
      </c>
      <c r="F4" s="3">
        <v>66.5</v>
      </c>
    </row>
    <row r="5" spans="1:15" ht="18" hidden="1">
      <c r="A5" s="3">
        <v>1</v>
      </c>
      <c r="B5" s="3">
        <v>1</v>
      </c>
      <c r="C5" s="3">
        <v>65.599999999999994</v>
      </c>
      <c r="D5" s="3">
        <v>68.3</v>
      </c>
      <c r="E5" s="3">
        <v>76.400000000000006</v>
      </c>
      <c r="F5" s="3">
        <v>66.5</v>
      </c>
      <c r="G5" s="23" t="s">
        <v>1189</v>
      </c>
      <c r="H5" s="23"/>
      <c r="I5" s="23"/>
      <c r="J5" s="23"/>
      <c r="K5" s="23"/>
    </row>
    <row r="6" spans="1:15">
      <c r="A6" s="3">
        <v>3</v>
      </c>
      <c r="B6" s="3">
        <v>1</v>
      </c>
      <c r="C6" s="3">
        <v>66.5</v>
      </c>
      <c r="D6" s="3">
        <v>74.3</v>
      </c>
      <c r="E6" s="3">
        <v>77.7</v>
      </c>
      <c r="F6" s="3">
        <v>67.8</v>
      </c>
      <c r="M6" s="6" t="s">
        <v>1196</v>
      </c>
      <c r="N6">
        <f>(H8+H9)/(I8+I9)</f>
        <v>0.38530734632683661</v>
      </c>
    </row>
    <row r="7" spans="1:15">
      <c r="A7" s="3">
        <v>3</v>
      </c>
      <c r="B7" s="3">
        <v>1</v>
      </c>
      <c r="C7" s="3">
        <v>66.5</v>
      </c>
      <c r="D7" s="3">
        <v>74.5</v>
      </c>
      <c r="E7" s="3">
        <v>80.099999999999994</v>
      </c>
      <c r="F7" s="3">
        <v>68.099999999999994</v>
      </c>
      <c r="G7" s="12" t="s">
        <v>1190</v>
      </c>
      <c r="H7" s="8" t="s">
        <v>1195</v>
      </c>
      <c r="I7" s="8" t="s">
        <v>1185</v>
      </c>
      <c r="J7" s="8" t="s">
        <v>1191</v>
      </c>
      <c r="K7" s="7"/>
      <c r="M7" s="6" t="s">
        <v>1186</v>
      </c>
      <c r="N7">
        <f>SQRT(N6*(1-N6)*(1/I8+1/I9))</f>
        <v>3.7752298335462203E-2</v>
      </c>
    </row>
    <row r="8" spans="1:15" hidden="1">
      <c r="A8" s="3">
        <v>1</v>
      </c>
      <c r="B8" s="3">
        <v>1</v>
      </c>
      <c r="C8" s="3">
        <v>67.7</v>
      </c>
      <c r="D8" s="3">
        <v>74.5</v>
      </c>
      <c r="E8" s="3">
        <v>83</v>
      </c>
      <c r="F8" s="3">
        <v>69.5</v>
      </c>
      <c r="G8" s="7">
        <v>1</v>
      </c>
      <c r="H8" s="7">
        <f>COUNTIFS(A:A,1,B:B,1)</f>
        <v>99</v>
      </c>
      <c r="I8" s="8">
        <f>COUNTIF(A:A,1)</f>
        <v>314</v>
      </c>
      <c r="J8" s="7">
        <f>AVERAGEIF(A:A,G8,B:B)</f>
        <v>0.31528662420382164</v>
      </c>
      <c r="K8" s="7">
        <f xml:space="preserve"> H8/I8</f>
        <v>0.31528662420382164</v>
      </c>
      <c r="M8" s="6" t="s">
        <v>1197</v>
      </c>
      <c r="N8">
        <f>(K8-K9)/N7</f>
        <v>-3.5045665990768908</v>
      </c>
    </row>
    <row r="9" spans="1:15">
      <c r="A9" s="3">
        <v>3</v>
      </c>
      <c r="B9" s="3">
        <v>1</v>
      </c>
      <c r="C9" s="3">
        <v>67.8</v>
      </c>
      <c r="D9" s="3">
        <v>74.7</v>
      </c>
      <c r="E9" s="3">
        <v>85</v>
      </c>
      <c r="F9" s="3">
        <v>71.3</v>
      </c>
      <c r="G9" s="7">
        <v>2</v>
      </c>
      <c r="H9" s="7">
        <f>COUNTIFS(A:A,2,B:B,1)</f>
        <v>158</v>
      </c>
      <c r="I9" s="8">
        <f>COUNTIF(A:A,2)</f>
        <v>353</v>
      </c>
      <c r="J9" s="7">
        <f>AVERAGEIF(A:A,G9,B:B)</f>
        <v>0.44759206798866857</v>
      </c>
      <c r="K9" s="7">
        <f xml:space="preserve"> H9/I9</f>
        <v>0.44759206798866857</v>
      </c>
      <c r="M9" s="6" t="s">
        <v>1198</v>
      </c>
      <c r="N9">
        <f>2*(1-_xlfn.NORM.S.DIST(ABS(N8),TRUE))</f>
        <v>4.5735115917322489E-4</v>
      </c>
      <c r="O9" s="6" t="s">
        <v>1199</v>
      </c>
    </row>
    <row r="10" spans="1:15" hidden="1">
      <c r="A10" s="3">
        <v>2</v>
      </c>
      <c r="B10" s="3">
        <v>1</v>
      </c>
      <c r="C10" s="3">
        <v>67.8</v>
      </c>
      <c r="D10" s="3">
        <v>75.5</v>
      </c>
      <c r="E10" s="3">
        <v>85.3</v>
      </c>
      <c r="F10" s="3">
        <v>72.3</v>
      </c>
      <c r="G10" s="11" t="s">
        <v>1202</v>
      </c>
      <c r="I10" s="6"/>
    </row>
    <row r="11" spans="1:15" ht="18">
      <c r="A11" s="3">
        <v>3</v>
      </c>
      <c r="B11" s="3">
        <v>1</v>
      </c>
      <c r="C11" s="3">
        <v>68.099999999999994</v>
      </c>
      <c r="D11" s="3">
        <v>94.1</v>
      </c>
      <c r="E11" s="3">
        <v>89.1</v>
      </c>
      <c r="F11" s="3">
        <v>77.5</v>
      </c>
      <c r="G11" s="23" t="s">
        <v>1192</v>
      </c>
      <c r="H11" s="23"/>
      <c r="I11" s="23"/>
      <c r="J11" s="23"/>
      <c r="K11" s="23"/>
    </row>
    <row r="12" spans="1:15" hidden="1">
      <c r="A12" s="3">
        <v>1</v>
      </c>
      <c r="B12" s="3">
        <v>1</v>
      </c>
      <c r="C12" s="3">
        <v>68.3</v>
      </c>
      <c r="D12" s="3">
        <v>95.1</v>
      </c>
      <c r="E12" s="3">
        <v>89.6</v>
      </c>
      <c r="F12" s="3">
        <v>79</v>
      </c>
      <c r="G12" s="13" t="s">
        <v>1200</v>
      </c>
      <c r="H12" s="8" t="s">
        <v>1185</v>
      </c>
      <c r="I12" s="7" t="s">
        <v>1200</v>
      </c>
    </row>
    <row r="13" spans="1:15">
      <c r="A13" s="3">
        <v>3</v>
      </c>
      <c r="B13" s="3">
        <v>1</v>
      </c>
      <c r="C13" s="3">
        <v>69.5</v>
      </c>
      <c r="D13" s="3">
        <v>96</v>
      </c>
      <c r="E13" s="3">
        <v>90.8</v>
      </c>
      <c r="F13" s="3">
        <v>92.4</v>
      </c>
      <c r="G13" s="7">
        <v>1</v>
      </c>
      <c r="H13" s="7">
        <f>COUNTIF(A:A,G13)</f>
        <v>314</v>
      </c>
      <c r="I13" s="7">
        <f>AVERAGEIFS(C:C,A:A,G13)</f>
        <v>82.095859872611442</v>
      </c>
    </row>
    <row r="14" spans="1:15" hidden="1">
      <c r="A14" s="3">
        <v>2</v>
      </c>
      <c r="B14" s="3">
        <v>1</v>
      </c>
      <c r="C14" s="3">
        <v>70.400000000000006</v>
      </c>
      <c r="D14" s="3">
        <v>102</v>
      </c>
      <c r="E14" s="3">
        <v>93.4</v>
      </c>
      <c r="F14" s="3">
        <v>92.4</v>
      </c>
      <c r="G14" s="7">
        <v>2</v>
      </c>
      <c r="H14" s="7">
        <f>COUNTIF(A:A,G14)</f>
        <v>353</v>
      </c>
      <c r="I14" s="7">
        <f>AVERAGEIFS(C:C,A:A,G14)</f>
        <v>80.280169971671455</v>
      </c>
    </row>
    <row r="15" spans="1:15">
      <c r="A15" s="3">
        <v>3</v>
      </c>
      <c r="B15" s="3">
        <v>1</v>
      </c>
      <c r="C15" s="3">
        <v>71.3</v>
      </c>
      <c r="D15" s="3">
        <v>48.5</v>
      </c>
      <c r="E15" s="3">
        <v>95.9</v>
      </c>
      <c r="F15" s="3">
        <v>92.7</v>
      </c>
    </row>
    <row r="16" spans="1:15" hidden="1">
      <c r="A16" s="3">
        <v>2</v>
      </c>
      <c r="B16" s="3">
        <v>0</v>
      </c>
      <c r="C16" s="3">
        <v>71.8</v>
      </c>
      <c r="D16" s="3">
        <v>50</v>
      </c>
      <c r="E16" s="3">
        <v>96.4</v>
      </c>
      <c r="F16" s="3">
        <v>93.3</v>
      </c>
      <c r="G16" s="6" t="s">
        <v>1198</v>
      </c>
      <c r="H16" cm="1">
        <f t="array" ref="H16">_xlfn.T.TEST(IF(A:A =1, C:C), IF(A:A = 2, C:C), 2, 3)</f>
        <v>5.0573204371948795E-2</v>
      </c>
    </row>
    <row r="17" spans="1:7">
      <c r="A17" s="3">
        <v>3</v>
      </c>
      <c r="B17" s="3">
        <v>1</v>
      </c>
      <c r="C17" s="3">
        <v>72.3</v>
      </c>
      <c r="D17" s="3">
        <v>53.3</v>
      </c>
      <c r="E17" s="3">
        <v>60</v>
      </c>
      <c r="F17" s="3">
        <v>101.2</v>
      </c>
      <c r="G17" s="11" t="s">
        <v>1201</v>
      </c>
    </row>
    <row r="18" spans="1:7" hidden="1">
      <c r="A18" s="3">
        <v>1</v>
      </c>
      <c r="B18" s="3">
        <v>1</v>
      </c>
      <c r="C18" s="3">
        <v>74.3</v>
      </c>
      <c r="D18" s="3">
        <v>54.5</v>
      </c>
      <c r="E18" s="3">
        <v>70</v>
      </c>
      <c r="F18" s="3">
        <v>101.4</v>
      </c>
    </row>
    <row r="19" spans="1:7" hidden="1">
      <c r="A19" s="3">
        <v>1</v>
      </c>
      <c r="B19" s="3">
        <v>1</v>
      </c>
      <c r="C19" s="3">
        <v>74.5</v>
      </c>
      <c r="D19" s="3">
        <v>55.5</v>
      </c>
      <c r="E19" s="3">
        <v>90</v>
      </c>
      <c r="F19" s="3">
        <v>55</v>
      </c>
    </row>
    <row r="20" spans="1:7" hidden="1">
      <c r="A20" s="3">
        <v>1</v>
      </c>
      <c r="B20" s="3">
        <v>1</v>
      </c>
      <c r="C20" s="3">
        <v>74.5</v>
      </c>
      <c r="D20" s="3">
        <v>55.5</v>
      </c>
      <c r="E20" s="3">
        <v>51.2</v>
      </c>
      <c r="F20" s="3">
        <v>95</v>
      </c>
    </row>
    <row r="21" spans="1:7" hidden="1">
      <c r="A21" s="3">
        <v>1</v>
      </c>
      <c r="B21" s="3">
        <v>0</v>
      </c>
      <c r="C21" s="3">
        <v>74.7</v>
      </c>
      <c r="D21" s="3">
        <v>57</v>
      </c>
      <c r="E21" s="3">
        <v>52.8</v>
      </c>
      <c r="F21" s="3">
        <v>51.2</v>
      </c>
    </row>
    <row r="22" spans="1:7" hidden="1">
      <c r="A22" s="3">
        <v>1</v>
      </c>
      <c r="B22" s="3">
        <v>1</v>
      </c>
      <c r="C22" s="3">
        <v>75.5</v>
      </c>
      <c r="D22" s="3">
        <v>58.5</v>
      </c>
      <c r="E22" s="3">
        <v>52.8</v>
      </c>
      <c r="F22" s="3">
        <v>51.5</v>
      </c>
      <c r="G22" s="6" t="s">
        <v>1193</v>
      </c>
    </row>
    <row r="23" spans="1:7" hidden="1">
      <c r="A23" s="3">
        <v>2</v>
      </c>
      <c r="B23" s="3">
        <v>1</v>
      </c>
      <c r="C23" s="3">
        <v>76.400000000000006</v>
      </c>
      <c r="D23" s="3">
        <v>59</v>
      </c>
      <c r="E23" s="3">
        <v>53.6</v>
      </c>
      <c r="F23" s="3">
        <v>51.7</v>
      </c>
      <c r="G23" s="6" t="s">
        <v>1194</v>
      </c>
    </row>
    <row r="24" spans="1:7">
      <c r="A24" s="3">
        <v>3</v>
      </c>
      <c r="B24" s="3">
        <v>1</v>
      </c>
      <c r="C24" s="3">
        <v>77.5</v>
      </c>
      <c r="D24" s="3">
        <v>59.4</v>
      </c>
      <c r="E24" s="3">
        <v>54</v>
      </c>
      <c r="F24" s="3">
        <v>51.7</v>
      </c>
    </row>
    <row r="25" spans="1:7" hidden="1">
      <c r="A25" s="3">
        <v>2</v>
      </c>
      <c r="B25" s="3">
        <v>0</v>
      </c>
      <c r="C25" s="3">
        <v>77.7</v>
      </c>
      <c r="D25" s="3">
        <v>59.8</v>
      </c>
      <c r="E25" s="3">
        <v>55</v>
      </c>
      <c r="F25" s="3">
        <v>52</v>
      </c>
    </row>
    <row r="26" spans="1:7">
      <c r="A26" s="3">
        <v>3</v>
      </c>
      <c r="B26" s="3">
        <v>1</v>
      </c>
      <c r="C26" s="3">
        <v>79</v>
      </c>
      <c r="D26" s="3">
        <v>60.5</v>
      </c>
      <c r="E26" s="3">
        <v>55.6</v>
      </c>
      <c r="F26" s="3">
        <v>55.4</v>
      </c>
    </row>
    <row r="27" spans="1:7" hidden="1">
      <c r="A27" s="3">
        <v>2</v>
      </c>
      <c r="B27" s="3">
        <v>1</v>
      </c>
      <c r="C27" s="3">
        <v>80.099999999999994</v>
      </c>
      <c r="D27" s="3">
        <v>61.5</v>
      </c>
      <c r="E27" s="3">
        <v>55.9</v>
      </c>
      <c r="F27" s="3">
        <v>55.5</v>
      </c>
    </row>
    <row r="28" spans="1:7" hidden="1">
      <c r="A28" s="3">
        <v>2</v>
      </c>
      <c r="B28" s="3">
        <v>0</v>
      </c>
      <c r="C28" s="3">
        <v>83</v>
      </c>
      <c r="D28" s="3">
        <v>61.8</v>
      </c>
      <c r="E28" s="3">
        <v>56.4</v>
      </c>
      <c r="F28" s="3">
        <v>55.6</v>
      </c>
    </row>
    <row r="29" spans="1:7" hidden="1">
      <c r="A29" s="3">
        <v>2</v>
      </c>
      <c r="B29" s="3">
        <v>0</v>
      </c>
      <c r="C29" s="3">
        <v>85</v>
      </c>
      <c r="D29" s="3">
        <v>62.2</v>
      </c>
      <c r="E29" s="3">
        <v>56.6</v>
      </c>
      <c r="F29" s="3">
        <v>55.8</v>
      </c>
    </row>
    <row r="30" spans="1:7" hidden="1">
      <c r="A30" s="3">
        <v>2</v>
      </c>
      <c r="B30" s="3">
        <v>0</v>
      </c>
      <c r="C30" s="3">
        <v>85.3</v>
      </c>
      <c r="D30" s="3">
        <v>62.7</v>
      </c>
      <c r="E30" s="3">
        <v>57.3</v>
      </c>
      <c r="F30" s="3">
        <v>56.2</v>
      </c>
    </row>
    <row r="31" spans="1:7" hidden="1">
      <c r="A31" s="3">
        <v>2</v>
      </c>
      <c r="B31" s="3">
        <v>0</v>
      </c>
      <c r="C31" s="3">
        <v>89.1</v>
      </c>
      <c r="D31" s="3">
        <v>63</v>
      </c>
      <c r="E31" s="3">
        <v>57.9</v>
      </c>
      <c r="F31" s="3">
        <v>57</v>
      </c>
    </row>
    <row r="32" spans="1:7" hidden="1">
      <c r="A32" s="3">
        <v>2</v>
      </c>
      <c r="B32" s="3">
        <v>0</v>
      </c>
      <c r="C32" s="3">
        <v>89.6</v>
      </c>
      <c r="D32" s="3">
        <v>63.2</v>
      </c>
      <c r="E32" s="3">
        <v>58.2</v>
      </c>
      <c r="F32" s="3">
        <v>57.8</v>
      </c>
    </row>
    <row r="33" spans="1:6" hidden="1">
      <c r="A33" s="3">
        <v>2</v>
      </c>
      <c r="B33" s="3">
        <v>0</v>
      </c>
      <c r="C33" s="3">
        <v>90.8</v>
      </c>
      <c r="D33" s="3">
        <v>63.5</v>
      </c>
      <c r="E33" s="3">
        <v>58.3</v>
      </c>
      <c r="F33" s="3">
        <v>57.8</v>
      </c>
    </row>
    <row r="34" spans="1:6">
      <c r="A34" s="3">
        <v>3</v>
      </c>
      <c r="B34" s="3">
        <v>0</v>
      </c>
      <c r="C34" s="3">
        <v>92.4</v>
      </c>
      <c r="D34" s="3">
        <v>64.5</v>
      </c>
      <c r="E34" s="3">
        <v>58.3</v>
      </c>
      <c r="F34" s="3">
        <v>58</v>
      </c>
    </row>
    <row r="35" spans="1:6">
      <c r="A35" s="3">
        <v>3</v>
      </c>
      <c r="B35" s="3">
        <v>0</v>
      </c>
      <c r="C35" s="3">
        <v>92.4</v>
      </c>
      <c r="D35" s="3">
        <v>64.599999999999994</v>
      </c>
      <c r="E35" s="3">
        <v>58.4</v>
      </c>
      <c r="F35" s="3">
        <v>58.1</v>
      </c>
    </row>
    <row r="36" spans="1:6">
      <c r="A36" s="3">
        <v>3</v>
      </c>
      <c r="B36" s="3">
        <v>0</v>
      </c>
      <c r="C36" s="3">
        <v>92.7</v>
      </c>
      <c r="D36" s="3">
        <v>64.8</v>
      </c>
      <c r="E36" s="3">
        <v>58.6</v>
      </c>
      <c r="F36" s="3">
        <v>58.5</v>
      </c>
    </row>
    <row r="37" spans="1:6">
      <c r="A37" s="3">
        <v>3</v>
      </c>
      <c r="B37" s="3">
        <v>0</v>
      </c>
      <c r="C37" s="3">
        <v>93.3</v>
      </c>
      <c r="D37" s="3">
        <v>65.099999999999994</v>
      </c>
      <c r="E37" s="3">
        <v>58.7</v>
      </c>
      <c r="F37" s="3">
        <v>59</v>
      </c>
    </row>
    <row r="38" spans="1:6" hidden="1">
      <c r="A38" s="3">
        <v>2</v>
      </c>
      <c r="B38" s="3">
        <v>0</v>
      </c>
      <c r="C38" s="3">
        <v>93.4</v>
      </c>
      <c r="D38" s="3">
        <v>65.2</v>
      </c>
      <c r="E38" s="3">
        <v>58.8</v>
      </c>
      <c r="F38" s="3">
        <v>59.1</v>
      </c>
    </row>
    <row r="39" spans="1:6" hidden="1">
      <c r="A39" s="3">
        <v>1</v>
      </c>
      <c r="B39" s="3">
        <v>1</v>
      </c>
      <c r="C39" s="3">
        <v>94.1</v>
      </c>
      <c r="D39" s="3">
        <v>65.3</v>
      </c>
      <c r="E39" s="3">
        <v>59.2</v>
      </c>
      <c r="F39" s="3">
        <v>59.3</v>
      </c>
    </row>
    <row r="40" spans="1:6" hidden="1">
      <c r="A40" s="3">
        <v>1</v>
      </c>
      <c r="B40" s="3">
        <v>0</v>
      </c>
      <c r="C40" s="3">
        <v>95.1</v>
      </c>
      <c r="D40" s="3">
        <v>65.7</v>
      </c>
      <c r="E40" s="3">
        <v>59.5</v>
      </c>
      <c r="F40" s="3">
        <v>59.4</v>
      </c>
    </row>
    <row r="41" spans="1:6" hidden="1">
      <c r="A41" s="3">
        <v>2</v>
      </c>
      <c r="B41" s="3">
        <v>0</v>
      </c>
      <c r="C41" s="3">
        <v>95.9</v>
      </c>
      <c r="D41" s="3">
        <v>66</v>
      </c>
      <c r="E41" s="3">
        <v>59.5</v>
      </c>
      <c r="F41" s="3">
        <v>59.5</v>
      </c>
    </row>
    <row r="42" spans="1:6" hidden="1">
      <c r="A42" s="3">
        <v>1</v>
      </c>
      <c r="B42" s="3">
        <v>0</v>
      </c>
      <c r="C42" s="3">
        <v>96</v>
      </c>
      <c r="D42" s="3">
        <v>66.2</v>
      </c>
      <c r="E42" s="3">
        <v>59.8</v>
      </c>
      <c r="F42" s="3">
        <v>60</v>
      </c>
    </row>
    <row r="43" spans="1:6" hidden="1">
      <c r="A43" s="3">
        <v>2</v>
      </c>
      <c r="B43" s="3">
        <v>0</v>
      </c>
      <c r="C43" s="3">
        <v>96.4</v>
      </c>
      <c r="D43" s="3">
        <v>66.5</v>
      </c>
      <c r="E43" s="3">
        <v>59.9</v>
      </c>
      <c r="F43" s="3">
        <v>60.1</v>
      </c>
    </row>
    <row r="44" spans="1:6">
      <c r="A44" s="3">
        <v>3</v>
      </c>
      <c r="B44" s="3">
        <v>0</v>
      </c>
      <c r="C44" s="3">
        <v>101.2</v>
      </c>
      <c r="D44" s="3">
        <v>66.5</v>
      </c>
      <c r="E44" s="3">
        <v>60</v>
      </c>
      <c r="F44" s="3">
        <v>60.3</v>
      </c>
    </row>
    <row r="45" spans="1:6">
      <c r="A45" s="3">
        <v>3</v>
      </c>
      <c r="B45" s="3">
        <v>0</v>
      </c>
      <c r="C45" s="3">
        <v>101.4</v>
      </c>
      <c r="D45" s="3">
        <v>67</v>
      </c>
      <c r="E45" s="3">
        <v>60.1</v>
      </c>
      <c r="F45" s="3">
        <v>60.4</v>
      </c>
    </row>
    <row r="46" spans="1:6" hidden="1">
      <c r="A46" s="3">
        <v>1</v>
      </c>
      <c r="B46" s="3">
        <v>0</v>
      </c>
      <c r="C46" s="3">
        <v>102</v>
      </c>
      <c r="D46" s="3">
        <v>67</v>
      </c>
      <c r="E46" s="3">
        <v>60.2</v>
      </c>
      <c r="F46" s="3">
        <v>61</v>
      </c>
    </row>
    <row r="47" spans="1:6">
      <c r="A47" s="3">
        <v>3</v>
      </c>
      <c r="B47" s="3">
        <v>1</v>
      </c>
      <c r="C47" s="3">
        <v>55</v>
      </c>
      <c r="D47" s="3">
        <v>67.2</v>
      </c>
      <c r="E47" s="3">
        <v>60.4</v>
      </c>
      <c r="F47" s="3">
        <v>61</v>
      </c>
    </row>
    <row r="48" spans="1:6">
      <c r="A48" s="3">
        <v>3</v>
      </c>
      <c r="B48" s="3">
        <v>0</v>
      </c>
      <c r="C48" s="3">
        <v>95</v>
      </c>
      <c r="D48" s="3">
        <v>67.3</v>
      </c>
      <c r="E48" s="3">
        <v>60.8</v>
      </c>
      <c r="F48" s="3">
        <v>61.1</v>
      </c>
    </row>
    <row r="49" spans="1:6" hidden="1">
      <c r="A49" s="3">
        <v>2</v>
      </c>
      <c r="B49" s="3">
        <v>1</v>
      </c>
      <c r="C49" s="3">
        <v>60</v>
      </c>
      <c r="D49" s="3">
        <v>67.5</v>
      </c>
      <c r="E49" s="3">
        <v>61.3</v>
      </c>
      <c r="F49" s="3">
        <v>61.2</v>
      </c>
    </row>
    <row r="50" spans="1:6" hidden="1">
      <c r="A50" s="3">
        <v>2</v>
      </c>
      <c r="B50" s="3">
        <v>1</v>
      </c>
      <c r="C50" s="3">
        <v>70</v>
      </c>
      <c r="D50" s="3">
        <v>67.8</v>
      </c>
      <c r="E50" s="3">
        <v>61.4</v>
      </c>
      <c r="F50" s="3">
        <v>61.2</v>
      </c>
    </row>
    <row r="51" spans="1:6" hidden="1">
      <c r="A51" s="3">
        <v>2</v>
      </c>
      <c r="B51" s="3">
        <v>1</v>
      </c>
      <c r="C51" s="3">
        <v>90</v>
      </c>
      <c r="D51" s="3">
        <v>68.2</v>
      </c>
      <c r="E51" s="3">
        <v>61.5</v>
      </c>
      <c r="F51" s="3">
        <v>61.3</v>
      </c>
    </row>
    <row r="52" spans="1:6" hidden="1">
      <c r="A52" s="3">
        <v>1</v>
      </c>
      <c r="B52" s="3">
        <v>1</v>
      </c>
      <c r="C52" s="3">
        <v>48.5</v>
      </c>
      <c r="D52" s="3">
        <v>68.400000000000006</v>
      </c>
      <c r="E52" s="3">
        <v>61.9</v>
      </c>
      <c r="F52" s="3">
        <v>61.5</v>
      </c>
    </row>
    <row r="53" spans="1:6" hidden="1">
      <c r="A53" s="3">
        <v>1</v>
      </c>
      <c r="B53" s="3">
        <v>1</v>
      </c>
      <c r="C53" s="3">
        <v>50</v>
      </c>
      <c r="D53" s="3">
        <v>68.5</v>
      </c>
      <c r="E53" s="3">
        <v>61.9</v>
      </c>
      <c r="F53" s="3">
        <v>61.7</v>
      </c>
    </row>
    <row r="54" spans="1:6">
      <c r="A54" s="3">
        <v>3</v>
      </c>
      <c r="B54" s="3">
        <v>1</v>
      </c>
      <c r="C54" s="3">
        <v>51.2</v>
      </c>
      <c r="D54" s="3">
        <v>68.5</v>
      </c>
      <c r="E54" s="3">
        <v>62</v>
      </c>
      <c r="F54" s="3">
        <v>61.9</v>
      </c>
    </row>
    <row r="55" spans="1:6" hidden="1">
      <c r="A55" s="3">
        <v>2</v>
      </c>
      <c r="B55" s="3">
        <v>1</v>
      </c>
      <c r="C55" s="3">
        <v>51.2</v>
      </c>
      <c r="D55" s="3">
        <v>68.7</v>
      </c>
      <c r="E55" s="3">
        <v>62.1</v>
      </c>
      <c r="F55" s="3">
        <v>62</v>
      </c>
    </row>
    <row r="56" spans="1:6">
      <c r="A56" s="3">
        <v>3</v>
      </c>
      <c r="B56" s="3">
        <v>1</v>
      </c>
      <c r="C56" s="3">
        <v>51.5</v>
      </c>
      <c r="D56" s="3">
        <v>69</v>
      </c>
      <c r="E56" s="3">
        <v>63</v>
      </c>
      <c r="F56" s="3">
        <v>62.8</v>
      </c>
    </row>
    <row r="57" spans="1:6">
      <c r="A57" s="3">
        <v>3</v>
      </c>
      <c r="B57" s="3">
        <v>1</v>
      </c>
      <c r="C57" s="3">
        <v>51.7</v>
      </c>
      <c r="D57" s="3">
        <v>69</v>
      </c>
      <c r="E57" s="3">
        <v>63.5</v>
      </c>
      <c r="F57" s="3">
        <v>63</v>
      </c>
    </row>
    <row r="58" spans="1:6">
      <c r="A58" s="3">
        <v>3</v>
      </c>
      <c r="B58" s="3">
        <v>1</v>
      </c>
      <c r="C58" s="3">
        <v>51.7</v>
      </c>
      <c r="D58" s="3">
        <v>69.099999999999994</v>
      </c>
      <c r="E58" s="3">
        <v>63.5</v>
      </c>
      <c r="F58" s="3">
        <v>63</v>
      </c>
    </row>
    <row r="59" spans="1:6">
      <c r="A59" s="3">
        <v>3</v>
      </c>
      <c r="B59" s="3">
        <v>1</v>
      </c>
      <c r="C59" s="3">
        <v>52</v>
      </c>
      <c r="D59" s="3">
        <v>69.099999999999994</v>
      </c>
      <c r="E59" s="3">
        <v>63.6</v>
      </c>
      <c r="F59" s="3">
        <v>63.2</v>
      </c>
    </row>
    <row r="60" spans="1:6" hidden="1">
      <c r="A60" s="3">
        <v>2</v>
      </c>
      <c r="B60" s="3">
        <v>1</v>
      </c>
      <c r="C60" s="3">
        <v>52.8</v>
      </c>
      <c r="D60" s="3">
        <v>69.2</v>
      </c>
      <c r="E60" s="3">
        <v>63.9</v>
      </c>
      <c r="F60" s="3">
        <v>64.2</v>
      </c>
    </row>
    <row r="61" spans="1:6" hidden="1">
      <c r="A61" s="3">
        <v>2</v>
      </c>
      <c r="B61" s="3">
        <v>1</v>
      </c>
      <c r="C61" s="3">
        <v>52.8</v>
      </c>
      <c r="D61" s="3">
        <v>69.5</v>
      </c>
      <c r="E61" s="3">
        <v>64.3</v>
      </c>
      <c r="F61" s="3">
        <v>64.5</v>
      </c>
    </row>
    <row r="62" spans="1:6" hidden="1">
      <c r="A62" s="3">
        <v>1</v>
      </c>
      <c r="B62" s="3">
        <v>1</v>
      </c>
      <c r="C62" s="3">
        <v>53.3</v>
      </c>
      <c r="D62" s="3">
        <v>70.099999999999994</v>
      </c>
      <c r="E62" s="3">
        <v>64.5</v>
      </c>
      <c r="F62" s="3">
        <v>64.900000000000006</v>
      </c>
    </row>
    <row r="63" spans="1:6" hidden="1">
      <c r="A63" s="3">
        <v>2</v>
      </c>
      <c r="B63" s="3">
        <v>1</v>
      </c>
      <c r="C63" s="3">
        <v>53.6</v>
      </c>
      <c r="D63" s="3">
        <v>70.2</v>
      </c>
      <c r="E63" s="3">
        <v>64.599999999999994</v>
      </c>
      <c r="F63" s="3">
        <v>64.900000000000006</v>
      </c>
    </row>
    <row r="64" spans="1:6" hidden="1">
      <c r="A64" s="3">
        <v>2</v>
      </c>
      <c r="B64" s="3">
        <v>1</v>
      </c>
      <c r="C64" s="3">
        <v>54</v>
      </c>
      <c r="D64" s="3">
        <v>70.2</v>
      </c>
      <c r="E64" s="3">
        <v>65.2</v>
      </c>
      <c r="F64" s="3">
        <v>65</v>
      </c>
    </row>
    <row r="65" spans="1:6" hidden="1">
      <c r="A65" s="3">
        <v>1</v>
      </c>
      <c r="B65" s="3">
        <v>1</v>
      </c>
      <c r="C65" s="3">
        <v>54.5</v>
      </c>
      <c r="D65" s="3">
        <v>70.3</v>
      </c>
      <c r="E65" s="3">
        <v>65.599999999999994</v>
      </c>
      <c r="F65" s="3">
        <v>65</v>
      </c>
    </row>
    <row r="66" spans="1:6" hidden="1">
      <c r="A66" s="3">
        <v>2</v>
      </c>
      <c r="B66" s="3">
        <v>1</v>
      </c>
      <c r="C66" s="3">
        <v>55</v>
      </c>
      <c r="D66" s="3">
        <v>70.3</v>
      </c>
      <c r="E66" s="3">
        <v>65.7</v>
      </c>
      <c r="F66" s="3">
        <v>65.3</v>
      </c>
    </row>
    <row r="67" spans="1:6">
      <c r="A67" s="3">
        <v>3</v>
      </c>
      <c r="B67" s="3">
        <v>1</v>
      </c>
      <c r="C67" s="3">
        <v>55.4</v>
      </c>
      <c r="D67" s="3">
        <v>70.400000000000006</v>
      </c>
      <c r="E67" s="3">
        <v>65.900000000000006</v>
      </c>
      <c r="F67" s="3">
        <v>65.5</v>
      </c>
    </row>
    <row r="68" spans="1:6">
      <c r="A68" s="3">
        <v>3</v>
      </c>
      <c r="B68" s="3">
        <v>0</v>
      </c>
      <c r="C68" s="3">
        <v>55.5</v>
      </c>
      <c r="D68" s="3">
        <v>70.400000000000006</v>
      </c>
      <c r="E68" s="3">
        <v>65.900000000000006</v>
      </c>
      <c r="F68" s="3">
        <v>65.599999999999994</v>
      </c>
    </row>
    <row r="69" spans="1:6" hidden="1">
      <c r="A69" s="3">
        <v>1</v>
      </c>
      <c r="B69" s="3">
        <v>1</v>
      </c>
      <c r="C69" s="3">
        <v>55.5</v>
      </c>
      <c r="D69" s="3">
        <v>70.5</v>
      </c>
      <c r="E69" s="3">
        <v>66</v>
      </c>
      <c r="F69" s="3">
        <v>65.8</v>
      </c>
    </row>
    <row r="70" spans="1:6" hidden="1">
      <c r="A70" s="3">
        <v>1</v>
      </c>
      <c r="B70" s="3">
        <v>1</v>
      </c>
      <c r="C70" s="3">
        <v>55.5</v>
      </c>
      <c r="D70" s="3">
        <v>70.599999999999994</v>
      </c>
      <c r="E70" s="3">
        <v>66.5</v>
      </c>
      <c r="F70" s="3">
        <v>66</v>
      </c>
    </row>
    <row r="71" spans="1:6" hidden="1">
      <c r="A71" s="3">
        <v>2</v>
      </c>
      <c r="B71" s="3">
        <v>1</v>
      </c>
      <c r="C71" s="3">
        <v>55.6</v>
      </c>
      <c r="D71" s="3">
        <v>71.2</v>
      </c>
      <c r="E71" s="3">
        <v>66.5</v>
      </c>
      <c r="F71" s="3">
        <v>66</v>
      </c>
    </row>
    <row r="72" spans="1:6">
      <c r="A72" s="3">
        <v>3</v>
      </c>
      <c r="B72" s="3">
        <v>1</v>
      </c>
      <c r="C72" s="3">
        <v>55.6</v>
      </c>
      <c r="D72" s="3">
        <v>71.2</v>
      </c>
      <c r="E72" s="3">
        <v>66.7</v>
      </c>
      <c r="F72" s="3">
        <v>66</v>
      </c>
    </row>
    <row r="73" spans="1:6">
      <c r="A73" s="3">
        <v>3</v>
      </c>
      <c r="B73" s="3">
        <v>1</v>
      </c>
      <c r="C73" s="3">
        <v>55.8</v>
      </c>
      <c r="D73" s="3">
        <v>71.5</v>
      </c>
      <c r="E73" s="3">
        <v>66.7</v>
      </c>
      <c r="F73" s="3">
        <v>66.099999999999994</v>
      </c>
    </row>
    <row r="74" spans="1:6" hidden="1">
      <c r="A74" s="3">
        <v>2</v>
      </c>
      <c r="B74" s="3">
        <v>1</v>
      </c>
      <c r="C74" s="3">
        <v>55.9</v>
      </c>
      <c r="D74" s="3">
        <v>71.599999999999994</v>
      </c>
      <c r="E74" s="3">
        <v>66.7</v>
      </c>
      <c r="F74" s="3">
        <v>66.3</v>
      </c>
    </row>
    <row r="75" spans="1:6">
      <c r="A75" s="3">
        <v>3</v>
      </c>
      <c r="B75" s="3">
        <v>1</v>
      </c>
      <c r="C75" s="3">
        <v>56.2</v>
      </c>
      <c r="D75" s="3">
        <v>72.099999999999994</v>
      </c>
      <c r="E75" s="3">
        <v>66.8</v>
      </c>
      <c r="F75" s="3">
        <v>66.400000000000006</v>
      </c>
    </row>
    <row r="76" spans="1:6" hidden="1">
      <c r="A76" s="3">
        <v>2</v>
      </c>
      <c r="B76" s="3">
        <v>1</v>
      </c>
      <c r="C76" s="3">
        <v>56.4</v>
      </c>
      <c r="D76" s="3">
        <v>72.3</v>
      </c>
      <c r="E76" s="3">
        <v>66.8</v>
      </c>
      <c r="F76" s="3">
        <v>66.8</v>
      </c>
    </row>
    <row r="77" spans="1:6" hidden="1">
      <c r="A77" s="3">
        <v>2</v>
      </c>
      <c r="B77" s="3">
        <v>1</v>
      </c>
      <c r="C77" s="3">
        <v>56.6</v>
      </c>
      <c r="D77" s="3">
        <v>72.5</v>
      </c>
      <c r="E77" s="3">
        <v>67</v>
      </c>
      <c r="F77" s="3">
        <v>66.8</v>
      </c>
    </row>
    <row r="78" spans="1:6">
      <c r="A78" s="3">
        <v>3</v>
      </c>
      <c r="B78" s="3">
        <v>1</v>
      </c>
      <c r="C78" s="3">
        <v>57</v>
      </c>
      <c r="D78" s="3">
        <v>72.5</v>
      </c>
      <c r="E78" s="3">
        <v>67.099999999999994</v>
      </c>
      <c r="F78" s="3">
        <v>67</v>
      </c>
    </row>
    <row r="79" spans="1:6" hidden="1">
      <c r="A79" s="3">
        <v>1</v>
      </c>
      <c r="B79" s="3">
        <v>1</v>
      </c>
      <c r="C79" s="3">
        <v>57</v>
      </c>
      <c r="D79" s="3">
        <v>72.5</v>
      </c>
      <c r="E79" s="3">
        <v>67.2</v>
      </c>
      <c r="F79" s="3">
        <v>67.3</v>
      </c>
    </row>
    <row r="80" spans="1:6" hidden="1">
      <c r="A80" s="3">
        <v>2</v>
      </c>
      <c r="B80" s="3">
        <v>1</v>
      </c>
      <c r="C80" s="3">
        <v>57.3</v>
      </c>
      <c r="D80" s="3">
        <v>72.8</v>
      </c>
      <c r="E80" s="3">
        <v>67.400000000000006</v>
      </c>
      <c r="F80" s="3">
        <v>67.3</v>
      </c>
    </row>
    <row r="81" spans="1:6">
      <c r="A81" s="3">
        <v>3</v>
      </c>
      <c r="B81" s="3">
        <v>1</v>
      </c>
      <c r="C81" s="3">
        <v>57.8</v>
      </c>
      <c r="D81" s="3">
        <v>73</v>
      </c>
      <c r="E81" s="3">
        <v>68.099999999999994</v>
      </c>
      <c r="F81" s="3">
        <v>67.5</v>
      </c>
    </row>
    <row r="82" spans="1:6">
      <c r="A82" s="3">
        <v>3</v>
      </c>
      <c r="B82" s="3">
        <v>1</v>
      </c>
      <c r="C82" s="3">
        <v>57.8</v>
      </c>
      <c r="D82" s="3">
        <v>73.099999999999994</v>
      </c>
      <c r="E82" s="3">
        <v>68.2</v>
      </c>
      <c r="F82" s="3">
        <v>67.599999999999994</v>
      </c>
    </row>
    <row r="83" spans="1:6" hidden="1">
      <c r="A83" s="3">
        <v>2</v>
      </c>
      <c r="B83" s="3">
        <v>1</v>
      </c>
      <c r="C83" s="3">
        <v>57.9</v>
      </c>
      <c r="D83" s="3">
        <v>73.099999999999994</v>
      </c>
      <c r="E83" s="3">
        <v>68.400000000000006</v>
      </c>
      <c r="F83" s="3">
        <v>67.599999999999994</v>
      </c>
    </row>
    <row r="84" spans="1:6">
      <c r="A84" s="3">
        <v>3</v>
      </c>
      <c r="B84" s="3">
        <v>1</v>
      </c>
      <c r="C84" s="3">
        <v>58</v>
      </c>
      <c r="D84" s="3">
        <v>73.2</v>
      </c>
      <c r="E84" s="3">
        <v>68.599999999999994</v>
      </c>
      <c r="F84" s="3">
        <v>67.900000000000006</v>
      </c>
    </row>
    <row r="85" spans="1:6">
      <c r="A85" s="3">
        <v>3</v>
      </c>
      <c r="B85" s="3">
        <v>1</v>
      </c>
      <c r="C85" s="3">
        <v>58.1</v>
      </c>
      <c r="D85" s="3">
        <v>73.2</v>
      </c>
      <c r="E85" s="3">
        <v>68.599999999999994</v>
      </c>
      <c r="F85" s="3">
        <v>68.099999999999994</v>
      </c>
    </row>
    <row r="86" spans="1:6" hidden="1">
      <c r="A86" s="3">
        <v>2</v>
      </c>
      <c r="B86" s="3">
        <v>1</v>
      </c>
      <c r="C86" s="3">
        <v>58.2</v>
      </c>
      <c r="D86" s="3">
        <v>73.3</v>
      </c>
      <c r="E86" s="3">
        <v>68.8</v>
      </c>
      <c r="F86" s="3">
        <v>68.400000000000006</v>
      </c>
    </row>
    <row r="87" spans="1:6" hidden="1">
      <c r="A87" s="3">
        <v>2</v>
      </c>
      <c r="B87" s="3">
        <v>1</v>
      </c>
      <c r="C87" s="3">
        <v>58.3</v>
      </c>
      <c r="D87" s="3">
        <v>73.5</v>
      </c>
      <c r="E87" s="3">
        <v>68.900000000000006</v>
      </c>
      <c r="F87" s="3">
        <v>68.400000000000006</v>
      </c>
    </row>
    <row r="88" spans="1:6" hidden="1">
      <c r="A88" s="3">
        <v>2</v>
      </c>
      <c r="B88" s="3">
        <v>1</v>
      </c>
      <c r="C88" s="3">
        <v>58.3</v>
      </c>
      <c r="D88" s="3">
        <v>73.5</v>
      </c>
      <c r="E88" s="3">
        <v>69.099999999999994</v>
      </c>
      <c r="F88" s="3">
        <v>68.7</v>
      </c>
    </row>
    <row r="89" spans="1:6" hidden="1">
      <c r="A89" s="3">
        <v>2</v>
      </c>
      <c r="B89" s="3">
        <v>1</v>
      </c>
      <c r="C89" s="3">
        <v>58.4</v>
      </c>
      <c r="D89" s="3">
        <v>73.5</v>
      </c>
      <c r="E89" s="3">
        <v>69.2</v>
      </c>
      <c r="F89" s="3">
        <v>68.7</v>
      </c>
    </row>
    <row r="90" spans="1:6">
      <c r="A90" s="3">
        <v>3</v>
      </c>
      <c r="B90" s="3">
        <v>1</v>
      </c>
      <c r="C90" s="3">
        <v>58.5</v>
      </c>
      <c r="D90" s="3">
        <v>73.599999999999994</v>
      </c>
      <c r="E90" s="3">
        <v>69.2</v>
      </c>
      <c r="F90" s="3">
        <v>69</v>
      </c>
    </row>
    <row r="91" spans="1:6" hidden="1">
      <c r="A91" s="3">
        <v>1</v>
      </c>
      <c r="B91" s="3">
        <v>1</v>
      </c>
      <c r="C91" s="3">
        <v>58.5</v>
      </c>
      <c r="D91" s="3">
        <v>74</v>
      </c>
      <c r="E91" s="3">
        <v>69.2</v>
      </c>
      <c r="F91" s="3">
        <v>69.3</v>
      </c>
    </row>
    <row r="92" spans="1:6" hidden="1">
      <c r="A92" s="3">
        <v>2</v>
      </c>
      <c r="B92" s="3">
        <v>1</v>
      </c>
      <c r="C92" s="3">
        <v>58.6</v>
      </c>
      <c r="D92" s="3">
        <v>74</v>
      </c>
      <c r="E92" s="3">
        <v>69.5</v>
      </c>
      <c r="F92" s="3">
        <v>69.3</v>
      </c>
    </row>
    <row r="93" spans="1:6" hidden="1">
      <c r="A93" s="3">
        <v>2</v>
      </c>
      <c r="B93" s="3">
        <v>1</v>
      </c>
      <c r="C93" s="3">
        <v>58.7</v>
      </c>
      <c r="D93" s="3">
        <v>74</v>
      </c>
      <c r="E93" s="3">
        <v>69.5</v>
      </c>
      <c r="F93" s="3">
        <v>69.5</v>
      </c>
    </row>
    <row r="94" spans="1:6" hidden="1">
      <c r="A94" s="3">
        <v>2</v>
      </c>
      <c r="B94" s="3">
        <v>1</v>
      </c>
      <c r="C94" s="3">
        <v>58.8</v>
      </c>
      <c r="D94" s="3">
        <v>74</v>
      </c>
      <c r="E94" s="3">
        <v>69.5</v>
      </c>
      <c r="F94" s="3">
        <v>69.7</v>
      </c>
    </row>
    <row r="95" spans="1:6">
      <c r="A95" s="3">
        <v>3</v>
      </c>
      <c r="B95" s="3">
        <v>1</v>
      </c>
      <c r="C95" s="3">
        <v>59</v>
      </c>
      <c r="D95" s="3">
        <v>74.599999999999994</v>
      </c>
      <c r="E95" s="3">
        <v>69.599999999999994</v>
      </c>
      <c r="F95" s="3">
        <v>69.7</v>
      </c>
    </row>
    <row r="96" spans="1:6" hidden="1">
      <c r="A96" s="3">
        <v>1</v>
      </c>
      <c r="B96" s="3">
        <v>0</v>
      </c>
      <c r="C96" s="3">
        <v>59</v>
      </c>
      <c r="D96" s="3">
        <v>74.8</v>
      </c>
      <c r="E96" s="3">
        <v>69.599999999999994</v>
      </c>
      <c r="F96" s="3">
        <v>69.7</v>
      </c>
    </row>
    <row r="97" spans="1:6">
      <c r="A97" s="3">
        <v>3</v>
      </c>
      <c r="B97" s="3">
        <v>1</v>
      </c>
      <c r="C97" s="3">
        <v>59.1</v>
      </c>
      <c r="D97" s="3">
        <v>75</v>
      </c>
      <c r="E97" s="3">
        <v>70.099999999999994</v>
      </c>
      <c r="F97" s="3">
        <v>69.8</v>
      </c>
    </row>
    <row r="98" spans="1:6" hidden="1">
      <c r="A98" s="3">
        <v>2</v>
      </c>
      <c r="B98" s="3">
        <v>1</v>
      </c>
      <c r="C98" s="3">
        <v>59.2</v>
      </c>
      <c r="D98" s="3">
        <v>75</v>
      </c>
      <c r="E98" s="3">
        <v>70.3</v>
      </c>
      <c r="F98" s="3">
        <v>69.8</v>
      </c>
    </row>
    <row r="99" spans="1:6">
      <c r="A99" s="3">
        <v>3</v>
      </c>
      <c r="B99" s="3">
        <v>1</v>
      </c>
      <c r="C99" s="3">
        <v>59.3</v>
      </c>
      <c r="D99" s="3">
        <v>75</v>
      </c>
      <c r="E99" s="3">
        <v>70.400000000000006</v>
      </c>
      <c r="F99" s="3">
        <v>70</v>
      </c>
    </row>
    <row r="100" spans="1:6" hidden="1">
      <c r="A100" s="3">
        <v>1</v>
      </c>
      <c r="B100" s="3">
        <v>1</v>
      </c>
      <c r="C100" s="3">
        <v>59.4</v>
      </c>
      <c r="D100" s="3">
        <v>75.2</v>
      </c>
      <c r="E100" s="3">
        <v>70.5</v>
      </c>
      <c r="F100" s="3">
        <v>70</v>
      </c>
    </row>
    <row r="101" spans="1:6">
      <c r="A101" s="3">
        <v>3</v>
      </c>
      <c r="B101" s="3">
        <v>1</v>
      </c>
      <c r="C101" s="3">
        <v>59.4</v>
      </c>
      <c r="D101" s="3">
        <v>75.3</v>
      </c>
      <c r="E101" s="3">
        <v>70.8</v>
      </c>
      <c r="F101" s="3">
        <v>70.3</v>
      </c>
    </row>
    <row r="102" spans="1:6" hidden="1">
      <c r="A102" s="3">
        <v>2</v>
      </c>
      <c r="B102" s="3">
        <v>1</v>
      </c>
      <c r="C102" s="3">
        <v>59.5</v>
      </c>
      <c r="D102" s="3">
        <v>75.3</v>
      </c>
      <c r="E102" s="3">
        <v>70.8</v>
      </c>
      <c r="F102" s="3">
        <v>70.3</v>
      </c>
    </row>
    <row r="103" spans="1:6">
      <c r="A103" s="3">
        <v>3</v>
      </c>
      <c r="B103" s="3">
        <v>1</v>
      </c>
      <c r="C103" s="3">
        <v>59.5</v>
      </c>
      <c r="D103" s="3">
        <v>75.5</v>
      </c>
      <c r="E103" s="3">
        <v>71.099999999999994</v>
      </c>
      <c r="F103" s="3">
        <v>70.5</v>
      </c>
    </row>
    <row r="104" spans="1:6" hidden="1">
      <c r="A104" s="3">
        <v>2</v>
      </c>
      <c r="B104" s="3">
        <v>1</v>
      </c>
      <c r="C104" s="3">
        <v>59.5</v>
      </c>
      <c r="D104" s="3">
        <v>75.5</v>
      </c>
      <c r="E104" s="3">
        <v>71.099999999999994</v>
      </c>
      <c r="F104" s="3">
        <v>70.5</v>
      </c>
    </row>
    <row r="105" spans="1:6" hidden="1">
      <c r="A105" s="3">
        <v>2</v>
      </c>
      <c r="B105" s="3">
        <v>1</v>
      </c>
      <c r="C105" s="3">
        <v>59.8</v>
      </c>
      <c r="D105" s="3">
        <v>76.8</v>
      </c>
      <c r="E105" s="3">
        <v>71.3</v>
      </c>
      <c r="F105" s="3">
        <v>70.599999999999994</v>
      </c>
    </row>
    <row r="106" spans="1:6" hidden="1">
      <c r="A106" s="3">
        <v>1</v>
      </c>
      <c r="B106" s="3">
        <v>1</v>
      </c>
      <c r="C106" s="3">
        <v>59.8</v>
      </c>
      <c r="D106" s="3">
        <v>76.900000000000006</v>
      </c>
      <c r="E106" s="3">
        <v>71.400000000000006</v>
      </c>
      <c r="F106" s="3">
        <v>70.7</v>
      </c>
    </row>
    <row r="107" spans="1:6" hidden="1">
      <c r="A107" s="3">
        <v>2</v>
      </c>
      <c r="B107" s="3">
        <v>1</v>
      </c>
      <c r="C107" s="3">
        <v>59.9</v>
      </c>
      <c r="D107" s="3">
        <v>76.900000000000006</v>
      </c>
      <c r="E107" s="3">
        <v>71.5</v>
      </c>
      <c r="F107" s="3">
        <v>70.900000000000006</v>
      </c>
    </row>
    <row r="108" spans="1:6" hidden="1">
      <c r="A108" s="3">
        <v>2</v>
      </c>
      <c r="B108" s="3">
        <v>1</v>
      </c>
      <c r="C108" s="3">
        <v>60</v>
      </c>
      <c r="D108" s="3">
        <v>77</v>
      </c>
      <c r="E108" s="3">
        <v>71.5</v>
      </c>
      <c r="F108" s="3">
        <v>71</v>
      </c>
    </row>
    <row r="109" spans="1:6">
      <c r="A109" s="3">
        <v>3</v>
      </c>
      <c r="B109" s="3">
        <v>1</v>
      </c>
      <c r="C109" s="3">
        <v>60</v>
      </c>
      <c r="D109" s="3">
        <v>77</v>
      </c>
      <c r="E109" s="3">
        <v>71.599999999999994</v>
      </c>
      <c r="F109" s="3">
        <v>71</v>
      </c>
    </row>
    <row r="110" spans="1:6">
      <c r="A110" s="3">
        <v>3</v>
      </c>
      <c r="B110" s="3">
        <v>1</v>
      </c>
      <c r="C110" s="3">
        <v>60.1</v>
      </c>
      <c r="D110" s="3">
        <v>77.099999999999994</v>
      </c>
      <c r="E110" s="3">
        <v>71.599999999999994</v>
      </c>
      <c r="F110" s="3">
        <v>71.2</v>
      </c>
    </row>
    <row r="111" spans="1:6" hidden="1">
      <c r="A111" s="3">
        <v>2</v>
      </c>
      <c r="B111" s="3">
        <v>1</v>
      </c>
      <c r="C111" s="3">
        <v>60.1</v>
      </c>
      <c r="D111" s="3">
        <v>77.3</v>
      </c>
      <c r="E111" s="3">
        <v>71.599999999999994</v>
      </c>
      <c r="F111" s="3">
        <v>71.2</v>
      </c>
    </row>
    <row r="112" spans="1:6" hidden="1">
      <c r="A112" s="3">
        <v>2</v>
      </c>
      <c r="B112" s="3">
        <v>1</v>
      </c>
      <c r="C112" s="3">
        <v>60.2</v>
      </c>
      <c r="D112" s="3">
        <v>77.400000000000006</v>
      </c>
      <c r="E112" s="3">
        <v>71.599999999999994</v>
      </c>
      <c r="F112" s="3">
        <v>71.2</v>
      </c>
    </row>
    <row r="113" spans="1:6">
      <c r="A113" s="3">
        <v>3</v>
      </c>
      <c r="B113" s="3">
        <v>1</v>
      </c>
      <c r="C113" s="3">
        <v>60.3</v>
      </c>
      <c r="D113" s="3">
        <v>77.5</v>
      </c>
      <c r="E113" s="3">
        <v>72</v>
      </c>
      <c r="F113" s="3">
        <v>71.2</v>
      </c>
    </row>
    <row r="114" spans="1:6">
      <c r="A114" s="3">
        <v>3</v>
      </c>
      <c r="B114" s="3">
        <v>1</v>
      </c>
      <c r="C114" s="3">
        <v>60.4</v>
      </c>
      <c r="D114" s="3">
        <v>77.5</v>
      </c>
      <c r="E114" s="3">
        <v>72.099999999999994</v>
      </c>
      <c r="F114" s="3">
        <v>71.2</v>
      </c>
    </row>
    <row r="115" spans="1:6" hidden="1">
      <c r="A115" s="3">
        <v>2</v>
      </c>
      <c r="B115" s="3">
        <v>1</v>
      </c>
      <c r="C115" s="3">
        <v>60.4</v>
      </c>
      <c r="D115" s="3">
        <v>77.5</v>
      </c>
      <c r="E115" s="3">
        <v>72.2</v>
      </c>
      <c r="F115" s="3">
        <v>71.3</v>
      </c>
    </row>
    <row r="116" spans="1:6" hidden="1">
      <c r="A116" s="3">
        <v>1</v>
      </c>
      <c r="B116" s="3">
        <v>1</v>
      </c>
      <c r="C116" s="3">
        <v>60.5</v>
      </c>
      <c r="D116" s="3">
        <v>77.8</v>
      </c>
      <c r="E116" s="3">
        <v>72.2</v>
      </c>
      <c r="F116" s="3">
        <v>71.3</v>
      </c>
    </row>
    <row r="117" spans="1:6" hidden="1">
      <c r="A117" s="3">
        <v>2</v>
      </c>
      <c r="B117" s="3">
        <v>1</v>
      </c>
      <c r="C117" s="3">
        <v>60.8</v>
      </c>
      <c r="D117" s="3">
        <v>77.8</v>
      </c>
      <c r="E117" s="3">
        <v>72.2</v>
      </c>
      <c r="F117" s="3">
        <v>71.5</v>
      </c>
    </row>
    <row r="118" spans="1:6">
      <c r="A118" s="3">
        <v>3</v>
      </c>
      <c r="B118" s="3">
        <v>1</v>
      </c>
      <c r="C118" s="3">
        <v>61</v>
      </c>
      <c r="D118" s="3">
        <v>78</v>
      </c>
      <c r="E118" s="3">
        <v>72.3</v>
      </c>
      <c r="F118" s="3">
        <v>71.5</v>
      </c>
    </row>
    <row r="119" spans="1:6">
      <c r="A119" s="3">
        <v>3</v>
      </c>
      <c r="B119" s="3">
        <v>1</v>
      </c>
      <c r="C119" s="3">
        <v>61</v>
      </c>
      <c r="D119" s="3">
        <v>78.099999999999994</v>
      </c>
      <c r="E119" s="3">
        <v>72.599999999999994</v>
      </c>
      <c r="F119" s="3">
        <v>71.599999999999994</v>
      </c>
    </row>
    <row r="120" spans="1:6">
      <c r="A120" s="3">
        <v>3</v>
      </c>
      <c r="B120" s="3">
        <v>1</v>
      </c>
      <c r="C120" s="3">
        <v>61.1</v>
      </c>
      <c r="D120" s="3">
        <v>78.2</v>
      </c>
      <c r="E120" s="3">
        <v>72.7</v>
      </c>
      <c r="F120" s="3">
        <v>71.599999999999994</v>
      </c>
    </row>
    <row r="121" spans="1:6">
      <c r="A121" s="3">
        <v>3</v>
      </c>
      <c r="B121" s="3">
        <v>1</v>
      </c>
      <c r="C121" s="3">
        <v>61.2</v>
      </c>
      <c r="D121" s="3">
        <v>78.2</v>
      </c>
      <c r="E121" s="3">
        <v>72.7</v>
      </c>
      <c r="F121" s="3">
        <v>71.599999999999994</v>
      </c>
    </row>
    <row r="122" spans="1:6">
      <c r="A122" s="3">
        <v>3</v>
      </c>
      <c r="B122" s="3">
        <v>1</v>
      </c>
      <c r="C122" s="3">
        <v>61.2</v>
      </c>
      <c r="D122" s="3">
        <v>78.3</v>
      </c>
      <c r="E122" s="3">
        <v>73.099999999999994</v>
      </c>
      <c r="F122" s="3">
        <v>71.7</v>
      </c>
    </row>
    <row r="123" spans="1:6">
      <c r="A123" s="3">
        <v>3</v>
      </c>
      <c r="B123" s="3">
        <v>1</v>
      </c>
      <c r="C123" s="3">
        <v>61.3</v>
      </c>
      <c r="D123" s="3">
        <v>78.5</v>
      </c>
      <c r="E123" s="3">
        <v>73.099999999999994</v>
      </c>
      <c r="F123" s="3">
        <v>72</v>
      </c>
    </row>
    <row r="124" spans="1:6" hidden="1">
      <c r="A124" s="3">
        <v>2</v>
      </c>
      <c r="B124" s="3">
        <v>1</v>
      </c>
      <c r="C124" s="3">
        <v>61.3</v>
      </c>
      <c r="D124" s="3">
        <v>78.5</v>
      </c>
      <c r="E124" s="3">
        <v>73.599999999999994</v>
      </c>
      <c r="F124" s="3">
        <v>72.2</v>
      </c>
    </row>
    <row r="125" spans="1:6" hidden="1">
      <c r="A125" s="3">
        <v>2</v>
      </c>
      <c r="B125" s="3">
        <v>1</v>
      </c>
      <c r="C125" s="3">
        <v>61.4</v>
      </c>
      <c r="D125" s="3">
        <v>78.5</v>
      </c>
      <c r="E125" s="3">
        <v>73.599999999999994</v>
      </c>
      <c r="F125" s="3">
        <v>72.2</v>
      </c>
    </row>
    <row r="126" spans="1:6">
      <c r="A126" s="3">
        <v>3</v>
      </c>
      <c r="B126" s="3">
        <v>1</v>
      </c>
      <c r="C126" s="3">
        <v>61.5</v>
      </c>
      <c r="D126" s="3">
        <v>78.599999999999994</v>
      </c>
      <c r="E126" s="3">
        <v>74.2</v>
      </c>
      <c r="F126" s="3">
        <v>72.3</v>
      </c>
    </row>
    <row r="127" spans="1:6" hidden="1">
      <c r="A127" s="3">
        <v>2</v>
      </c>
      <c r="B127" s="3">
        <v>1</v>
      </c>
      <c r="C127" s="3">
        <v>61.5</v>
      </c>
      <c r="D127" s="3">
        <v>78.7</v>
      </c>
      <c r="E127" s="3">
        <v>74.599999999999994</v>
      </c>
      <c r="F127" s="3">
        <v>72.3</v>
      </c>
    </row>
    <row r="128" spans="1:6" hidden="1">
      <c r="A128" s="3">
        <v>1</v>
      </c>
      <c r="B128" s="3">
        <v>1</v>
      </c>
      <c r="C128" s="3">
        <v>61.5</v>
      </c>
      <c r="D128" s="3">
        <v>78.8</v>
      </c>
      <c r="E128" s="3">
        <v>74.7</v>
      </c>
      <c r="F128" s="3">
        <v>72.3</v>
      </c>
    </row>
    <row r="129" spans="1:6">
      <c r="A129" s="3">
        <v>3</v>
      </c>
      <c r="B129" s="3">
        <v>1</v>
      </c>
      <c r="C129" s="3">
        <v>61.7</v>
      </c>
      <c r="D129" s="3">
        <v>79.3</v>
      </c>
      <c r="E129" s="3">
        <v>74.7</v>
      </c>
      <c r="F129" s="3">
        <v>72.400000000000006</v>
      </c>
    </row>
    <row r="130" spans="1:6" hidden="1">
      <c r="A130" s="3">
        <v>1</v>
      </c>
      <c r="B130" s="3">
        <v>1</v>
      </c>
      <c r="C130" s="3">
        <v>61.8</v>
      </c>
      <c r="D130" s="3">
        <v>79.400000000000006</v>
      </c>
      <c r="E130" s="3">
        <v>74.8</v>
      </c>
      <c r="F130" s="3">
        <v>72.5</v>
      </c>
    </row>
    <row r="131" spans="1:6" hidden="1">
      <c r="A131" s="3">
        <v>2</v>
      </c>
      <c r="B131" s="3">
        <v>1</v>
      </c>
      <c r="C131" s="3">
        <v>61.9</v>
      </c>
      <c r="D131" s="3">
        <v>79.5</v>
      </c>
      <c r="E131" s="3">
        <v>75</v>
      </c>
      <c r="F131" s="3">
        <v>72.599999999999994</v>
      </c>
    </row>
    <row r="132" spans="1:6" hidden="1">
      <c r="A132" s="3">
        <v>2</v>
      </c>
      <c r="B132" s="3">
        <v>1</v>
      </c>
      <c r="C132" s="3">
        <v>61.9</v>
      </c>
      <c r="D132" s="3">
        <v>79.599999999999994</v>
      </c>
      <c r="E132" s="3">
        <v>75.099999999999994</v>
      </c>
      <c r="F132" s="3">
        <v>72.599999999999994</v>
      </c>
    </row>
    <row r="133" spans="1:6">
      <c r="A133" s="3">
        <v>3</v>
      </c>
      <c r="B133" s="3">
        <v>1</v>
      </c>
      <c r="C133" s="3">
        <v>61.9</v>
      </c>
      <c r="D133" s="3">
        <v>79.599999999999994</v>
      </c>
      <c r="E133" s="3">
        <v>75.099999999999994</v>
      </c>
      <c r="F133" s="3">
        <v>72.900000000000006</v>
      </c>
    </row>
    <row r="134" spans="1:6">
      <c r="A134" s="3">
        <v>3</v>
      </c>
      <c r="B134" s="3">
        <v>1</v>
      </c>
      <c r="C134" s="3">
        <v>62</v>
      </c>
      <c r="D134" s="3">
        <v>79.7</v>
      </c>
      <c r="E134" s="3">
        <v>75.2</v>
      </c>
      <c r="F134" s="3">
        <v>73.099999999999994</v>
      </c>
    </row>
    <row r="135" spans="1:6" hidden="1">
      <c r="A135" s="3">
        <v>2</v>
      </c>
      <c r="B135" s="3">
        <v>1</v>
      </c>
      <c r="C135" s="3">
        <v>62</v>
      </c>
      <c r="D135" s="3">
        <v>79.8</v>
      </c>
      <c r="E135" s="3">
        <v>75.2</v>
      </c>
      <c r="F135" s="3">
        <v>73.5</v>
      </c>
    </row>
    <row r="136" spans="1:6" hidden="1">
      <c r="A136" s="3">
        <v>2</v>
      </c>
      <c r="B136" s="3">
        <v>1</v>
      </c>
      <c r="C136" s="3">
        <v>62.1</v>
      </c>
      <c r="D136" s="3">
        <v>79.900000000000006</v>
      </c>
      <c r="E136" s="3">
        <v>75.2</v>
      </c>
      <c r="F136" s="3">
        <v>73.5</v>
      </c>
    </row>
    <row r="137" spans="1:6" hidden="1">
      <c r="A137" s="3">
        <v>1</v>
      </c>
      <c r="B137" s="3">
        <v>1</v>
      </c>
      <c r="C137" s="3">
        <v>62.2</v>
      </c>
      <c r="D137" s="3">
        <v>79.900000000000006</v>
      </c>
      <c r="E137" s="3">
        <v>75.400000000000006</v>
      </c>
      <c r="F137" s="3">
        <v>73.599999999999994</v>
      </c>
    </row>
    <row r="138" spans="1:6" hidden="1">
      <c r="A138" s="3">
        <v>1</v>
      </c>
      <c r="B138" s="3">
        <v>1</v>
      </c>
      <c r="C138" s="3">
        <v>62.7</v>
      </c>
      <c r="D138" s="3">
        <v>80</v>
      </c>
      <c r="E138" s="3">
        <v>75.5</v>
      </c>
      <c r="F138" s="3">
        <v>73.599999999999994</v>
      </c>
    </row>
    <row r="139" spans="1:6">
      <c r="A139" s="3">
        <v>3</v>
      </c>
      <c r="B139" s="3">
        <v>1</v>
      </c>
      <c r="C139" s="3">
        <v>62.8</v>
      </c>
      <c r="D139" s="3">
        <v>80.099999999999994</v>
      </c>
      <c r="E139" s="3">
        <v>75.599999999999994</v>
      </c>
      <c r="F139" s="3">
        <v>73.599999999999994</v>
      </c>
    </row>
    <row r="140" spans="1:6" hidden="1">
      <c r="A140" s="3">
        <v>1</v>
      </c>
      <c r="B140" s="3">
        <v>1</v>
      </c>
      <c r="C140" s="3">
        <v>63</v>
      </c>
      <c r="D140" s="3">
        <v>80.099999999999994</v>
      </c>
      <c r="E140" s="3">
        <v>75.7</v>
      </c>
      <c r="F140" s="3">
        <v>73.7</v>
      </c>
    </row>
    <row r="141" spans="1:6" hidden="1">
      <c r="A141" s="3">
        <v>2</v>
      </c>
      <c r="B141" s="3">
        <v>1</v>
      </c>
      <c r="C141" s="3">
        <v>63</v>
      </c>
      <c r="D141" s="3">
        <v>80.2</v>
      </c>
      <c r="E141" s="3">
        <v>75.900000000000006</v>
      </c>
      <c r="F141" s="3">
        <v>73.7</v>
      </c>
    </row>
    <row r="142" spans="1:6">
      <c r="A142" s="3">
        <v>3</v>
      </c>
      <c r="B142" s="3">
        <v>1</v>
      </c>
      <c r="C142" s="3">
        <v>63</v>
      </c>
      <c r="D142" s="3">
        <v>80.2</v>
      </c>
      <c r="E142" s="3">
        <v>76.2</v>
      </c>
      <c r="F142" s="3">
        <v>73.8</v>
      </c>
    </row>
    <row r="143" spans="1:6">
      <c r="A143" s="3">
        <v>3</v>
      </c>
      <c r="B143" s="3">
        <v>1</v>
      </c>
      <c r="C143" s="3">
        <v>63</v>
      </c>
      <c r="D143" s="3">
        <v>80.3</v>
      </c>
      <c r="E143" s="3">
        <v>76.2</v>
      </c>
      <c r="F143" s="3">
        <v>74.099999999999994</v>
      </c>
    </row>
    <row r="144" spans="1:6" hidden="1">
      <c r="A144" s="3">
        <v>1</v>
      </c>
      <c r="B144" s="3">
        <v>1</v>
      </c>
      <c r="C144" s="3">
        <v>63.2</v>
      </c>
      <c r="D144" s="3">
        <v>80.3</v>
      </c>
      <c r="E144" s="3">
        <v>76.400000000000006</v>
      </c>
      <c r="F144" s="3">
        <v>74.2</v>
      </c>
    </row>
    <row r="145" spans="1:6">
      <c r="A145" s="3">
        <v>3</v>
      </c>
      <c r="B145" s="3">
        <v>1</v>
      </c>
      <c r="C145" s="3">
        <v>63.2</v>
      </c>
      <c r="D145" s="3">
        <v>80.3</v>
      </c>
      <c r="E145" s="3">
        <v>76.5</v>
      </c>
      <c r="F145" s="3">
        <v>74.3</v>
      </c>
    </row>
    <row r="146" spans="1:6" hidden="1">
      <c r="A146" s="3">
        <v>2</v>
      </c>
      <c r="B146" s="3">
        <v>1</v>
      </c>
      <c r="C146" s="3">
        <v>63.5</v>
      </c>
      <c r="D146" s="3">
        <v>80.400000000000006</v>
      </c>
      <c r="E146" s="3">
        <v>76.599999999999994</v>
      </c>
      <c r="F146" s="3">
        <v>74.400000000000006</v>
      </c>
    </row>
    <row r="147" spans="1:6" hidden="1">
      <c r="A147" s="3">
        <v>2</v>
      </c>
      <c r="B147" s="3">
        <v>1</v>
      </c>
      <c r="C147" s="3">
        <v>63.5</v>
      </c>
      <c r="D147" s="3">
        <v>81</v>
      </c>
      <c r="E147" s="3">
        <v>76.7</v>
      </c>
      <c r="F147" s="3">
        <v>74.8</v>
      </c>
    </row>
    <row r="148" spans="1:6" hidden="1">
      <c r="A148" s="3">
        <v>1</v>
      </c>
      <c r="B148" s="3">
        <v>0</v>
      </c>
      <c r="C148" s="3">
        <v>63.5</v>
      </c>
      <c r="D148" s="3">
        <v>81.099999999999994</v>
      </c>
      <c r="E148" s="3">
        <v>77</v>
      </c>
      <c r="F148" s="3">
        <v>74.8</v>
      </c>
    </row>
    <row r="149" spans="1:6" hidden="1">
      <c r="A149" s="3">
        <v>2</v>
      </c>
      <c r="B149" s="3">
        <v>1</v>
      </c>
      <c r="C149" s="3">
        <v>63.6</v>
      </c>
      <c r="D149" s="3">
        <v>81.2</v>
      </c>
      <c r="E149" s="3">
        <v>77.2</v>
      </c>
      <c r="F149" s="3">
        <v>74.8</v>
      </c>
    </row>
    <row r="150" spans="1:6" hidden="1">
      <c r="A150" s="3">
        <v>2</v>
      </c>
      <c r="B150" s="3">
        <v>1</v>
      </c>
      <c r="C150" s="3">
        <v>63.9</v>
      </c>
      <c r="D150" s="3">
        <v>81.3</v>
      </c>
      <c r="E150" s="3">
        <v>77.2</v>
      </c>
      <c r="F150" s="3">
        <v>74.8</v>
      </c>
    </row>
    <row r="151" spans="1:6">
      <c r="A151" s="3">
        <v>3</v>
      </c>
      <c r="B151" s="3">
        <v>1</v>
      </c>
      <c r="C151" s="3">
        <v>64.2</v>
      </c>
      <c r="D151" s="3">
        <v>81.400000000000006</v>
      </c>
      <c r="E151" s="3">
        <v>77.2</v>
      </c>
      <c r="F151" s="3">
        <v>74.900000000000006</v>
      </c>
    </row>
    <row r="152" spans="1:6" hidden="1">
      <c r="A152" s="3">
        <v>2</v>
      </c>
      <c r="B152" s="3">
        <v>1</v>
      </c>
      <c r="C152" s="3">
        <v>64.3</v>
      </c>
      <c r="D152" s="3">
        <v>81.5</v>
      </c>
      <c r="E152" s="3">
        <v>77.3</v>
      </c>
      <c r="F152" s="3">
        <v>75</v>
      </c>
    </row>
    <row r="153" spans="1:6" hidden="1">
      <c r="A153" s="3">
        <v>1</v>
      </c>
      <c r="B153" s="3">
        <v>1</v>
      </c>
      <c r="C153" s="3">
        <v>64.5</v>
      </c>
      <c r="D153" s="3">
        <v>81.5</v>
      </c>
      <c r="E153" s="3">
        <v>77.400000000000006</v>
      </c>
      <c r="F153" s="3">
        <v>75</v>
      </c>
    </row>
    <row r="154" spans="1:6" hidden="1">
      <c r="A154" s="3">
        <v>2</v>
      </c>
      <c r="B154" s="3">
        <v>1</v>
      </c>
      <c r="C154" s="3">
        <v>64.5</v>
      </c>
      <c r="D154" s="3">
        <v>81.599999999999994</v>
      </c>
      <c r="E154" s="3">
        <v>77.400000000000006</v>
      </c>
      <c r="F154" s="3">
        <v>75.099999999999994</v>
      </c>
    </row>
    <row r="155" spans="1:6">
      <c r="A155" s="3">
        <v>3</v>
      </c>
      <c r="B155" s="3">
        <v>1</v>
      </c>
      <c r="C155" s="3">
        <v>64.5</v>
      </c>
      <c r="D155" s="3">
        <v>81.599999999999994</v>
      </c>
      <c r="E155" s="3">
        <v>77.400000000000006</v>
      </c>
      <c r="F155" s="3">
        <v>75.099999999999994</v>
      </c>
    </row>
    <row r="156" spans="1:6" hidden="1">
      <c r="A156" s="3">
        <v>2</v>
      </c>
      <c r="B156" s="3">
        <v>1</v>
      </c>
      <c r="C156" s="3">
        <v>64.599999999999994</v>
      </c>
      <c r="D156" s="3">
        <v>82</v>
      </c>
      <c r="E156" s="3">
        <v>77.5</v>
      </c>
      <c r="F156" s="3">
        <v>75.2</v>
      </c>
    </row>
    <row r="157" spans="1:6" hidden="1">
      <c r="A157" s="3">
        <v>1</v>
      </c>
      <c r="B157" s="3">
        <v>1</v>
      </c>
      <c r="C157" s="3">
        <v>64.599999999999994</v>
      </c>
      <c r="D157" s="3">
        <v>82</v>
      </c>
      <c r="E157" s="3">
        <v>77.5</v>
      </c>
      <c r="F157" s="3">
        <v>75.2</v>
      </c>
    </row>
    <row r="158" spans="1:6" hidden="1">
      <c r="A158" s="3">
        <v>1</v>
      </c>
      <c r="B158" s="3">
        <v>1</v>
      </c>
      <c r="C158" s="3">
        <v>64.8</v>
      </c>
      <c r="D158" s="3">
        <v>82.2</v>
      </c>
      <c r="E158" s="3">
        <v>78.2</v>
      </c>
      <c r="F158" s="3">
        <v>75.3</v>
      </c>
    </row>
    <row r="159" spans="1:6">
      <c r="A159" s="3">
        <v>3</v>
      </c>
      <c r="B159" s="3">
        <v>1</v>
      </c>
      <c r="C159" s="3">
        <v>64.900000000000006</v>
      </c>
      <c r="D159" s="3">
        <v>82.3</v>
      </c>
      <c r="E159" s="3">
        <v>78.2</v>
      </c>
      <c r="F159" s="3">
        <v>75.599999999999994</v>
      </c>
    </row>
    <row r="160" spans="1:6">
      <c r="A160" s="3">
        <v>3</v>
      </c>
      <c r="B160" s="3">
        <v>1</v>
      </c>
      <c r="C160" s="3">
        <v>64.900000000000006</v>
      </c>
      <c r="D160" s="3">
        <v>82.4</v>
      </c>
      <c r="E160" s="3">
        <v>78.3</v>
      </c>
      <c r="F160" s="3">
        <v>75.599999999999994</v>
      </c>
    </row>
    <row r="161" spans="1:6">
      <c r="A161" s="3">
        <v>3</v>
      </c>
      <c r="B161" s="3">
        <v>1</v>
      </c>
      <c r="C161" s="3">
        <v>65</v>
      </c>
      <c r="D161" s="3">
        <v>82.5</v>
      </c>
      <c r="E161" s="3">
        <v>78.3</v>
      </c>
      <c r="F161" s="3">
        <v>75.599999999999994</v>
      </c>
    </row>
    <row r="162" spans="1:6">
      <c r="A162" s="3">
        <v>3</v>
      </c>
      <c r="B162" s="3">
        <v>1</v>
      </c>
      <c r="C162" s="3">
        <v>65</v>
      </c>
      <c r="D162" s="3">
        <v>82.6</v>
      </c>
      <c r="E162" s="3">
        <v>78.400000000000006</v>
      </c>
      <c r="F162" s="3">
        <v>75.7</v>
      </c>
    </row>
    <row r="163" spans="1:6" hidden="1">
      <c r="A163" s="3">
        <v>1</v>
      </c>
      <c r="B163" s="3">
        <v>1</v>
      </c>
      <c r="C163" s="3">
        <v>65.099999999999994</v>
      </c>
      <c r="D163" s="3">
        <v>82.8</v>
      </c>
      <c r="E163" s="3">
        <v>78.5</v>
      </c>
      <c r="F163" s="3">
        <v>75.900000000000006</v>
      </c>
    </row>
    <row r="164" spans="1:6" hidden="1">
      <c r="A164" s="3">
        <v>1</v>
      </c>
      <c r="B164" s="3">
        <v>1</v>
      </c>
      <c r="C164" s="3">
        <v>65.2</v>
      </c>
      <c r="D164" s="3">
        <v>82.8</v>
      </c>
      <c r="E164" s="3">
        <v>78.5</v>
      </c>
      <c r="F164" s="3">
        <v>76</v>
      </c>
    </row>
    <row r="165" spans="1:6" hidden="1">
      <c r="A165" s="3">
        <v>2</v>
      </c>
      <c r="B165" s="3">
        <v>1</v>
      </c>
      <c r="C165" s="3">
        <v>65.2</v>
      </c>
      <c r="D165" s="3">
        <v>83</v>
      </c>
      <c r="E165" s="3">
        <v>78.5</v>
      </c>
      <c r="F165" s="3">
        <v>76.099999999999994</v>
      </c>
    </row>
    <row r="166" spans="1:6" hidden="1">
      <c r="A166" s="3">
        <v>1</v>
      </c>
      <c r="B166" s="3">
        <v>1</v>
      </c>
      <c r="C166" s="3">
        <v>65.3</v>
      </c>
      <c r="D166" s="3">
        <v>83</v>
      </c>
      <c r="E166" s="3">
        <v>78.900000000000006</v>
      </c>
      <c r="F166" s="3">
        <v>76.099999999999994</v>
      </c>
    </row>
    <row r="167" spans="1:6">
      <c r="A167" s="3">
        <v>3</v>
      </c>
      <c r="B167" s="3">
        <v>1</v>
      </c>
      <c r="C167" s="3">
        <v>65.3</v>
      </c>
      <c r="D167" s="3">
        <v>83</v>
      </c>
      <c r="E167" s="3">
        <v>79.099999999999994</v>
      </c>
      <c r="F167" s="3">
        <v>76.099999999999994</v>
      </c>
    </row>
    <row r="168" spans="1:6">
      <c r="A168" s="3">
        <v>3</v>
      </c>
      <c r="B168" s="3">
        <v>1</v>
      </c>
      <c r="C168" s="3">
        <v>65.5</v>
      </c>
      <c r="D168" s="3">
        <v>83</v>
      </c>
      <c r="E168" s="3">
        <v>79.400000000000006</v>
      </c>
      <c r="F168" s="3">
        <v>76.099999999999994</v>
      </c>
    </row>
    <row r="169" spans="1:6" hidden="1">
      <c r="A169" s="3">
        <v>2</v>
      </c>
      <c r="B169" s="3">
        <v>1</v>
      </c>
      <c r="C169" s="3">
        <v>65.599999999999994</v>
      </c>
      <c r="D169" s="3">
        <v>83.1</v>
      </c>
      <c r="E169" s="3">
        <v>79.599999999999994</v>
      </c>
      <c r="F169" s="3">
        <v>76.3</v>
      </c>
    </row>
    <row r="170" spans="1:6">
      <c r="A170" s="3">
        <v>3</v>
      </c>
      <c r="B170" s="3">
        <v>1</v>
      </c>
      <c r="C170" s="3">
        <v>65.599999999999994</v>
      </c>
      <c r="D170" s="3">
        <v>83.1</v>
      </c>
      <c r="E170" s="3">
        <v>79.7</v>
      </c>
      <c r="F170" s="3">
        <v>76.3</v>
      </c>
    </row>
    <row r="171" spans="1:6" hidden="1">
      <c r="A171" s="3">
        <v>1</v>
      </c>
      <c r="B171" s="3">
        <v>1</v>
      </c>
      <c r="C171" s="3">
        <v>65.7</v>
      </c>
      <c r="D171" s="3">
        <v>83.2</v>
      </c>
      <c r="E171" s="3">
        <v>79.8</v>
      </c>
      <c r="F171" s="3">
        <v>76.599999999999994</v>
      </c>
    </row>
    <row r="172" spans="1:6" hidden="1">
      <c r="A172" s="3">
        <v>2</v>
      </c>
      <c r="B172" s="3">
        <v>1</v>
      </c>
      <c r="C172" s="3">
        <v>65.7</v>
      </c>
      <c r="D172" s="3">
        <v>83.5</v>
      </c>
      <c r="E172" s="3">
        <v>79.900000000000006</v>
      </c>
      <c r="F172" s="3">
        <v>76.8</v>
      </c>
    </row>
    <row r="173" spans="1:6">
      <c r="A173" s="3">
        <v>3</v>
      </c>
      <c r="B173" s="3">
        <v>1</v>
      </c>
      <c r="C173" s="3">
        <v>65.8</v>
      </c>
      <c r="D173" s="3">
        <v>83.6</v>
      </c>
      <c r="E173" s="3">
        <v>79.900000000000006</v>
      </c>
      <c r="F173" s="3">
        <v>76.8</v>
      </c>
    </row>
    <row r="174" spans="1:6" hidden="1">
      <c r="A174" s="3">
        <v>2</v>
      </c>
      <c r="B174" s="3">
        <v>1</v>
      </c>
      <c r="C174" s="3">
        <v>65.900000000000006</v>
      </c>
      <c r="D174" s="3">
        <v>83.7</v>
      </c>
      <c r="E174" s="3">
        <v>79.900000000000006</v>
      </c>
      <c r="F174" s="3">
        <v>76.900000000000006</v>
      </c>
    </row>
    <row r="175" spans="1:6" hidden="1">
      <c r="A175" s="3">
        <v>2</v>
      </c>
      <c r="B175" s="3">
        <v>1</v>
      </c>
      <c r="C175" s="3">
        <v>65.900000000000006</v>
      </c>
      <c r="D175" s="3">
        <v>83.8</v>
      </c>
      <c r="E175" s="3">
        <v>79.900000000000006</v>
      </c>
      <c r="F175" s="3">
        <v>77</v>
      </c>
    </row>
    <row r="176" spans="1:6" hidden="1">
      <c r="A176" s="3">
        <v>1</v>
      </c>
      <c r="B176" s="3">
        <v>1</v>
      </c>
      <c r="C176" s="3">
        <v>66</v>
      </c>
      <c r="D176" s="3">
        <v>84.1</v>
      </c>
      <c r="E176" s="3">
        <v>80.099999999999994</v>
      </c>
      <c r="F176" s="3">
        <v>77.2</v>
      </c>
    </row>
    <row r="177" spans="1:6">
      <c r="A177" s="3">
        <v>3</v>
      </c>
      <c r="B177" s="3">
        <v>1</v>
      </c>
      <c r="C177" s="3">
        <v>66</v>
      </c>
      <c r="D177" s="3">
        <v>84.2</v>
      </c>
      <c r="E177" s="3">
        <v>80.2</v>
      </c>
      <c r="F177" s="3">
        <v>77.2</v>
      </c>
    </row>
    <row r="178" spans="1:6">
      <c r="A178" s="3">
        <v>3</v>
      </c>
      <c r="B178" s="3">
        <v>1</v>
      </c>
      <c r="C178" s="3">
        <v>66</v>
      </c>
      <c r="D178" s="3">
        <v>84.2</v>
      </c>
      <c r="E178" s="3">
        <v>80.2</v>
      </c>
      <c r="F178" s="3">
        <v>77.2</v>
      </c>
    </row>
    <row r="179" spans="1:6" hidden="1">
      <c r="A179" s="3">
        <v>2</v>
      </c>
      <c r="B179" s="3">
        <v>1</v>
      </c>
      <c r="C179" s="3">
        <v>66</v>
      </c>
      <c r="D179" s="3">
        <v>84.3</v>
      </c>
      <c r="E179" s="3">
        <v>80.2</v>
      </c>
      <c r="F179" s="3">
        <v>77.2</v>
      </c>
    </row>
    <row r="180" spans="1:6">
      <c r="A180" s="3">
        <v>3</v>
      </c>
      <c r="B180" s="3">
        <v>1</v>
      </c>
      <c r="C180" s="3">
        <v>66</v>
      </c>
      <c r="D180" s="3">
        <v>84.3</v>
      </c>
      <c r="E180" s="3">
        <v>80.2</v>
      </c>
      <c r="F180" s="3">
        <v>77.3</v>
      </c>
    </row>
    <row r="181" spans="1:6">
      <c r="A181" s="3">
        <v>3</v>
      </c>
      <c r="B181" s="3">
        <v>1</v>
      </c>
      <c r="C181" s="3">
        <v>66.099999999999994</v>
      </c>
      <c r="D181" s="3">
        <v>84.5</v>
      </c>
      <c r="E181" s="3">
        <v>80.400000000000006</v>
      </c>
      <c r="F181" s="3">
        <v>77.5</v>
      </c>
    </row>
    <row r="182" spans="1:6" hidden="1">
      <c r="A182" s="3">
        <v>1</v>
      </c>
      <c r="B182" s="3">
        <v>1</v>
      </c>
      <c r="C182" s="3">
        <v>66.2</v>
      </c>
      <c r="D182" s="3">
        <v>84.5</v>
      </c>
      <c r="E182" s="3">
        <v>80.599999999999994</v>
      </c>
      <c r="F182" s="3">
        <v>77.7</v>
      </c>
    </row>
    <row r="183" spans="1:6">
      <c r="A183" s="3">
        <v>3</v>
      </c>
      <c r="B183" s="3">
        <v>1</v>
      </c>
      <c r="C183" s="3">
        <v>66.3</v>
      </c>
      <c r="D183" s="3">
        <v>84.6</v>
      </c>
      <c r="E183" s="3">
        <v>80.599999999999994</v>
      </c>
      <c r="F183" s="3">
        <v>77.7</v>
      </c>
    </row>
    <row r="184" spans="1:6">
      <c r="A184" s="3">
        <v>3</v>
      </c>
      <c r="B184" s="3">
        <v>1</v>
      </c>
      <c r="C184" s="3">
        <v>66.400000000000006</v>
      </c>
      <c r="D184" s="3">
        <v>84.8</v>
      </c>
      <c r="E184" s="3">
        <v>80.599999999999994</v>
      </c>
      <c r="F184" s="3">
        <v>77.7</v>
      </c>
    </row>
    <row r="185" spans="1:6" hidden="1">
      <c r="A185" s="3">
        <v>1</v>
      </c>
      <c r="B185" s="3">
        <v>1</v>
      </c>
      <c r="C185" s="3">
        <v>66.5</v>
      </c>
      <c r="D185" s="3">
        <v>85</v>
      </c>
      <c r="E185" s="3">
        <v>80.7</v>
      </c>
      <c r="F185" s="3">
        <v>77.7</v>
      </c>
    </row>
    <row r="186" spans="1:6" hidden="1">
      <c r="A186" s="3">
        <v>2</v>
      </c>
      <c r="B186" s="3">
        <v>1</v>
      </c>
      <c r="C186" s="3">
        <v>66.5</v>
      </c>
      <c r="D186" s="3">
        <v>85</v>
      </c>
      <c r="E186" s="3">
        <v>81</v>
      </c>
      <c r="F186" s="3">
        <v>77.8</v>
      </c>
    </row>
    <row r="187" spans="1:6" hidden="1">
      <c r="A187" s="3">
        <v>2</v>
      </c>
      <c r="B187" s="3">
        <v>1</v>
      </c>
      <c r="C187" s="3">
        <v>66.5</v>
      </c>
      <c r="D187" s="3">
        <v>85.1</v>
      </c>
      <c r="E187" s="3">
        <v>81</v>
      </c>
      <c r="F187" s="3">
        <v>77.8</v>
      </c>
    </row>
    <row r="188" spans="1:6" hidden="1">
      <c r="A188" s="3">
        <v>1</v>
      </c>
      <c r="B188" s="3">
        <v>1</v>
      </c>
      <c r="C188" s="3">
        <v>66.5</v>
      </c>
      <c r="D188" s="3">
        <v>85.1</v>
      </c>
      <c r="E188" s="3">
        <v>81.2</v>
      </c>
      <c r="F188" s="3">
        <v>78.2</v>
      </c>
    </row>
    <row r="189" spans="1:6" hidden="1">
      <c r="A189" s="3">
        <v>2</v>
      </c>
      <c r="B189" s="3">
        <v>1</v>
      </c>
      <c r="C189" s="3">
        <v>66.7</v>
      </c>
      <c r="D189" s="3">
        <v>85.2</v>
      </c>
      <c r="E189" s="3">
        <v>81.2</v>
      </c>
      <c r="F189" s="3">
        <v>78.2</v>
      </c>
    </row>
    <row r="190" spans="1:6" hidden="1">
      <c r="A190" s="3">
        <v>2</v>
      </c>
      <c r="B190" s="3">
        <v>1</v>
      </c>
      <c r="C190" s="3">
        <v>66.7</v>
      </c>
      <c r="D190" s="3">
        <v>85.2</v>
      </c>
      <c r="E190" s="3">
        <v>81.400000000000006</v>
      </c>
      <c r="F190" s="3">
        <v>78.2</v>
      </c>
    </row>
    <row r="191" spans="1:6" hidden="1">
      <c r="A191" s="3">
        <v>2</v>
      </c>
      <c r="B191" s="3">
        <v>0</v>
      </c>
      <c r="C191" s="3">
        <v>66.7</v>
      </c>
      <c r="D191" s="3">
        <v>85.3</v>
      </c>
      <c r="E191" s="3">
        <v>81.7</v>
      </c>
      <c r="F191" s="3">
        <v>78.3</v>
      </c>
    </row>
    <row r="192" spans="1:6">
      <c r="A192" s="3">
        <v>3</v>
      </c>
      <c r="B192" s="3">
        <v>1</v>
      </c>
      <c r="C192" s="3">
        <v>66.8</v>
      </c>
      <c r="D192" s="3">
        <v>85.5</v>
      </c>
      <c r="E192" s="3">
        <v>81.900000000000006</v>
      </c>
      <c r="F192" s="3">
        <v>78.3</v>
      </c>
    </row>
    <row r="193" spans="1:6">
      <c r="A193" s="3">
        <v>3</v>
      </c>
      <c r="B193" s="3">
        <v>0</v>
      </c>
      <c r="C193" s="3">
        <v>66.8</v>
      </c>
      <c r="D193" s="3">
        <v>85.5</v>
      </c>
      <c r="E193" s="3">
        <v>81.900000000000006</v>
      </c>
      <c r="F193" s="3">
        <v>78.400000000000006</v>
      </c>
    </row>
    <row r="194" spans="1:6" hidden="1">
      <c r="A194" s="3">
        <v>2</v>
      </c>
      <c r="B194" s="3">
        <v>1</v>
      </c>
      <c r="C194" s="3">
        <v>66.8</v>
      </c>
      <c r="D194" s="3">
        <v>85.5</v>
      </c>
      <c r="E194" s="3">
        <v>82.1</v>
      </c>
      <c r="F194" s="3">
        <v>78.400000000000006</v>
      </c>
    </row>
    <row r="195" spans="1:6" hidden="1">
      <c r="A195" s="3">
        <v>2</v>
      </c>
      <c r="B195" s="3">
        <v>1</v>
      </c>
      <c r="C195" s="3">
        <v>66.8</v>
      </c>
      <c r="D195" s="3">
        <v>85.6</v>
      </c>
      <c r="E195" s="3">
        <v>82.2</v>
      </c>
      <c r="F195" s="3">
        <v>78.7</v>
      </c>
    </row>
    <row r="196" spans="1:6">
      <c r="A196" s="3">
        <v>3</v>
      </c>
      <c r="B196" s="3">
        <v>1</v>
      </c>
      <c r="C196" s="3">
        <v>67</v>
      </c>
      <c r="D196" s="3">
        <v>85.7</v>
      </c>
      <c r="E196" s="3">
        <v>82.2</v>
      </c>
      <c r="F196" s="3">
        <v>78.8</v>
      </c>
    </row>
    <row r="197" spans="1:6" hidden="1">
      <c r="A197" s="3">
        <v>2</v>
      </c>
      <c r="B197" s="3">
        <v>1</v>
      </c>
      <c r="C197" s="3">
        <v>67</v>
      </c>
      <c r="D197" s="3">
        <v>86</v>
      </c>
      <c r="E197" s="3">
        <v>82.4</v>
      </c>
      <c r="F197" s="3">
        <v>78.8</v>
      </c>
    </row>
    <row r="198" spans="1:6" hidden="1">
      <c r="A198" s="3">
        <v>1</v>
      </c>
      <c r="B198" s="3">
        <v>1</v>
      </c>
      <c r="C198" s="3">
        <v>67</v>
      </c>
      <c r="D198" s="3">
        <v>86</v>
      </c>
      <c r="E198" s="3">
        <v>82.6</v>
      </c>
      <c r="F198" s="3">
        <v>78.8</v>
      </c>
    </row>
    <row r="199" spans="1:6" hidden="1">
      <c r="A199" s="3">
        <v>1</v>
      </c>
      <c r="B199" s="3">
        <v>1</v>
      </c>
      <c r="C199" s="3">
        <v>67</v>
      </c>
      <c r="D199" s="3">
        <v>86</v>
      </c>
      <c r="E199" s="3">
        <v>82.6</v>
      </c>
      <c r="F199" s="3">
        <v>79</v>
      </c>
    </row>
    <row r="200" spans="1:6" hidden="1">
      <c r="A200" s="3">
        <v>2</v>
      </c>
      <c r="B200" s="3">
        <v>1</v>
      </c>
      <c r="C200" s="3">
        <v>67.099999999999994</v>
      </c>
      <c r="D200" s="3">
        <v>86</v>
      </c>
      <c r="E200" s="3">
        <v>82.7</v>
      </c>
      <c r="F200" s="3">
        <v>79.099999999999994</v>
      </c>
    </row>
    <row r="201" spans="1:6" hidden="1">
      <c r="A201" s="3">
        <v>1</v>
      </c>
      <c r="B201" s="3">
        <v>1</v>
      </c>
      <c r="C201" s="3">
        <v>67.2</v>
      </c>
      <c r="D201" s="3">
        <v>86.6</v>
      </c>
      <c r="E201" s="3">
        <v>82.8</v>
      </c>
      <c r="F201" s="3">
        <v>79.2</v>
      </c>
    </row>
    <row r="202" spans="1:6" hidden="1">
      <c r="A202" s="3">
        <v>2</v>
      </c>
      <c r="B202" s="3">
        <v>1</v>
      </c>
      <c r="C202" s="3">
        <v>67.2</v>
      </c>
      <c r="D202" s="3">
        <v>86.7</v>
      </c>
      <c r="E202" s="3">
        <v>82.9</v>
      </c>
      <c r="F202" s="3">
        <v>79.3</v>
      </c>
    </row>
    <row r="203" spans="1:6" hidden="1">
      <c r="A203" s="3">
        <v>1</v>
      </c>
      <c r="B203" s="3">
        <v>1</v>
      </c>
      <c r="C203" s="3">
        <v>67.3</v>
      </c>
      <c r="D203" s="3">
        <v>86.7</v>
      </c>
      <c r="E203" s="3">
        <v>82.9</v>
      </c>
      <c r="F203" s="3">
        <v>79.400000000000006</v>
      </c>
    </row>
    <row r="204" spans="1:6">
      <c r="A204" s="3">
        <v>3</v>
      </c>
      <c r="B204" s="3">
        <v>1</v>
      </c>
      <c r="C204" s="3">
        <v>67.3</v>
      </c>
      <c r="D204" s="3">
        <v>86.7</v>
      </c>
      <c r="E204" s="3">
        <v>83</v>
      </c>
      <c r="F204" s="3">
        <v>79.400000000000006</v>
      </c>
    </row>
    <row r="205" spans="1:6">
      <c r="A205" s="3">
        <v>3</v>
      </c>
      <c r="B205" s="3">
        <v>1</v>
      </c>
      <c r="C205" s="3">
        <v>67.3</v>
      </c>
      <c r="D205" s="3">
        <v>87</v>
      </c>
      <c r="E205" s="3">
        <v>83</v>
      </c>
      <c r="F205" s="3">
        <v>79.5</v>
      </c>
    </row>
    <row r="206" spans="1:6" hidden="1">
      <c r="A206" s="3">
        <v>2</v>
      </c>
      <c r="B206" s="3">
        <v>1</v>
      </c>
      <c r="C206" s="3">
        <v>67.400000000000006</v>
      </c>
      <c r="D206" s="3">
        <v>87</v>
      </c>
      <c r="E206" s="3">
        <v>83.2</v>
      </c>
      <c r="F206" s="3">
        <v>79.900000000000006</v>
      </c>
    </row>
    <row r="207" spans="1:6">
      <c r="A207" s="3">
        <v>3</v>
      </c>
      <c r="B207" s="3">
        <v>1</v>
      </c>
      <c r="C207" s="3">
        <v>67.5</v>
      </c>
      <c r="D207" s="3">
        <v>87.3</v>
      </c>
      <c r="E207" s="3">
        <v>83.2</v>
      </c>
      <c r="F207" s="3">
        <v>80</v>
      </c>
    </row>
    <row r="208" spans="1:6" hidden="1">
      <c r="A208" s="3">
        <v>1</v>
      </c>
      <c r="B208" s="3">
        <v>1</v>
      </c>
      <c r="C208" s="3">
        <v>67.5</v>
      </c>
      <c r="D208" s="3">
        <v>87.3</v>
      </c>
      <c r="E208" s="3">
        <v>83.3</v>
      </c>
      <c r="F208" s="3">
        <v>80</v>
      </c>
    </row>
    <row r="209" spans="1:6">
      <c r="A209" s="3">
        <v>3</v>
      </c>
      <c r="B209" s="3">
        <v>1</v>
      </c>
      <c r="C209" s="3">
        <v>67.599999999999994</v>
      </c>
      <c r="D209" s="3">
        <v>88</v>
      </c>
      <c r="E209" s="3">
        <v>83.4</v>
      </c>
      <c r="F209" s="3">
        <v>80.099999999999994</v>
      </c>
    </row>
    <row r="210" spans="1:6">
      <c r="A210" s="3">
        <v>3</v>
      </c>
      <c r="B210" s="3">
        <v>1</v>
      </c>
      <c r="C210" s="3">
        <v>67.599999999999994</v>
      </c>
      <c r="D210" s="3">
        <v>88.1</v>
      </c>
      <c r="E210" s="3">
        <v>83.6</v>
      </c>
      <c r="F210" s="3">
        <v>80.099999999999994</v>
      </c>
    </row>
    <row r="211" spans="1:6" hidden="1">
      <c r="A211" s="3">
        <v>1</v>
      </c>
      <c r="B211" s="3">
        <v>1</v>
      </c>
      <c r="C211" s="3">
        <v>67.8</v>
      </c>
      <c r="D211" s="3">
        <v>88.2</v>
      </c>
      <c r="E211" s="3">
        <v>83.9</v>
      </c>
      <c r="F211" s="3">
        <v>80.2</v>
      </c>
    </row>
    <row r="212" spans="1:6">
      <c r="A212" s="3">
        <v>3</v>
      </c>
      <c r="B212" s="3">
        <v>1</v>
      </c>
      <c r="C212" s="3">
        <v>67.900000000000006</v>
      </c>
      <c r="D212" s="3">
        <v>88.2</v>
      </c>
      <c r="E212" s="3">
        <v>83.9</v>
      </c>
      <c r="F212" s="3">
        <v>80.2</v>
      </c>
    </row>
    <row r="213" spans="1:6">
      <c r="A213" s="3">
        <v>3</v>
      </c>
      <c r="B213" s="3">
        <v>1</v>
      </c>
      <c r="C213" s="3">
        <v>68.099999999999994</v>
      </c>
      <c r="D213" s="3">
        <v>88.3</v>
      </c>
      <c r="E213" s="3">
        <v>84</v>
      </c>
      <c r="F213" s="3">
        <v>80.3</v>
      </c>
    </row>
    <row r="214" spans="1:6" hidden="1">
      <c r="A214" s="3">
        <v>2</v>
      </c>
      <c r="B214" s="3">
        <v>1</v>
      </c>
      <c r="C214" s="3">
        <v>68.099999999999994</v>
      </c>
      <c r="D214" s="3">
        <v>88.5</v>
      </c>
      <c r="E214" s="3">
        <v>84</v>
      </c>
      <c r="F214" s="3">
        <v>80.3</v>
      </c>
    </row>
    <row r="215" spans="1:6" hidden="1">
      <c r="A215" s="3">
        <v>2</v>
      </c>
      <c r="B215" s="3">
        <v>1</v>
      </c>
      <c r="C215" s="3">
        <v>68.2</v>
      </c>
      <c r="D215" s="3">
        <v>88.6</v>
      </c>
      <c r="E215" s="3">
        <v>84.3</v>
      </c>
      <c r="F215" s="3">
        <v>80.3</v>
      </c>
    </row>
    <row r="216" spans="1:6" hidden="1">
      <c r="A216" s="3">
        <v>1</v>
      </c>
      <c r="B216" s="3">
        <v>1</v>
      </c>
      <c r="C216" s="3">
        <v>68.2</v>
      </c>
      <c r="D216" s="3">
        <v>88.6</v>
      </c>
      <c r="E216" s="3">
        <v>84.5</v>
      </c>
      <c r="F216" s="3">
        <v>80.3</v>
      </c>
    </row>
    <row r="217" spans="1:6" hidden="1">
      <c r="A217" s="3">
        <v>2</v>
      </c>
      <c r="B217" s="3">
        <v>1</v>
      </c>
      <c r="C217" s="3">
        <v>68.400000000000006</v>
      </c>
      <c r="D217" s="3">
        <v>88.9</v>
      </c>
      <c r="E217" s="3">
        <v>84.5</v>
      </c>
      <c r="F217" s="3">
        <v>80.5</v>
      </c>
    </row>
    <row r="218" spans="1:6">
      <c r="A218" s="3">
        <v>3</v>
      </c>
      <c r="B218" s="3">
        <v>1</v>
      </c>
      <c r="C218" s="3">
        <v>68.400000000000006</v>
      </c>
      <c r="D218" s="3">
        <v>89</v>
      </c>
      <c r="E218" s="3">
        <v>84.6</v>
      </c>
      <c r="F218" s="3">
        <v>80.599999999999994</v>
      </c>
    </row>
    <row r="219" spans="1:6">
      <c r="A219" s="3">
        <v>3</v>
      </c>
      <c r="B219" s="3">
        <v>1</v>
      </c>
      <c r="C219" s="3">
        <v>68.400000000000006</v>
      </c>
      <c r="D219" s="3">
        <v>89.1</v>
      </c>
      <c r="E219" s="3">
        <v>84.7</v>
      </c>
      <c r="F219" s="3">
        <v>80.7</v>
      </c>
    </row>
    <row r="220" spans="1:6" hidden="1">
      <c r="A220" s="3">
        <v>1</v>
      </c>
      <c r="B220" s="3">
        <v>1</v>
      </c>
      <c r="C220" s="3">
        <v>68.400000000000006</v>
      </c>
      <c r="D220" s="3">
        <v>89.2</v>
      </c>
      <c r="E220" s="3">
        <v>84.7</v>
      </c>
      <c r="F220" s="3">
        <v>80.8</v>
      </c>
    </row>
    <row r="221" spans="1:6" hidden="1">
      <c r="A221" s="3">
        <v>1</v>
      </c>
      <c r="B221" s="3">
        <v>1</v>
      </c>
      <c r="C221" s="3">
        <v>68.5</v>
      </c>
      <c r="D221" s="3">
        <v>89.5</v>
      </c>
      <c r="E221" s="3">
        <v>84.8</v>
      </c>
      <c r="F221" s="3">
        <v>80.8</v>
      </c>
    </row>
    <row r="222" spans="1:6" hidden="1">
      <c r="A222" s="3">
        <v>1</v>
      </c>
      <c r="B222" s="3">
        <v>1</v>
      </c>
      <c r="C222" s="3">
        <v>68.5</v>
      </c>
      <c r="D222" s="3">
        <v>89.6</v>
      </c>
      <c r="E222" s="3">
        <v>85</v>
      </c>
      <c r="F222" s="3">
        <v>80.8</v>
      </c>
    </row>
    <row r="223" spans="1:6" hidden="1">
      <c r="A223" s="3">
        <v>2</v>
      </c>
      <c r="B223" s="3">
        <v>1</v>
      </c>
      <c r="C223" s="3">
        <v>68.599999999999994</v>
      </c>
      <c r="D223" s="3">
        <v>89.6</v>
      </c>
      <c r="E223" s="3">
        <v>85</v>
      </c>
      <c r="F223" s="3">
        <v>81</v>
      </c>
    </row>
    <row r="224" spans="1:6" hidden="1">
      <c r="A224" s="3">
        <v>2</v>
      </c>
      <c r="B224" s="3">
        <v>1</v>
      </c>
      <c r="C224" s="3">
        <v>68.599999999999994</v>
      </c>
      <c r="D224" s="3">
        <v>89.9</v>
      </c>
      <c r="E224" s="3">
        <v>85.1</v>
      </c>
      <c r="F224" s="3">
        <v>81</v>
      </c>
    </row>
    <row r="225" spans="1:6">
      <c r="A225" s="3">
        <v>3</v>
      </c>
      <c r="B225" s="3">
        <v>1</v>
      </c>
      <c r="C225" s="3">
        <v>68.7</v>
      </c>
      <c r="D225" s="3">
        <v>90.1</v>
      </c>
      <c r="E225" s="3">
        <v>85.2</v>
      </c>
      <c r="F225" s="3">
        <v>81</v>
      </c>
    </row>
    <row r="226" spans="1:6" hidden="1">
      <c r="A226" s="3">
        <v>1</v>
      </c>
      <c r="B226" s="3">
        <v>1</v>
      </c>
      <c r="C226" s="3">
        <v>68.7</v>
      </c>
      <c r="D226" s="3">
        <v>90.2</v>
      </c>
      <c r="E226" s="3">
        <v>85.4</v>
      </c>
      <c r="F226" s="3">
        <v>81</v>
      </c>
    </row>
    <row r="227" spans="1:6">
      <c r="A227" s="3">
        <v>3</v>
      </c>
      <c r="B227" s="3">
        <v>1</v>
      </c>
      <c r="C227" s="3">
        <v>68.7</v>
      </c>
      <c r="D227" s="3">
        <v>90.2</v>
      </c>
      <c r="E227" s="3">
        <v>85.5</v>
      </c>
      <c r="F227" s="3">
        <v>81.099999999999994</v>
      </c>
    </row>
    <row r="228" spans="1:6" hidden="1">
      <c r="A228" s="3">
        <v>2</v>
      </c>
      <c r="B228" s="3">
        <v>1</v>
      </c>
      <c r="C228" s="3">
        <v>68.8</v>
      </c>
      <c r="D228" s="3">
        <v>90.2</v>
      </c>
      <c r="E228" s="3">
        <v>85.7</v>
      </c>
      <c r="F228" s="3">
        <v>81.2</v>
      </c>
    </row>
    <row r="229" spans="1:6" hidden="1">
      <c r="A229" s="3">
        <v>2</v>
      </c>
      <c r="B229" s="3">
        <v>1</v>
      </c>
      <c r="C229" s="3">
        <v>68.900000000000006</v>
      </c>
      <c r="D229" s="3">
        <v>90.3</v>
      </c>
      <c r="E229" s="3">
        <v>85.7</v>
      </c>
      <c r="F229" s="3">
        <v>81.400000000000006</v>
      </c>
    </row>
    <row r="230" spans="1:6" hidden="1">
      <c r="A230" s="3">
        <v>1</v>
      </c>
      <c r="B230" s="3">
        <v>1</v>
      </c>
      <c r="C230" s="3">
        <v>69</v>
      </c>
      <c r="D230" s="3">
        <v>90.5</v>
      </c>
      <c r="E230" s="3">
        <v>85.8</v>
      </c>
      <c r="F230" s="3">
        <v>81.5</v>
      </c>
    </row>
    <row r="231" spans="1:6">
      <c r="A231" s="3">
        <v>3</v>
      </c>
      <c r="B231" s="3">
        <v>1</v>
      </c>
      <c r="C231" s="3">
        <v>69</v>
      </c>
      <c r="D231" s="3">
        <v>90.7</v>
      </c>
      <c r="E231" s="3">
        <v>85.9</v>
      </c>
      <c r="F231" s="3">
        <v>81.5</v>
      </c>
    </row>
    <row r="232" spans="1:6" hidden="1">
      <c r="A232" s="3">
        <v>1</v>
      </c>
      <c r="B232" s="3">
        <v>0</v>
      </c>
      <c r="C232" s="3">
        <v>69</v>
      </c>
      <c r="D232" s="3">
        <v>91</v>
      </c>
      <c r="E232" s="3">
        <v>85.9</v>
      </c>
      <c r="F232" s="3">
        <v>81.7</v>
      </c>
    </row>
    <row r="233" spans="1:6" hidden="1">
      <c r="A233" s="3">
        <v>1</v>
      </c>
      <c r="B233" s="3">
        <v>1</v>
      </c>
      <c r="C233" s="3">
        <v>69.099999999999994</v>
      </c>
      <c r="D233" s="3">
        <v>91</v>
      </c>
      <c r="E233" s="3">
        <v>86</v>
      </c>
      <c r="F233" s="3">
        <v>82</v>
      </c>
    </row>
    <row r="234" spans="1:6" hidden="1">
      <c r="A234" s="3">
        <v>1</v>
      </c>
      <c r="B234" s="3">
        <v>1</v>
      </c>
      <c r="C234" s="3">
        <v>69.099999999999994</v>
      </c>
      <c r="D234" s="3">
        <v>91.2</v>
      </c>
      <c r="E234" s="3">
        <v>86</v>
      </c>
      <c r="F234" s="3">
        <v>82.1</v>
      </c>
    </row>
    <row r="235" spans="1:6" hidden="1">
      <c r="A235" s="3">
        <v>2</v>
      </c>
      <c r="B235" s="3">
        <v>1</v>
      </c>
      <c r="C235" s="3">
        <v>69.099999999999994</v>
      </c>
      <c r="D235" s="3">
        <v>91.3</v>
      </c>
      <c r="E235" s="3">
        <v>86.2</v>
      </c>
      <c r="F235" s="3">
        <v>82.2</v>
      </c>
    </row>
    <row r="236" spans="1:6" hidden="1">
      <c r="A236" s="3">
        <v>2</v>
      </c>
      <c r="B236" s="3">
        <v>0</v>
      </c>
      <c r="C236" s="3">
        <v>69.2</v>
      </c>
      <c r="D236" s="3">
        <v>91.4</v>
      </c>
      <c r="E236" s="3">
        <v>86.2</v>
      </c>
      <c r="F236" s="3">
        <v>82.2</v>
      </c>
    </row>
    <row r="237" spans="1:6" hidden="1">
      <c r="A237" s="3">
        <v>1</v>
      </c>
      <c r="B237" s="3">
        <v>1</v>
      </c>
      <c r="C237" s="3">
        <v>69.2</v>
      </c>
      <c r="D237" s="3">
        <v>91.5</v>
      </c>
      <c r="E237" s="3">
        <v>86.2</v>
      </c>
      <c r="F237" s="3">
        <v>82.2</v>
      </c>
    </row>
    <row r="238" spans="1:6" hidden="1">
      <c r="A238" s="3">
        <v>2</v>
      </c>
      <c r="B238" s="3">
        <v>1</v>
      </c>
      <c r="C238" s="3">
        <v>69.2</v>
      </c>
      <c r="D238" s="3">
        <v>91.7</v>
      </c>
      <c r="E238" s="3">
        <v>86.3</v>
      </c>
      <c r="F238" s="3">
        <v>82.2</v>
      </c>
    </row>
    <row r="239" spans="1:6" hidden="1">
      <c r="A239" s="3">
        <v>2</v>
      </c>
      <c r="B239" s="3">
        <v>1</v>
      </c>
      <c r="C239" s="3">
        <v>69.2</v>
      </c>
      <c r="D239" s="3">
        <v>92</v>
      </c>
      <c r="E239" s="3">
        <v>86.4</v>
      </c>
      <c r="F239" s="3">
        <v>82.2</v>
      </c>
    </row>
    <row r="240" spans="1:6">
      <c r="A240" s="3">
        <v>3</v>
      </c>
      <c r="B240" s="3">
        <v>1</v>
      </c>
      <c r="C240" s="3">
        <v>69.3</v>
      </c>
      <c r="D240" s="3">
        <v>92.1</v>
      </c>
      <c r="E240" s="3">
        <v>86.6</v>
      </c>
      <c r="F240" s="3">
        <v>82.3</v>
      </c>
    </row>
    <row r="241" spans="1:6">
      <c r="A241" s="3">
        <v>3</v>
      </c>
      <c r="B241" s="3">
        <v>1</v>
      </c>
      <c r="C241" s="3">
        <v>69.3</v>
      </c>
      <c r="D241" s="3">
        <v>92.3</v>
      </c>
      <c r="E241" s="3">
        <v>86.8</v>
      </c>
      <c r="F241" s="3">
        <v>82.3</v>
      </c>
    </row>
    <row r="242" spans="1:6" hidden="1">
      <c r="A242" s="3">
        <v>1</v>
      </c>
      <c r="B242" s="3">
        <v>1</v>
      </c>
      <c r="C242" s="3">
        <v>69.5</v>
      </c>
      <c r="D242" s="3">
        <v>92.4</v>
      </c>
      <c r="E242" s="3">
        <v>86.8</v>
      </c>
      <c r="F242" s="3">
        <v>82.5</v>
      </c>
    </row>
    <row r="243" spans="1:6" hidden="1">
      <c r="A243" s="3">
        <v>2</v>
      </c>
      <c r="B243" s="3">
        <v>0</v>
      </c>
      <c r="C243" s="3">
        <v>69.5</v>
      </c>
      <c r="D243" s="3">
        <v>92.4</v>
      </c>
      <c r="E243" s="3">
        <v>87</v>
      </c>
      <c r="F243" s="3">
        <v>82.5</v>
      </c>
    </row>
    <row r="244" spans="1:6">
      <c r="A244" s="3">
        <v>3</v>
      </c>
      <c r="B244" s="3">
        <v>1</v>
      </c>
      <c r="C244" s="3">
        <v>69.5</v>
      </c>
      <c r="D244" s="3">
        <v>92.5</v>
      </c>
      <c r="E244" s="3">
        <v>87</v>
      </c>
      <c r="F244" s="3">
        <v>82.5</v>
      </c>
    </row>
    <row r="245" spans="1:6" hidden="1">
      <c r="A245" s="3">
        <v>2</v>
      </c>
      <c r="B245" s="3">
        <v>0</v>
      </c>
      <c r="C245" s="3">
        <v>69.5</v>
      </c>
      <c r="D245" s="3">
        <v>92.6</v>
      </c>
      <c r="E245" s="3">
        <v>87</v>
      </c>
      <c r="F245" s="3">
        <v>82.5</v>
      </c>
    </row>
    <row r="246" spans="1:6" hidden="1">
      <c r="A246" s="3">
        <v>2</v>
      </c>
      <c r="B246" s="3">
        <v>0</v>
      </c>
      <c r="C246" s="3">
        <v>69.5</v>
      </c>
      <c r="D246" s="3">
        <v>92.7</v>
      </c>
      <c r="E246" s="3">
        <v>87.3</v>
      </c>
      <c r="F246" s="3">
        <v>82.8</v>
      </c>
    </row>
    <row r="247" spans="1:6" hidden="1">
      <c r="A247" s="3">
        <v>2</v>
      </c>
      <c r="B247" s="3">
        <v>1</v>
      </c>
      <c r="C247" s="3">
        <v>69.599999999999994</v>
      </c>
      <c r="D247" s="3">
        <v>92.7</v>
      </c>
      <c r="E247" s="3">
        <v>87.3</v>
      </c>
      <c r="F247" s="3">
        <v>82.8</v>
      </c>
    </row>
    <row r="248" spans="1:6" hidden="1">
      <c r="A248" s="3">
        <v>2</v>
      </c>
      <c r="B248" s="3">
        <v>1</v>
      </c>
      <c r="C248" s="3">
        <v>69.599999999999994</v>
      </c>
      <c r="D248" s="3">
        <v>93</v>
      </c>
      <c r="E248" s="3">
        <v>87.3</v>
      </c>
      <c r="F248" s="3">
        <v>82.9</v>
      </c>
    </row>
    <row r="249" spans="1:6">
      <c r="A249" s="3">
        <v>3</v>
      </c>
      <c r="B249" s="3">
        <v>1</v>
      </c>
      <c r="C249" s="3">
        <v>69.7</v>
      </c>
      <c r="D249" s="3">
        <v>93</v>
      </c>
      <c r="E249" s="3">
        <v>87.4</v>
      </c>
      <c r="F249" s="3">
        <v>82.9</v>
      </c>
    </row>
    <row r="250" spans="1:6">
      <c r="A250" s="3">
        <v>3</v>
      </c>
      <c r="B250" s="3">
        <v>1</v>
      </c>
      <c r="C250" s="3">
        <v>69.7</v>
      </c>
      <c r="D250" s="3">
        <v>93.1</v>
      </c>
      <c r="E250" s="3">
        <v>87.4</v>
      </c>
      <c r="F250" s="3">
        <v>82.9</v>
      </c>
    </row>
    <row r="251" spans="1:6">
      <c r="A251" s="3">
        <v>3</v>
      </c>
      <c r="B251" s="3">
        <v>1</v>
      </c>
      <c r="C251" s="3">
        <v>69.7</v>
      </c>
      <c r="D251" s="3">
        <v>93.1</v>
      </c>
      <c r="E251" s="3">
        <v>87.5</v>
      </c>
      <c r="F251" s="3">
        <v>83</v>
      </c>
    </row>
    <row r="252" spans="1:6">
      <c r="A252" s="3">
        <v>3</v>
      </c>
      <c r="B252" s="3">
        <v>1</v>
      </c>
      <c r="C252" s="3">
        <v>69.8</v>
      </c>
      <c r="D252" s="3">
        <v>93.2</v>
      </c>
      <c r="E252" s="3">
        <v>87.7</v>
      </c>
      <c r="F252" s="3">
        <v>83.1</v>
      </c>
    </row>
    <row r="253" spans="1:6">
      <c r="A253" s="3">
        <v>3</v>
      </c>
      <c r="B253" s="3">
        <v>1</v>
      </c>
      <c r="C253" s="3">
        <v>69.8</v>
      </c>
      <c r="D253" s="3">
        <v>93.3</v>
      </c>
      <c r="E253" s="3">
        <v>87.7</v>
      </c>
      <c r="F253" s="3">
        <v>83.2</v>
      </c>
    </row>
    <row r="254" spans="1:6">
      <c r="A254" s="3">
        <v>3</v>
      </c>
      <c r="B254" s="3">
        <v>1</v>
      </c>
      <c r="C254" s="3">
        <v>70</v>
      </c>
      <c r="D254" s="3">
        <v>93.4</v>
      </c>
      <c r="E254" s="3">
        <v>88.2</v>
      </c>
      <c r="F254" s="3">
        <v>83.3</v>
      </c>
    </row>
    <row r="255" spans="1:6">
      <c r="A255" s="3">
        <v>3</v>
      </c>
      <c r="B255" s="3">
        <v>1</v>
      </c>
      <c r="C255" s="3">
        <v>70</v>
      </c>
      <c r="D255" s="3">
        <v>93.4</v>
      </c>
      <c r="E255" s="3">
        <v>88.4</v>
      </c>
      <c r="F255" s="3">
        <v>83.3</v>
      </c>
    </row>
    <row r="256" spans="1:6" hidden="1">
      <c r="A256" s="3">
        <v>1</v>
      </c>
      <c r="B256" s="3">
        <v>1</v>
      </c>
      <c r="C256" s="3">
        <v>70.099999999999994</v>
      </c>
      <c r="D256" s="3">
        <v>93.5</v>
      </c>
      <c r="E256" s="3">
        <v>88.5</v>
      </c>
      <c r="F256" s="3">
        <v>83.4</v>
      </c>
    </row>
    <row r="257" spans="1:6" hidden="1">
      <c r="A257" s="3">
        <v>2</v>
      </c>
      <c r="B257" s="3">
        <v>1</v>
      </c>
      <c r="C257" s="3">
        <v>70.099999999999994</v>
      </c>
      <c r="D257" s="3">
        <v>93.8</v>
      </c>
      <c r="E257" s="3">
        <v>88.5</v>
      </c>
      <c r="F257" s="3">
        <v>83.5</v>
      </c>
    </row>
    <row r="258" spans="1:6" hidden="1">
      <c r="A258" s="3">
        <v>1</v>
      </c>
      <c r="B258" s="3">
        <v>1</v>
      </c>
      <c r="C258" s="3">
        <v>70.2</v>
      </c>
      <c r="D258" s="3">
        <v>93.8</v>
      </c>
      <c r="E258" s="3">
        <v>88.6</v>
      </c>
      <c r="F258" s="3">
        <v>83.5</v>
      </c>
    </row>
    <row r="259" spans="1:6" hidden="1">
      <c r="A259" s="3">
        <v>1</v>
      </c>
      <c r="B259" s="3">
        <v>1</v>
      </c>
      <c r="C259" s="3">
        <v>70.2</v>
      </c>
      <c r="D259" s="3">
        <v>93.9</v>
      </c>
      <c r="E259" s="3">
        <v>88.6</v>
      </c>
      <c r="F259" s="3">
        <v>83.5</v>
      </c>
    </row>
    <row r="260" spans="1:6" hidden="1">
      <c r="A260" s="3">
        <v>1</v>
      </c>
      <c r="B260" s="3">
        <v>1</v>
      </c>
      <c r="C260" s="3">
        <v>70.3</v>
      </c>
      <c r="D260" s="3">
        <v>94</v>
      </c>
      <c r="E260" s="3">
        <v>88.7</v>
      </c>
      <c r="F260" s="3">
        <v>83.5</v>
      </c>
    </row>
    <row r="261" spans="1:6" hidden="1">
      <c r="A261" s="3">
        <v>2</v>
      </c>
      <c r="B261" s="3">
        <v>0</v>
      </c>
      <c r="C261" s="3">
        <v>70.3</v>
      </c>
      <c r="D261" s="3">
        <v>94.3</v>
      </c>
      <c r="E261" s="3">
        <v>88.7</v>
      </c>
      <c r="F261" s="3">
        <v>83.6</v>
      </c>
    </row>
    <row r="262" spans="1:6">
      <c r="A262" s="3">
        <v>3</v>
      </c>
      <c r="B262" s="3">
        <v>1</v>
      </c>
      <c r="C262" s="3">
        <v>70.3</v>
      </c>
      <c r="D262" s="3">
        <v>94.3</v>
      </c>
      <c r="E262" s="3">
        <v>88.8</v>
      </c>
      <c r="F262" s="3">
        <v>83.6</v>
      </c>
    </row>
    <row r="263" spans="1:6">
      <c r="A263" s="3">
        <v>3</v>
      </c>
      <c r="B263" s="3">
        <v>1</v>
      </c>
      <c r="C263" s="3">
        <v>70.3</v>
      </c>
      <c r="D263" s="3">
        <v>94.4</v>
      </c>
      <c r="E263" s="3">
        <v>88.9</v>
      </c>
      <c r="F263" s="3">
        <v>83.7</v>
      </c>
    </row>
    <row r="264" spans="1:6" hidden="1">
      <c r="A264" s="3">
        <v>1</v>
      </c>
      <c r="B264" s="3">
        <v>1</v>
      </c>
      <c r="C264" s="3">
        <v>70.3</v>
      </c>
      <c r="D264" s="3">
        <v>94.5</v>
      </c>
      <c r="E264" s="3">
        <v>88.9</v>
      </c>
      <c r="F264" s="3">
        <v>83.7</v>
      </c>
    </row>
    <row r="265" spans="1:6" hidden="1">
      <c r="A265" s="3">
        <v>1</v>
      </c>
      <c r="B265" s="3">
        <v>1</v>
      </c>
      <c r="C265" s="3">
        <v>70.400000000000006</v>
      </c>
      <c r="D265" s="3">
        <v>94.5</v>
      </c>
      <c r="E265" s="3">
        <v>88.9</v>
      </c>
      <c r="F265" s="3">
        <v>83.9</v>
      </c>
    </row>
    <row r="266" spans="1:6" hidden="1">
      <c r="A266" s="3">
        <v>1</v>
      </c>
      <c r="B266" s="3">
        <v>1</v>
      </c>
      <c r="C266" s="3">
        <v>70.400000000000006</v>
      </c>
      <c r="D266" s="3">
        <v>94.6</v>
      </c>
      <c r="E266" s="3">
        <v>89</v>
      </c>
      <c r="F266" s="3">
        <v>84</v>
      </c>
    </row>
    <row r="267" spans="1:6" hidden="1">
      <c r="A267" s="3">
        <v>2</v>
      </c>
      <c r="B267" s="3">
        <v>1</v>
      </c>
      <c r="C267" s="3">
        <v>70.400000000000006</v>
      </c>
      <c r="D267" s="3">
        <v>95</v>
      </c>
      <c r="E267" s="3">
        <v>89</v>
      </c>
      <c r="F267" s="3">
        <v>84.1</v>
      </c>
    </row>
    <row r="268" spans="1:6" hidden="1">
      <c r="A268" s="3">
        <v>2</v>
      </c>
      <c r="B268" s="3">
        <v>1</v>
      </c>
      <c r="C268" s="3">
        <v>70.5</v>
      </c>
      <c r="D268" s="3">
        <v>95</v>
      </c>
      <c r="E268" s="3">
        <v>89</v>
      </c>
      <c r="F268" s="3">
        <v>84.2</v>
      </c>
    </row>
    <row r="269" spans="1:6">
      <c r="A269" s="3">
        <v>3</v>
      </c>
      <c r="B269" s="3">
        <v>1</v>
      </c>
      <c r="C269" s="3">
        <v>70.5</v>
      </c>
      <c r="D269" s="3">
        <v>95</v>
      </c>
      <c r="E269" s="3">
        <v>89.2</v>
      </c>
      <c r="F269" s="3">
        <v>84.3</v>
      </c>
    </row>
    <row r="270" spans="1:6">
      <c r="A270" s="3">
        <v>3</v>
      </c>
      <c r="B270" s="3">
        <v>1</v>
      </c>
      <c r="C270" s="3">
        <v>70.5</v>
      </c>
      <c r="D270" s="3">
        <v>95.1</v>
      </c>
      <c r="E270" s="3">
        <v>89.4</v>
      </c>
      <c r="F270" s="3">
        <v>84.4</v>
      </c>
    </row>
    <row r="271" spans="1:6" hidden="1">
      <c r="A271" s="3">
        <v>1</v>
      </c>
      <c r="B271" s="3">
        <v>1</v>
      </c>
      <c r="C271" s="3">
        <v>70.5</v>
      </c>
      <c r="D271" s="3">
        <v>95.1</v>
      </c>
      <c r="E271" s="3">
        <v>89.4</v>
      </c>
      <c r="F271" s="3">
        <v>84.5</v>
      </c>
    </row>
    <row r="272" spans="1:6">
      <c r="A272" s="3">
        <v>3</v>
      </c>
      <c r="B272" s="3">
        <v>1</v>
      </c>
      <c r="C272" s="3">
        <v>70.599999999999994</v>
      </c>
      <c r="D272" s="3">
        <v>95.2</v>
      </c>
      <c r="E272" s="3">
        <v>89.4</v>
      </c>
      <c r="F272" s="3">
        <v>84.7</v>
      </c>
    </row>
    <row r="273" spans="1:6" hidden="1">
      <c r="A273" s="3">
        <v>1</v>
      </c>
      <c r="B273" s="3">
        <v>1</v>
      </c>
      <c r="C273" s="3">
        <v>70.599999999999994</v>
      </c>
      <c r="D273" s="3">
        <v>95.2</v>
      </c>
      <c r="E273" s="3">
        <v>89.6</v>
      </c>
      <c r="F273" s="3">
        <v>85</v>
      </c>
    </row>
    <row r="274" spans="1:6">
      <c r="A274" s="3">
        <v>3</v>
      </c>
      <c r="B274" s="3">
        <v>1</v>
      </c>
      <c r="C274" s="3">
        <v>70.7</v>
      </c>
      <c r="D274" s="3">
        <v>95.2</v>
      </c>
      <c r="E274" s="3">
        <v>89.8</v>
      </c>
      <c r="F274" s="3">
        <v>85.1</v>
      </c>
    </row>
    <row r="275" spans="1:6" hidden="1">
      <c r="A275" s="3">
        <v>2</v>
      </c>
      <c r="B275" s="3">
        <v>1</v>
      </c>
      <c r="C275" s="3">
        <v>70.8</v>
      </c>
      <c r="D275" s="3">
        <v>95.5</v>
      </c>
      <c r="E275" s="3">
        <v>89.8</v>
      </c>
      <c r="F275" s="3">
        <v>85.4</v>
      </c>
    </row>
    <row r="276" spans="1:6" hidden="1">
      <c r="A276" s="3">
        <v>2</v>
      </c>
      <c r="B276" s="3">
        <v>0</v>
      </c>
      <c r="C276" s="3">
        <v>70.8</v>
      </c>
      <c r="D276" s="3">
        <v>95.6</v>
      </c>
      <c r="E276" s="3">
        <v>89.9</v>
      </c>
      <c r="F276" s="3">
        <v>85.4</v>
      </c>
    </row>
    <row r="277" spans="1:6">
      <c r="A277" s="3">
        <v>3</v>
      </c>
      <c r="B277" s="3">
        <v>1</v>
      </c>
      <c r="C277" s="3">
        <v>70.900000000000006</v>
      </c>
      <c r="D277" s="3">
        <v>95.7</v>
      </c>
      <c r="E277" s="3">
        <v>90</v>
      </c>
      <c r="F277" s="3">
        <v>85.6</v>
      </c>
    </row>
    <row r="278" spans="1:6">
      <c r="A278" s="3">
        <v>3</v>
      </c>
      <c r="B278" s="3">
        <v>1</v>
      </c>
      <c r="C278" s="3">
        <v>71</v>
      </c>
      <c r="D278" s="3">
        <v>95.9</v>
      </c>
      <c r="E278" s="3">
        <v>90.1</v>
      </c>
      <c r="F278" s="3">
        <v>85.6</v>
      </c>
    </row>
    <row r="279" spans="1:6">
      <c r="A279" s="3">
        <v>3</v>
      </c>
      <c r="B279" s="3">
        <v>1</v>
      </c>
      <c r="C279" s="3">
        <v>71</v>
      </c>
      <c r="D279" s="3">
        <v>96.1</v>
      </c>
      <c r="E279" s="3">
        <v>90.4</v>
      </c>
      <c r="F279" s="3">
        <v>85.6</v>
      </c>
    </row>
    <row r="280" spans="1:6" hidden="1">
      <c r="A280" s="3">
        <v>2</v>
      </c>
      <c r="B280" s="3">
        <v>1</v>
      </c>
      <c r="C280" s="3">
        <v>71.099999999999994</v>
      </c>
      <c r="D280" s="3">
        <v>96.3</v>
      </c>
      <c r="E280" s="3">
        <v>91.1</v>
      </c>
      <c r="F280" s="3">
        <v>85.7</v>
      </c>
    </row>
    <row r="281" spans="1:6" hidden="1">
      <c r="A281" s="3">
        <v>2</v>
      </c>
      <c r="B281" s="3">
        <v>1</v>
      </c>
      <c r="C281" s="3">
        <v>71.099999999999994</v>
      </c>
      <c r="D281" s="3">
        <v>96.5</v>
      </c>
      <c r="E281" s="3">
        <v>91.2</v>
      </c>
      <c r="F281" s="3">
        <v>86</v>
      </c>
    </row>
    <row r="282" spans="1:6" hidden="1">
      <c r="A282" s="3">
        <v>1</v>
      </c>
      <c r="B282" s="3">
        <v>0</v>
      </c>
      <c r="C282" s="3">
        <v>71.2</v>
      </c>
      <c r="D282" s="3">
        <v>96.6</v>
      </c>
      <c r="E282" s="3">
        <v>91.2</v>
      </c>
      <c r="F282" s="3">
        <v>86.1</v>
      </c>
    </row>
    <row r="283" spans="1:6">
      <c r="A283" s="3">
        <v>3</v>
      </c>
      <c r="B283" s="3">
        <v>1</v>
      </c>
      <c r="C283" s="3">
        <v>71.2</v>
      </c>
      <c r="D283" s="3">
        <v>96.6</v>
      </c>
      <c r="E283" s="3">
        <v>91.5</v>
      </c>
      <c r="F283" s="3">
        <v>86.1</v>
      </c>
    </row>
    <row r="284" spans="1:6">
      <c r="A284" s="3">
        <v>3</v>
      </c>
      <c r="B284" s="3">
        <v>1</v>
      </c>
      <c r="C284" s="3">
        <v>71.2</v>
      </c>
      <c r="D284" s="3">
        <v>96.6</v>
      </c>
      <c r="E284" s="3">
        <v>91.6</v>
      </c>
      <c r="F284" s="3">
        <v>86.6</v>
      </c>
    </row>
    <row r="285" spans="1:6">
      <c r="A285" s="3">
        <v>3</v>
      </c>
      <c r="B285" s="3">
        <v>1</v>
      </c>
      <c r="C285" s="3">
        <v>71.2</v>
      </c>
      <c r="D285" s="3">
        <v>96.7</v>
      </c>
      <c r="E285" s="3">
        <v>91.6</v>
      </c>
      <c r="F285" s="3">
        <v>86.7</v>
      </c>
    </row>
    <row r="286" spans="1:6" hidden="1">
      <c r="A286" s="3">
        <v>1</v>
      </c>
      <c r="B286" s="3">
        <v>1</v>
      </c>
      <c r="C286" s="3">
        <v>71.2</v>
      </c>
      <c r="D286" s="3">
        <v>96.7</v>
      </c>
      <c r="E286" s="3">
        <v>91.9</v>
      </c>
      <c r="F286" s="3">
        <v>86.8</v>
      </c>
    </row>
    <row r="287" spans="1:6">
      <c r="A287" s="3">
        <v>3</v>
      </c>
      <c r="B287" s="3">
        <v>0</v>
      </c>
      <c r="C287" s="3">
        <v>71.2</v>
      </c>
      <c r="D287" s="3">
        <v>97</v>
      </c>
      <c r="E287" s="3">
        <v>91.9</v>
      </c>
      <c r="F287" s="3">
        <v>86.8</v>
      </c>
    </row>
    <row r="288" spans="1:6">
      <c r="A288" s="3">
        <v>3</v>
      </c>
      <c r="B288" s="3">
        <v>1</v>
      </c>
      <c r="C288" s="3">
        <v>71.2</v>
      </c>
      <c r="D288" s="3">
        <v>97.2</v>
      </c>
      <c r="E288" s="3">
        <v>92</v>
      </c>
      <c r="F288" s="3">
        <v>86.8</v>
      </c>
    </row>
    <row r="289" spans="1:6" hidden="1">
      <c r="A289" s="3">
        <v>2</v>
      </c>
      <c r="B289" s="3">
        <v>1</v>
      </c>
      <c r="C289" s="3">
        <v>71.3</v>
      </c>
      <c r="D289" s="3">
        <v>97.3</v>
      </c>
      <c r="E289" s="3">
        <v>92.1</v>
      </c>
      <c r="F289" s="3">
        <v>86.9</v>
      </c>
    </row>
    <row r="290" spans="1:6">
      <c r="A290" s="3">
        <v>3</v>
      </c>
      <c r="B290" s="3">
        <v>1</v>
      </c>
      <c r="C290" s="3">
        <v>71.3</v>
      </c>
      <c r="D290" s="3">
        <v>97.3</v>
      </c>
      <c r="E290" s="3">
        <v>92.1</v>
      </c>
      <c r="F290" s="3">
        <v>86.9</v>
      </c>
    </row>
    <row r="291" spans="1:6">
      <c r="A291" s="3">
        <v>3</v>
      </c>
      <c r="B291" s="3">
        <v>1</v>
      </c>
      <c r="C291" s="3">
        <v>71.3</v>
      </c>
      <c r="D291" s="3">
        <v>97.3</v>
      </c>
      <c r="E291" s="3">
        <v>92.1</v>
      </c>
      <c r="F291" s="3">
        <v>87</v>
      </c>
    </row>
    <row r="292" spans="1:6" hidden="1">
      <c r="A292" s="3">
        <v>2</v>
      </c>
      <c r="B292" s="3">
        <v>1</v>
      </c>
      <c r="C292" s="3">
        <v>71.400000000000006</v>
      </c>
      <c r="D292" s="3">
        <v>97.4</v>
      </c>
      <c r="E292" s="3">
        <v>92.2</v>
      </c>
      <c r="F292" s="3">
        <v>87.1</v>
      </c>
    </row>
    <row r="293" spans="1:6">
      <c r="A293" s="3">
        <v>3</v>
      </c>
      <c r="B293" s="3">
        <v>1</v>
      </c>
      <c r="C293" s="3">
        <v>71.5</v>
      </c>
      <c r="D293" s="3">
        <v>97.8</v>
      </c>
      <c r="E293" s="3">
        <v>92.3</v>
      </c>
      <c r="F293" s="3">
        <v>87.1</v>
      </c>
    </row>
    <row r="294" spans="1:6" hidden="1">
      <c r="A294" s="3">
        <v>2</v>
      </c>
      <c r="B294" s="3">
        <v>1</v>
      </c>
      <c r="C294" s="3">
        <v>71.5</v>
      </c>
      <c r="D294" s="3">
        <v>98</v>
      </c>
      <c r="E294" s="3">
        <v>92.5</v>
      </c>
      <c r="F294" s="3">
        <v>87.2</v>
      </c>
    </row>
    <row r="295" spans="1:6">
      <c r="A295" s="3">
        <v>3</v>
      </c>
      <c r="B295" s="3">
        <v>1</v>
      </c>
      <c r="C295" s="3">
        <v>71.5</v>
      </c>
      <c r="D295" s="3">
        <v>98.5</v>
      </c>
      <c r="E295" s="3">
        <v>92.5</v>
      </c>
      <c r="F295" s="3">
        <v>87.4</v>
      </c>
    </row>
    <row r="296" spans="1:6" hidden="1">
      <c r="A296" s="3">
        <v>2</v>
      </c>
      <c r="B296" s="3">
        <v>0</v>
      </c>
      <c r="C296" s="3">
        <v>71.5</v>
      </c>
      <c r="D296" s="3">
        <v>98.5</v>
      </c>
      <c r="E296" s="3">
        <v>92.6</v>
      </c>
      <c r="F296" s="3">
        <v>87.5</v>
      </c>
    </row>
    <row r="297" spans="1:6" hidden="1">
      <c r="A297" s="3">
        <v>1</v>
      </c>
      <c r="B297" s="3">
        <v>0</v>
      </c>
      <c r="C297" s="3">
        <v>71.5</v>
      </c>
      <c r="D297" s="3">
        <v>98.5</v>
      </c>
      <c r="E297" s="3">
        <v>92.7</v>
      </c>
      <c r="F297" s="3">
        <v>87.6</v>
      </c>
    </row>
    <row r="298" spans="1:6" hidden="1">
      <c r="A298" s="3">
        <v>2</v>
      </c>
      <c r="B298" s="3">
        <v>1</v>
      </c>
      <c r="C298" s="3">
        <v>71.599999999999994</v>
      </c>
      <c r="D298" s="3">
        <v>98.5</v>
      </c>
      <c r="E298" s="3">
        <v>92.7</v>
      </c>
      <c r="F298" s="3">
        <v>87.6</v>
      </c>
    </row>
    <row r="299" spans="1:6" hidden="1">
      <c r="A299" s="3">
        <v>2</v>
      </c>
      <c r="B299" s="3">
        <v>1</v>
      </c>
      <c r="C299" s="3">
        <v>71.599999999999994</v>
      </c>
      <c r="D299" s="3">
        <v>98.8</v>
      </c>
      <c r="E299" s="3">
        <v>92.9</v>
      </c>
      <c r="F299" s="3">
        <v>87.7</v>
      </c>
    </row>
    <row r="300" spans="1:6" hidden="1">
      <c r="A300" s="3">
        <v>2</v>
      </c>
      <c r="B300" s="3">
        <v>1</v>
      </c>
      <c r="C300" s="3">
        <v>71.599999999999994</v>
      </c>
      <c r="D300" s="3">
        <v>99</v>
      </c>
      <c r="E300" s="3">
        <v>93.3</v>
      </c>
      <c r="F300" s="3">
        <v>87.7</v>
      </c>
    </row>
    <row r="301" spans="1:6">
      <c r="A301" s="3">
        <v>3</v>
      </c>
      <c r="B301" s="3">
        <v>1</v>
      </c>
      <c r="C301" s="3">
        <v>71.599999999999994</v>
      </c>
      <c r="D301" s="3">
        <v>99</v>
      </c>
      <c r="E301" s="3">
        <v>93.5</v>
      </c>
      <c r="F301" s="3">
        <v>87.7</v>
      </c>
    </row>
    <row r="302" spans="1:6">
      <c r="A302" s="3">
        <v>3</v>
      </c>
      <c r="B302" s="3">
        <v>1</v>
      </c>
      <c r="C302" s="3">
        <v>71.599999999999994</v>
      </c>
      <c r="D302" s="3">
        <v>99.3</v>
      </c>
      <c r="E302" s="3">
        <v>93.6</v>
      </c>
      <c r="F302" s="3">
        <v>87.8</v>
      </c>
    </row>
    <row r="303" spans="1:6" hidden="1">
      <c r="A303" s="3">
        <v>2</v>
      </c>
      <c r="B303" s="3">
        <v>0</v>
      </c>
      <c r="C303" s="3">
        <v>71.599999999999994</v>
      </c>
      <c r="D303" s="3">
        <v>99.3</v>
      </c>
      <c r="E303" s="3">
        <v>93.7</v>
      </c>
      <c r="F303" s="3">
        <v>87.8</v>
      </c>
    </row>
    <row r="304" spans="1:6">
      <c r="A304" s="3">
        <v>3</v>
      </c>
      <c r="B304" s="3">
        <v>1</v>
      </c>
      <c r="C304" s="3">
        <v>71.599999999999994</v>
      </c>
      <c r="D304" s="3">
        <v>99.5</v>
      </c>
      <c r="E304" s="3">
        <v>94.1</v>
      </c>
      <c r="F304" s="3">
        <v>88</v>
      </c>
    </row>
    <row r="305" spans="1:6" hidden="1">
      <c r="A305" s="3">
        <v>1</v>
      </c>
      <c r="B305" s="3">
        <v>1</v>
      </c>
      <c r="C305" s="3">
        <v>71.599999999999994</v>
      </c>
      <c r="D305" s="3">
        <v>99.8</v>
      </c>
      <c r="E305" s="3">
        <v>94.4</v>
      </c>
      <c r="F305" s="3">
        <v>88.2</v>
      </c>
    </row>
    <row r="306" spans="1:6">
      <c r="A306" s="3">
        <v>3</v>
      </c>
      <c r="B306" s="3">
        <v>1</v>
      </c>
      <c r="C306" s="3">
        <v>71.7</v>
      </c>
      <c r="D306" s="3">
        <v>99.8</v>
      </c>
      <c r="E306" s="3">
        <v>94.4</v>
      </c>
      <c r="F306" s="3">
        <v>88.4</v>
      </c>
    </row>
    <row r="307" spans="1:6">
      <c r="A307" s="3">
        <v>3</v>
      </c>
      <c r="B307" s="3">
        <v>0</v>
      </c>
      <c r="C307" s="3">
        <v>72</v>
      </c>
      <c r="D307" s="3">
        <v>101</v>
      </c>
      <c r="E307" s="3">
        <v>94.5</v>
      </c>
      <c r="F307" s="3">
        <v>88.5</v>
      </c>
    </row>
    <row r="308" spans="1:6" hidden="1">
      <c r="A308" s="3">
        <v>2</v>
      </c>
      <c r="B308" s="3">
        <v>1</v>
      </c>
      <c r="C308" s="3">
        <v>72</v>
      </c>
      <c r="D308" s="3">
        <v>101.1</v>
      </c>
      <c r="E308" s="3">
        <v>94.6</v>
      </c>
      <c r="F308" s="3">
        <v>88.5</v>
      </c>
    </row>
    <row r="309" spans="1:6" hidden="1">
      <c r="A309" s="3">
        <v>2</v>
      </c>
      <c r="B309" s="3">
        <v>1</v>
      </c>
      <c r="C309" s="3">
        <v>72.099999999999994</v>
      </c>
      <c r="D309" s="3">
        <v>101.2</v>
      </c>
      <c r="E309" s="3">
        <v>94.7</v>
      </c>
      <c r="F309" s="3">
        <v>88.6</v>
      </c>
    </row>
    <row r="310" spans="1:6" hidden="1">
      <c r="A310" s="3">
        <v>1</v>
      </c>
      <c r="B310" s="3">
        <v>1</v>
      </c>
      <c r="C310" s="3">
        <v>72.099999999999994</v>
      </c>
      <c r="D310" s="3">
        <v>101.5</v>
      </c>
      <c r="E310" s="3">
        <v>95</v>
      </c>
      <c r="F310" s="3">
        <v>88.6</v>
      </c>
    </row>
    <row r="311" spans="1:6" hidden="1">
      <c r="A311" s="3">
        <v>2</v>
      </c>
      <c r="B311" s="3">
        <v>1</v>
      </c>
      <c r="C311" s="3">
        <v>72.2</v>
      </c>
      <c r="D311" s="3">
        <v>102</v>
      </c>
      <c r="E311" s="3">
        <v>95.2</v>
      </c>
      <c r="F311" s="3">
        <v>88.7</v>
      </c>
    </row>
    <row r="312" spans="1:6">
      <c r="A312" s="3">
        <v>3</v>
      </c>
      <c r="B312" s="3">
        <v>1</v>
      </c>
      <c r="C312" s="3">
        <v>72.2</v>
      </c>
      <c r="D312" s="3">
        <v>102.5</v>
      </c>
      <c r="E312" s="3">
        <v>95.2</v>
      </c>
      <c r="F312" s="3">
        <v>88.8</v>
      </c>
    </row>
    <row r="313" spans="1:6" hidden="1">
      <c r="A313" s="3">
        <v>2</v>
      </c>
      <c r="B313" s="3">
        <v>1</v>
      </c>
      <c r="C313" s="3">
        <v>72.2</v>
      </c>
      <c r="D313" s="3">
        <v>103.5</v>
      </c>
      <c r="E313" s="3">
        <v>95.2</v>
      </c>
      <c r="F313" s="3">
        <v>89</v>
      </c>
    </row>
    <row r="314" spans="1:6">
      <c r="A314" s="3">
        <v>3</v>
      </c>
      <c r="B314" s="3">
        <v>1</v>
      </c>
      <c r="C314" s="3">
        <v>72.2</v>
      </c>
      <c r="D314" s="3">
        <v>103.6</v>
      </c>
      <c r="E314" s="3">
        <v>95.3</v>
      </c>
      <c r="F314" s="3">
        <v>89</v>
      </c>
    </row>
    <row r="315" spans="1:6" hidden="1">
      <c r="A315" s="3">
        <v>2</v>
      </c>
      <c r="B315" s="3">
        <v>1</v>
      </c>
      <c r="C315" s="3">
        <v>72.2</v>
      </c>
      <c r="D315" s="3">
        <v>103.6</v>
      </c>
      <c r="E315" s="3">
        <v>95.3</v>
      </c>
      <c r="F315" s="3">
        <v>89.1</v>
      </c>
    </row>
    <row r="316" spans="1:6" hidden="1">
      <c r="A316" s="3">
        <v>2</v>
      </c>
      <c r="B316" s="3">
        <v>1</v>
      </c>
      <c r="C316" s="3">
        <v>72.3</v>
      </c>
      <c r="E316" s="3">
        <v>95.6</v>
      </c>
      <c r="F316" s="3">
        <v>89.5</v>
      </c>
    </row>
    <row r="317" spans="1:6">
      <c r="A317" s="3">
        <v>3</v>
      </c>
      <c r="B317" s="3">
        <v>1</v>
      </c>
      <c r="C317" s="3">
        <v>72.3</v>
      </c>
      <c r="E317" s="3">
        <v>95.6</v>
      </c>
      <c r="F317" s="3">
        <v>89.6</v>
      </c>
    </row>
    <row r="318" spans="1:6">
      <c r="A318" s="3">
        <v>3</v>
      </c>
      <c r="B318" s="3">
        <v>1</v>
      </c>
      <c r="C318" s="3">
        <v>72.3</v>
      </c>
      <c r="E318" s="3">
        <v>96</v>
      </c>
      <c r="F318" s="3">
        <v>89.8</v>
      </c>
    </row>
    <row r="319" spans="1:6">
      <c r="A319" s="3">
        <v>3</v>
      </c>
      <c r="B319" s="3">
        <v>1</v>
      </c>
      <c r="C319" s="3">
        <v>72.3</v>
      </c>
      <c r="E319" s="3">
        <v>96</v>
      </c>
      <c r="F319" s="3">
        <v>89.9</v>
      </c>
    </row>
    <row r="320" spans="1:6" hidden="1">
      <c r="A320" s="3">
        <v>1</v>
      </c>
      <c r="B320" s="3">
        <v>1</v>
      </c>
      <c r="C320" s="3">
        <v>72.3</v>
      </c>
      <c r="E320" s="3">
        <v>96.1</v>
      </c>
      <c r="F320" s="3">
        <v>90.3</v>
      </c>
    </row>
    <row r="321" spans="1:6">
      <c r="A321" s="3">
        <v>3</v>
      </c>
      <c r="B321" s="3">
        <v>1</v>
      </c>
      <c r="C321" s="3">
        <v>72.400000000000006</v>
      </c>
      <c r="E321" s="3">
        <v>96.1</v>
      </c>
      <c r="F321" s="3">
        <v>90.4</v>
      </c>
    </row>
    <row r="322" spans="1:6" hidden="1">
      <c r="A322" s="3">
        <v>1</v>
      </c>
      <c r="B322" s="3">
        <v>1</v>
      </c>
      <c r="C322" s="3">
        <v>72.5</v>
      </c>
      <c r="E322" s="3">
        <v>96.2</v>
      </c>
      <c r="F322" s="3">
        <v>90.6</v>
      </c>
    </row>
    <row r="323" spans="1:6">
      <c r="A323" s="3">
        <v>3</v>
      </c>
      <c r="B323" s="3">
        <v>1</v>
      </c>
      <c r="C323" s="3">
        <v>72.5</v>
      </c>
      <c r="E323" s="3">
        <v>96.4</v>
      </c>
      <c r="F323" s="3">
        <v>90.9</v>
      </c>
    </row>
    <row r="324" spans="1:6" hidden="1">
      <c r="A324" s="3">
        <v>1</v>
      </c>
      <c r="B324" s="3">
        <v>1</v>
      </c>
      <c r="C324" s="3">
        <v>72.5</v>
      </c>
      <c r="E324" s="3">
        <v>96.7</v>
      </c>
      <c r="F324" s="3">
        <v>90.9</v>
      </c>
    </row>
    <row r="325" spans="1:6" hidden="1">
      <c r="A325" s="3">
        <v>1</v>
      </c>
      <c r="B325" s="3">
        <v>1</v>
      </c>
      <c r="C325" s="3">
        <v>72.5</v>
      </c>
      <c r="E325" s="3">
        <v>96.7</v>
      </c>
      <c r="F325" s="3">
        <v>91</v>
      </c>
    </row>
    <row r="326" spans="1:6">
      <c r="A326" s="3">
        <v>3</v>
      </c>
      <c r="B326" s="3">
        <v>1</v>
      </c>
      <c r="C326" s="3">
        <v>72.599999999999994</v>
      </c>
      <c r="E326" s="3">
        <v>96.8</v>
      </c>
      <c r="F326" s="3">
        <v>91.2</v>
      </c>
    </row>
    <row r="327" spans="1:6" hidden="1">
      <c r="A327" s="3">
        <v>2</v>
      </c>
      <c r="B327" s="3">
        <v>0</v>
      </c>
      <c r="C327" s="3">
        <v>72.599999999999994</v>
      </c>
      <c r="E327" s="3">
        <v>96.8</v>
      </c>
      <c r="F327" s="3">
        <v>91.2</v>
      </c>
    </row>
    <row r="328" spans="1:6">
      <c r="A328" s="3">
        <v>3</v>
      </c>
      <c r="B328" s="3">
        <v>1</v>
      </c>
      <c r="C328" s="3">
        <v>72.599999999999994</v>
      </c>
      <c r="E328" s="3">
        <v>97.6</v>
      </c>
      <c r="F328" s="3">
        <v>91.2</v>
      </c>
    </row>
    <row r="329" spans="1:6" hidden="1">
      <c r="A329" s="3">
        <v>2</v>
      </c>
      <c r="B329" s="3">
        <v>1</v>
      </c>
      <c r="C329" s="3">
        <v>72.7</v>
      </c>
      <c r="E329" s="3">
        <v>97.6</v>
      </c>
      <c r="F329" s="3">
        <v>91.6</v>
      </c>
    </row>
    <row r="330" spans="1:6" hidden="1">
      <c r="A330" s="3">
        <v>2</v>
      </c>
      <c r="B330" s="3">
        <v>1</v>
      </c>
      <c r="C330" s="3">
        <v>72.7</v>
      </c>
      <c r="E330" s="3">
        <v>97.7</v>
      </c>
      <c r="F330" s="3">
        <v>91.6</v>
      </c>
    </row>
    <row r="331" spans="1:6" hidden="1">
      <c r="A331" s="3">
        <v>1</v>
      </c>
      <c r="B331" s="3">
        <v>0</v>
      </c>
      <c r="C331" s="3">
        <v>72.8</v>
      </c>
      <c r="E331" s="3">
        <v>97.8</v>
      </c>
      <c r="F331" s="3">
        <v>91.7</v>
      </c>
    </row>
    <row r="332" spans="1:6">
      <c r="A332" s="3">
        <v>3</v>
      </c>
      <c r="B332" s="3">
        <v>1</v>
      </c>
      <c r="C332" s="3">
        <v>72.900000000000006</v>
      </c>
      <c r="E332" s="3">
        <v>97.9</v>
      </c>
      <c r="F332" s="3">
        <v>91.7</v>
      </c>
    </row>
    <row r="333" spans="1:6" hidden="1">
      <c r="A333" s="3">
        <v>1</v>
      </c>
      <c r="B333" s="3">
        <v>1</v>
      </c>
      <c r="C333" s="3">
        <v>73</v>
      </c>
      <c r="E333" s="3">
        <v>98</v>
      </c>
      <c r="F333" s="3">
        <v>91.8</v>
      </c>
    </row>
    <row r="334" spans="1:6" hidden="1">
      <c r="A334" s="3">
        <v>2</v>
      </c>
      <c r="B334" s="3">
        <v>0</v>
      </c>
      <c r="C334" s="3">
        <v>73.099999999999994</v>
      </c>
      <c r="E334" s="3">
        <v>98.1</v>
      </c>
      <c r="F334" s="3">
        <v>91.8</v>
      </c>
    </row>
    <row r="335" spans="1:6">
      <c r="A335" s="3">
        <v>3</v>
      </c>
      <c r="B335" s="3">
        <v>1</v>
      </c>
      <c r="C335" s="3">
        <v>73.099999999999994</v>
      </c>
      <c r="E335" s="3">
        <v>98.1</v>
      </c>
      <c r="F335" s="3">
        <v>91.9</v>
      </c>
    </row>
    <row r="336" spans="1:6" hidden="1">
      <c r="A336" s="3">
        <v>2</v>
      </c>
      <c r="B336" s="3">
        <v>1</v>
      </c>
      <c r="C336" s="3">
        <v>73.099999999999994</v>
      </c>
      <c r="E336" s="3">
        <v>98.7</v>
      </c>
      <c r="F336" s="3">
        <v>91.9</v>
      </c>
    </row>
    <row r="337" spans="1:6" hidden="1">
      <c r="A337" s="3">
        <v>1</v>
      </c>
      <c r="B337" s="3">
        <v>1</v>
      </c>
      <c r="C337" s="3">
        <v>73.099999999999994</v>
      </c>
      <c r="E337" s="3">
        <v>98.8</v>
      </c>
      <c r="F337" s="3">
        <v>92.2</v>
      </c>
    </row>
    <row r="338" spans="1:6" hidden="1">
      <c r="A338" s="3">
        <v>1</v>
      </c>
      <c r="B338" s="3">
        <v>0</v>
      </c>
      <c r="C338" s="3">
        <v>73.099999999999994</v>
      </c>
      <c r="E338" s="3">
        <v>99.1</v>
      </c>
      <c r="F338" s="3">
        <v>92.2</v>
      </c>
    </row>
    <row r="339" spans="1:6" hidden="1">
      <c r="A339" s="3">
        <v>1</v>
      </c>
      <c r="B339" s="3">
        <v>1</v>
      </c>
      <c r="C339" s="3">
        <v>73.2</v>
      </c>
      <c r="E339" s="3">
        <v>99.2</v>
      </c>
      <c r="F339" s="3">
        <v>92.3</v>
      </c>
    </row>
    <row r="340" spans="1:6" hidden="1">
      <c r="A340" s="3">
        <v>1</v>
      </c>
      <c r="B340" s="3">
        <v>1</v>
      </c>
      <c r="C340" s="3">
        <v>73.2</v>
      </c>
      <c r="E340" s="3">
        <v>99.2</v>
      </c>
      <c r="F340" s="3">
        <v>92.3</v>
      </c>
    </row>
    <row r="341" spans="1:6" hidden="1">
      <c r="A341" s="3">
        <v>1</v>
      </c>
      <c r="B341" s="3">
        <v>0</v>
      </c>
      <c r="C341" s="3">
        <v>73.3</v>
      </c>
      <c r="E341" s="3">
        <v>99.3</v>
      </c>
      <c r="F341" s="3">
        <v>92.4</v>
      </c>
    </row>
    <row r="342" spans="1:6" hidden="1">
      <c r="A342" s="3">
        <v>1</v>
      </c>
      <c r="B342" s="3">
        <v>0</v>
      </c>
      <c r="C342" s="3">
        <v>73.5</v>
      </c>
      <c r="E342" s="3">
        <v>99.4</v>
      </c>
      <c r="F342" s="3">
        <v>92.4</v>
      </c>
    </row>
    <row r="343" spans="1:6" hidden="1">
      <c r="A343" s="3">
        <v>1</v>
      </c>
      <c r="B343" s="3">
        <v>1</v>
      </c>
      <c r="C343" s="3">
        <v>73.5</v>
      </c>
      <c r="E343" s="3">
        <v>99.5</v>
      </c>
      <c r="F343" s="3">
        <v>92.4</v>
      </c>
    </row>
    <row r="344" spans="1:6">
      <c r="A344" s="3">
        <v>3</v>
      </c>
      <c r="B344" s="3">
        <v>1</v>
      </c>
      <c r="C344" s="3">
        <v>73.5</v>
      </c>
      <c r="E344" s="3">
        <v>99.7</v>
      </c>
      <c r="F344" s="3">
        <v>92.5</v>
      </c>
    </row>
    <row r="345" spans="1:6">
      <c r="A345" s="3">
        <v>3</v>
      </c>
      <c r="B345" s="3">
        <v>1</v>
      </c>
      <c r="C345" s="3">
        <v>73.5</v>
      </c>
      <c r="E345" s="3">
        <v>99.7</v>
      </c>
      <c r="F345" s="3">
        <v>92.6</v>
      </c>
    </row>
    <row r="346" spans="1:6" hidden="1">
      <c r="A346" s="3">
        <v>1</v>
      </c>
      <c r="B346" s="3">
        <v>0</v>
      </c>
      <c r="C346" s="3">
        <v>73.5</v>
      </c>
      <c r="E346" s="3">
        <v>100.1</v>
      </c>
      <c r="F346" s="3">
        <v>92.6</v>
      </c>
    </row>
    <row r="347" spans="1:6" hidden="1">
      <c r="A347" s="3">
        <v>1</v>
      </c>
      <c r="B347" s="3">
        <v>1</v>
      </c>
      <c r="C347" s="3">
        <v>73.599999999999994</v>
      </c>
      <c r="E347" s="3">
        <v>100.5</v>
      </c>
      <c r="F347" s="3">
        <v>92.6</v>
      </c>
    </row>
    <row r="348" spans="1:6" hidden="1">
      <c r="A348" s="3">
        <v>2</v>
      </c>
      <c r="B348" s="3">
        <v>1</v>
      </c>
      <c r="C348" s="3">
        <v>73.599999999999994</v>
      </c>
      <c r="E348" s="3">
        <v>100.7</v>
      </c>
      <c r="F348" s="3">
        <v>92.7</v>
      </c>
    </row>
    <row r="349" spans="1:6">
      <c r="A349" s="3">
        <v>3</v>
      </c>
      <c r="B349" s="3">
        <v>0</v>
      </c>
      <c r="C349" s="3">
        <v>73.599999999999994</v>
      </c>
      <c r="E349" s="3">
        <v>101.4</v>
      </c>
      <c r="F349" s="3">
        <v>93</v>
      </c>
    </row>
    <row r="350" spans="1:6" hidden="1">
      <c r="A350" s="3">
        <v>2</v>
      </c>
      <c r="B350" s="3">
        <v>1</v>
      </c>
      <c r="C350" s="3">
        <v>73.599999999999994</v>
      </c>
      <c r="E350" s="3">
        <v>101.8</v>
      </c>
      <c r="F350" s="3">
        <v>93.1</v>
      </c>
    </row>
    <row r="351" spans="1:6">
      <c r="A351" s="3">
        <v>3</v>
      </c>
      <c r="B351" s="3">
        <v>1</v>
      </c>
      <c r="C351" s="3">
        <v>73.599999999999994</v>
      </c>
      <c r="E351" s="3">
        <v>102.5</v>
      </c>
      <c r="F351" s="3">
        <v>93.3</v>
      </c>
    </row>
    <row r="352" spans="1:6">
      <c r="A352" s="3">
        <v>3</v>
      </c>
      <c r="B352" s="3">
        <v>1</v>
      </c>
      <c r="C352" s="3">
        <v>73.599999999999994</v>
      </c>
      <c r="E352" s="3">
        <v>105</v>
      </c>
      <c r="F352" s="3">
        <v>93.3</v>
      </c>
    </row>
    <row r="353" spans="1:6">
      <c r="A353" s="3">
        <v>3</v>
      </c>
      <c r="B353" s="3">
        <v>1</v>
      </c>
      <c r="C353" s="3">
        <v>73.7</v>
      </c>
      <c r="E353" s="3">
        <v>105.2</v>
      </c>
      <c r="F353" s="3">
        <v>93.3</v>
      </c>
    </row>
    <row r="354" spans="1:6">
      <c r="A354" s="3">
        <v>3</v>
      </c>
      <c r="B354" s="3">
        <v>1</v>
      </c>
      <c r="C354" s="3">
        <v>73.7</v>
      </c>
      <c r="E354" s="3">
        <v>110.1</v>
      </c>
      <c r="F354" s="3">
        <v>93.4</v>
      </c>
    </row>
    <row r="355" spans="1:6">
      <c r="A355" s="3">
        <v>3</v>
      </c>
      <c r="B355" s="3">
        <v>0</v>
      </c>
      <c r="C355" s="3">
        <v>73.8</v>
      </c>
      <c r="F355" s="3">
        <v>93.4</v>
      </c>
    </row>
    <row r="356" spans="1:6" hidden="1">
      <c r="A356" s="3">
        <v>1</v>
      </c>
      <c r="B356" s="3">
        <v>1</v>
      </c>
      <c r="C356" s="3">
        <v>74</v>
      </c>
      <c r="F356" s="3">
        <v>93.6</v>
      </c>
    </row>
    <row r="357" spans="1:6" hidden="1">
      <c r="A357" s="3">
        <v>1</v>
      </c>
      <c r="B357" s="3">
        <v>0</v>
      </c>
      <c r="C357" s="3">
        <v>74</v>
      </c>
      <c r="F357" s="3">
        <v>93.6</v>
      </c>
    </row>
    <row r="358" spans="1:6" hidden="1">
      <c r="A358" s="3">
        <v>1</v>
      </c>
      <c r="B358" s="3">
        <v>0</v>
      </c>
      <c r="C358" s="3">
        <v>74</v>
      </c>
      <c r="F358" s="3">
        <v>93.8</v>
      </c>
    </row>
    <row r="359" spans="1:6" hidden="1">
      <c r="A359" s="3">
        <v>1</v>
      </c>
      <c r="B359" s="3">
        <v>1</v>
      </c>
      <c r="C359" s="3">
        <v>74</v>
      </c>
      <c r="F359" s="3">
        <v>93.9</v>
      </c>
    </row>
    <row r="360" spans="1:6">
      <c r="A360" s="3">
        <v>3</v>
      </c>
      <c r="B360" s="3">
        <v>1</v>
      </c>
      <c r="C360" s="3">
        <v>74.099999999999994</v>
      </c>
      <c r="F360" s="3">
        <v>94</v>
      </c>
    </row>
    <row r="361" spans="1:6" hidden="1">
      <c r="A361" s="3">
        <v>2</v>
      </c>
      <c r="B361" s="3">
        <v>1</v>
      </c>
      <c r="C361" s="3">
        <v>74.2</v>
      </c>
      <c r="F361" s="3">
        <v>94</v>
      </c>
    </row>
    <row r="362" spans="1:6">
      <c r="A362" s="3">
        <v>3</v>
      </c>
      <c r="B362" s="3">
        <v>1</v>
      </c>
      <c r="C362" s="3">
        <v>74.2</v>
      </c>
      <c r="F362" s="3">
        <v>94.2</v>
      </c>
    </row>
    <row r="363" spans="1:6">
      <c r="A363" s="3">
        <v>3</v>
      </c>
      <c r="B363" s="3">
        <v>1</v>
      </c>
      <c r="C363" s="3">
        <v>74.3</v>
      </c>
      <c r="F363" s="3">
        <v>94.4</v>
      </c>
    </row>
    <row r="364" spans="1:6">
      <c r="A364" s="3">
        <v>3</v>
      </c>
      <c r="B364" s="3">
        <v>1</v>
      </c>
      <c r="C364" s="3">
        <v>74.400000000000006</v>
      </c>
      <c r="F364" s="3">
        <v>94.5</v>
      </c>
    </row>
    <row r="365" spans="1:6" hidden="1">
      <c r="A365" s="3">
        <v>2</v>
      </c>
      <c r="B365" s="3">
        <v>1</v>
      </c>
      <c r="C365" s="3">
        <v>74.599999999999994</v>
      </c>
      <c r="F365" s="3">
        <v>94.6</v>
      </c>
    </row>
    <row r="366" spans="1:6" hidden="1">
      <c r="A366" s="3">
        <v>1</v>
      </c>
      <c r="B366" s="3">
        <v>0</v>
      </c>
      <c r="C366" s="3">
        <v>74.599999999999994</v>
      </c>
      <c r="F366" s="3">
        <v>94.6</v>
      </c>
    </row>
    <row r="367" spans="1:6" hidden="1">
      <c r="A367" s="3">
        <v>2</v>
      </c>
      <c r="B367" s="3">
        <v>1</v>
      </c>
      <c r="C367" s="3">
        <v>74.7</v>
      </c>
      <c r="F367" s="3">
        <v>94.7</v>
      </c>
    </row>
    <row r="368" spans="1:6" hidden="1">
      <c r="A368" s="3">
        <v>2</v>
      </c>
      <c r="B368" s="3">
        <v>1</v>
      </c>
      <c r="C368" s="3">
        <v>74.7</v>
      </c>
      <c r="F368" s="3">
        <v>94.8</v>
      </c>
    </row>
    <row r="369" spans="1:6" hidden="1">
      <c r="A369" s="3">
        <v>1</v>
      </c>
      <c r="B369" s="3">
        <v>0</v>
      </c>
      <c r="C369" s="3">
        <v>74.8</v>
      </c>
      <c r="F369" s="3">
        <v>94.8</v>
      </c>
    </row>
    <row r="370" spans="1:6">
      <c r="A370" s="3">
        <v>3</v>
      </c>
      <c r="B370" s="3">
        <v>1</v>
      </c>
      <c r="C370" s="3">
        <v>74.8</v>
      </c>
      <c r="F370" s="3">
        <v>94.8</v>
      </c>
    </row>
    <row r="371" spans="1:6">
      <c r="A371" s="3">
        <v>3</v>
      </c>
      <c r="B371" s="3">
        <v>1</v>
      </c>
      <c r="C371" s="3">
        <v>74.8</v>
      </c>
      <c r="F371" s="3">
        <v>94.9</v>
      </c>
    </row>
    <row r="372" spans="1:6">
      <c r="A372" s="3">
        <v>3</v>
      </c>
      <c r="B372" s="3">
        <v>1</v>
      </c>
      <c r="C372" s="3">
        <v>74.8</v>
      </c>
      <c r="F372" s="3">
        <v>95.1</v>
      </c>
    </row>
    <row r="373" spans="1:6">
      <c r="A373" s="3">
        <v>3</v>
      </c>
      <c r="B373" s="3">
        <v>1</v>
      </c>
      <c r="C373" s="3">
        <v>74.8</v>
      </c>
      <c r="F373" s="3">
        <v>95.4</v>
      </c>
    </row>
    <row r="374" spans="1:6" hidden="1">
      <c r="A374" s="3">
        <v>2</v>
      </c>
      <c r="B374" s="3">
        <v>0</v>
      </c>
      <c r="C374" s="3">
        <v>74.8</v>
      </c>
      <c r="F374" s="3">
        <v>95.4</v>
      </c>
    </row>
    <row r="375" spans="1:6">
      <c r="A375" s="3">
        <v>3</v>
      </c>
      <c r="B375" s="3">
        <v>1</v>
      </c>
      <c r="C375" s="3">
        <v>74.900000000000006</v>
      </c>
      <c r="F375" s="3">
        <v>95.5</v>
      </c>
    </row>
    <row r="376" spans="1:6" hidden="1">
      <c r="A376" s="3">
        <v>1</v>
      </c>
      <c r="B376" s="3">
        <v>1</v>
      </c>
      <c r="C376" s="3">
        <v>75</v>
      </c>
      <c r="F376" s="3">
        <v>95.5</v>
      </c>
    </row>
    <row r="377" spans="1:6" hidden="1">
      <c r="A377" s="3">
        <v>2</v>
      </c>
      <c r="B377" s="3">
        <v>1</v>
      </c>
      <c r="C377" s="3">
        <v>75</v>
      </c>
      <c r="F377" s="3">
        <v>95.8</v>
      </c>
    </row>
    <row r="378" spans="1:6" hidden="1">
      <c r="A378" s="3">
        <v>1</v>
      </c>
      <c r="B378" s="3">
        <v>0</v>
      </c>
      <c r="C378" s="3">
        <v>75</v>
      </c>
      <c r="F378" s="3">
        <v>96.3</v>
      </c>
    </row>
    <row r="379" spans="1:6">
      <c r="A379" s="3">
        <v>3</v>
      </c>
      <c r="B379" s="3">
        <v>1</v>
      </c>
      <c r="C379" s="3">
        <v>75</v>
      </c>
      <c r="F379" s="3">
        <v>96.4</v>
      </c>
    </row>
    <row r="380" spans="1:6">
      <c r="A380" s="3">
        <v>3</v>
      </c>
      <c r="B380" s="3">
        <v>0</v>
      </c>
      <c r="C380" s="3">
        <v>75</v>
      </c>
      <c r="F380" s="3">
        <v>96.6</v>
      </c>
    </row>
    <row r="381" spans="1:6" hidden="1">
      <c r="A381" s="3">
        <v>1</v>
      </c>
      <c r="B381" s="3">
        <v>0</v>
      </c>
      <c r="C381" s="3">
        <v>75</v>
      </c>
      <c r="F381" s="3">
        <v>97</v>
      </c>
    </row>
    <row r="382" spans="1:6">
      <c r="A382" s="3">
        <v>3</v>
      </c>
      <c r="B382" s="3">
        <v>1</v>
      </c>
      <c r="C382" s="3">
        <v>75.099999999999994</v>
      </c>
      <c r="F382" s="3">
        <v>97.1</v>
      </c>
    </row>
    <row r="383" spans="1:6" hidden="1">
      <c r="A383" s="3">
        <v>2</v>
      </c>
      <c r="B383" s="3">
        <v>1</v>
      </c>
      <c r="C383" s="3">
        <v>75.099999999999994</v>
      </c>
      <c r="F383" s="3">
        <v>97.3</v>
      </c>
    </row>
    <row r="384" spans="1:6" hidden="1">
      <c r="A384" s="3">
        <v>2</v>
      </c>
      <c r="B384" s="3">
        <v>1</v>
      </c>
      <c r="C384" s="3">
        <v>75.099999999999994</v>
      </c>
      <c r="F384" s="3">
        <v>97.6</v>
      </c>
    </row>
    <row r="385" spans="1:6">
      <c r="A385" s="3">
        <v>3</v>
      </c>
      <c r="B385" s="3">
        <v>1</v>
      </c>
      <c r="C385" s="3">
        <v>75.099999999999994</v>
      </c>
      <c r="F385" s="3">
        <v>97.7</v>
      </c>
    </row>
    <row r="386" spans="1:6" hidden="1">
      <c r="A386" s="3">
        <v>2</v>
      </c>
      <c r="B386" s="3">
        <v>0</v>
      </c>
      <c r="C386" s="3">
        <v>75.2</v>
      </c>
      <c r="F386" s="3">
        <v>98</v>
      </c>
    </row>
    <row r="387" spans="1:6" hidden="1">
      <c r="A387" s="3">
        <v>2</v>
      </c>
      <c r="B387" s="3">
        <v>0</v>
      </c>
      <c r="C387" s="3">
        <v>75.2</v>
      </c>
      <c r="F387" s="3">
        <v>98.3</v>
      </c>
    </row>
    <row r="388" spans="1:6" hidden="1">
      <c r="A388" s="3">
        <v>1</v>
      </c>
      <c r="B388" s="3">
        <v>1</v>
      </c>
      <c r="C388" s="3">
        <v>75.2</v>
      </c>
      <c r="F388" s="3">
        <v>98.3</v>
      </c>
    </row>
    <row r="389" spans="1:6" hidden="1">
      <c r="A389" s="3">
        <v>2</v>
      </c>
      <c r="B389" s="3">
        <v>1</v>
      </c>
      <c r="C389" s="3">
        <v>75.2</v>
      </c>
      <c r="F389" s="3">
        <v>98.3</v>
      </c>
    </row>
    <row r="390" spans="1:6">
      <c r="A390" s="3">
        <v>3</v>
      </c>
      <c r="B390" s="3">
        <v>1</v>
      </c>
      <c r="C390" s="3">
        <v>75.2</v>
      </c>
      <c r="F390" s="3">
        <v>98.4</v>
      </c>
    </row>
    <row r="391" spans="1:6">
      <c r="A391" s="3">
        <v>3</v>
      </c>
      <c r="B391" s="3">
        <v>1</v>
      </c>
      <c r="C391" s="3">
        <v>75.2</v>
      </c>
      <c r="F391" s="3">
        <v>98.4</v>
      </c>
    </row>
    <row r="392" spans="1:6">
      <c r="A392" s="3">
        <v>3</v>
      </c>
      <c r="B392" s="3">
        <v>1</v>
      </c>
      <c r="C392" s="3">
        <v>75.3</v>
      </c>
      <c r="F392" s="3">
        <v>98.6</v>
      </c>
    </row>
    <row r="393" spans="1:6" hidden="1">
      <c r="A393" s="3">
        <v>1</v>
      </c>
      <c r="B393" s="3">
        <v>0</v>
      </c>
      <c r="C393" s="3">
        <v>75.3</v>
      </c>
      <c r="F393" s="3">
        <v>98.8</v>
      </c>
    </row>
    <row r="394" spans="1:6" hidden="1">
      <c r="A394" s="3">
        <v>1</v>
      </c>
      <c r="B394" s="3">
        <v>0</v>
      </c>
      <c r="C394" s="3">
        <v>75.3</v>
      </c>
      <c r="F394" s="3">
        <v>99.2</v>
      </c>
    </row>
    <row r="395" spans="1:6" hidden="1">
      <c r="A395" s="3">
        <v>2</v>
      </c>
      <c r="B395" s="3">
        <v>0</v>
      </c>
      <c r="C395" s="3">
        <v>75.400000000000006</v>
      </c>
      <c r="F395" s="3">
        <v>99.3</v>
      </c>
    </row>
    <row r="396" spans="1:6" hidden="1">
      <c r="A396" s="3">
        <v>2</v>
      </c>
      <c r="B396" s="3">
        <v>1</v>
      </c>
      <c r="C396" s="3">
        <v>75.5</v>
      </c>
      <c r="F396" s="3">
        <v>99.4</v>
      </c>
    </row>
    <row r="397" spans="1:6" hidden="1">
      <c r="A397" s="3">
        <v>1</v>
      </c>
      <c r="B397" s="3">
        <v>0</v>
      </c>
      <c r="C397" s="3">
        <v>75.5</v>
      </c>
      <c r="F397" s="3">
        <v>99.5</v>
      </c>
    </row>
    <row r="398" spans="1:6" hidden="1">
      <c r="A398" s="3">
        <v>1</v>
      </c>
      <c r="B398" s="3">
        <v>0</v>
      </c>
      <c r="C398" s="3">
        <v>75.5</v>
      </c>
      <c r="F398" s="3">
        <v>99.5</v>
      </c>
    </row>
    <row r="399" spans="1:6">
      <c r="A399" s="3">
        <v>3</v>
      </c>
      <c r="B399" s="3">
        <v>1</v>
      </c>
      <c r="C399" s="3">
        <v>75.599999999999994</v>
      </c>
      <c r="F399" s="3">
        <v>99.6</v>
      </c>
    </row>
    <row r="400" spans="1:6">
      <c r="A400" s="3">
        <v>3</v>
      </c>
      <c r="B400" s="3">
        <v>0</v>
      </c>
      <c r="C400" s="3">
        <v>75.599999999999994</v>
      </c>
      <c r="F400" s="3">
        <v>99.7</v>
      </c>
    </row>
    <row r="401" spans="1:6">
      <c r="A401" s="3">
        <v>3</v>
      </c>
      <c r="B401" s="3">
        <v>1</v>
      </c>
      <c r="C401" s="3">
        <v>75.599999999999994</v>
      </c>
      <c r="F401" s="3">
        <v>99.8</v>
      </c>
    </row>
    <row r="402" spans="1:6" hidden="1">
      <c r="A402" s="3">
        <v>2</v>
      </c>
      <c r="B402" s="3">
        <v>1</v>
      </c>
      <c r="C402" s="3">
        <v>75.599999999999994</v>
      </c>
      <c r="F402" s="3">
        <v>100.4</v>
      </c>
    </row>
    <row r="403" spans="1:6" hidden="1">
      <c r="A403" s="3">
        <v>2</v>
      </c>
      <c r="B403" s="3">
        <v>0</v>
      </c>
      <c r="C403" s="3">
        <v>75.7</v>
      </c>
      <c r="F403" s="3">
        <v>100.7</v>
      </c>
    </row>
    <row r="404" spans="1:6">
      <c r="A404" s="3">
        <v>3</v>
      </c>
      <c r="B404" s="3">
        <v>0</v>
      </c>
      <c r="C404" s="3">
        <v>75.7</v>
      </c>
      <c r="F404" s="3">
        <v>101</v>
      </c>
    </row>
    <row r="405" spans="1:6" hidden="1">
      <c r="A405" s="3">
        <v>2</v>
      </c>
      <c r="B405" s="3">
        <v>0</v>
      </c>
      <c r="C405" s="3">
        <v>75.900000000000006</v>
      </c>
      <c r="F405" s="3">
        <v>102</v>
      </c>
    </row>
    <row r="406" spans="1:6">
      <c r="A406" s="3">
        <v>3</v>
      </c>
      <c r="B406" s="3">
        <v>0</v>
      </c>
      <c r="C406" s="3">
        <v>75.900000000000006</v>
      </c>
      <c r="F406" s="3">
        <v>102</v>
      </c>
    </row>
    <row r="407" spans="1:6">
      <c r="A407" s="3">
        <v>3</v>
      </c>
      <c r="B407" s="3">
        <v>1</v>
      </c>
      <c r="C407" s="3">
        <v>76</v>
      </c>
      <c r="F407" s="3">
        <v>102.3</v>
      </c>
    </row>
    <row r="408" spans="1:6">
      <c r="A408" s="3">
        <v>3</v>
      </c>
      <c r="B408" s="3">
        <v>0</v>
      </c>
      <c r="C408" s="3">
        <v>76.099999999999994</v>
      </c>
      <c r="F408" s="3">
        <v>102.3</v>
      </c>
    </row>
    <row r="409" spans="1:6">
      <c r="A409" s="3">
        <v>3</v>
      </c>
      <c r="B409" s="3">
        <v>1</v>
      </c>
      <c r="C409" s="3">
        <v>76.099999999999994</v>
      </c>
      <c r="F409" s="3">
        <v>103.3</v>
      </c>
    </row>
    <row r="410" spans="1:6">
      <c r="A410" s="3">
        <v>3</v>
      </c>
      <c r="B410" s="3">
        <v>1</v>
      </c>
      <c r="C410" s="3">
        <v>76.099999999999994</v>
      </c>
      <c r="F410" s="3">
        <v>104</v>
      </c>
    </row>
    <row r="411" spans="1:6">
      <c r="A411" s="3">
        <v>3</v>
      </c>
      <c r="B411" s="3">
        <v>1</v>
      </c>
      <c r="C411" s="3">
        <v>76.099999999999994</v>
      </c>
      <c r="F411" s="3">
        <v>105.3</v>
      </c>
    </row>
    <row r="412" spans="1:6" hidden="1">
      <c r="A412" s="3">
        <v>2</v>
      </c>
      <c r="B412" s="3">
        <v>0</v>
      </c>
      <c r="C412" s="3">
        <v>76.2</v>
      </c>
      <c r="F412" s="3">
        <v>105.5</v>
      </c>
    </row>
    <row r="413" spans="1:6" hidden="1">
      <c r="A413" s="3">
        <v>2</v>
      </c>
      <c r="B413" s="3">
        <v>0</v>
      </c>
      <c r="C413" s="3">
        <v>76.2</v>
      </c>
      <c r="F413" s="3">
        <v>105.8</v>
      </c>
    </row>
    <row r="414" spans="1:6">
      <c r="A414" s="3">
        <v>3</v>
      </c>
      <c r="B414" s="3">
        <v>1</v>
      </c>
      <c r="C414" s="3">
        <v>76.3</v>
      </c>
      <c r="F414" s="3">
        <v>106.2</v>
      </c>
    </row>
    <row r="415" spans="1:6">
      <c r="A415" s="3">
        <v>3</v>
      </c>
      <c r="B415" s="3">
        <v>1</v>
      </c>
      <c r="C415" s="3">
        <v>76.3</v>
      </c>
    </row>
    <row r="416" spans="1:6" hidden="1">
      <c r="A416" s="3">
        <v>2</v>
      </c>
      <c r="B416" s="3">
        <v>0</v>
      </c>
      <c r="C416" s="3">
        <v>76.400000000000006</v>
      </c>
    </row>
    <row r="417" spans="1:3" hidden="1">
      <c r="A417" s="3">
        <v>2</v>
      </c>
      <c r="B417" s="3">
        <v>1</v>
      </c>
      <c r="C417" s="3">
        <v>76.5</v>
      </c>
    </row>
    <row r="418" spans="1:3" hidden="1">
      <c r="A418" s="3">
        <v>2</v>
      </c>
      <c r="B418" s="3">
        <v>0</v>
      </c>
      <c r="C418" s="3">
        <v>76.599999999999994</v>
      </c>
    </row>
    <row r="419" spans="1:3">
      <c r="A419" s="3">
        <v>3</v>
      </c>
      <c r="B419" s="3">
        <v>0</v>
      </c>
      <c r="C419" s="3">
        <v>76.599999999999994</v>
      </c>
    </row>
    <row r="420" spans="1:3" hidden="1">
      <c r="A420" s="3">
        <v>2</v>
      </c>
      <c r="B420" s="3">
        <v>1</v>
      </c>
      <c r="C420" s="3">
        <v>76.7</v>
      </c>
    </row>
    <row r="421" spans="1:3" hidden="1">
      <c r="A421" s="3">
        <v>1</v>
      </c>
      <c r="B421" s="3">
        <v>0</v>
      </c>
      <c r="C421" s="3">
        <v>76.8</v>
      </c>
    </row>
    <row r="422" spans="1:3">
      <c r="A422" s="3">
        <v>3</v>
      </c>
      <c r="B422" s="3">
        <v>0</v>
      </c>
      <c r="C422" s="3">
        <v>76.8</v>
      </c>
    </row>
    <row r="423" spans="1:3">
      <c r="A423" s="3">
        <v>3</v>
      </c>
      <c r="B423" s="3">
        <v>0</v>
      </c>
      <c r="C423" s="3">
        <v>76.8</v>
      </c>
    </row>
    <row r="424" spans="1:3" hidden="1">
      <c r="A424" s="3">
        <v>1</v>
      </c>
      <c r="B424" s="3">
        <v>1</v>
      </c>
      <c r="C424" s="3">
        <v>76.900000000000006</v>
      </c>
    </row>
    <row r="425" spans="1:3">
      <c r="A425" s="3">
        <v>3</v>
      </c>
      <c r="B425" s="3">
        <v>1</v>
      </c>
      <c r="C425" s="3">
        <v>76.900000000000006</v>
      </c>
    </row>
    <row r="426" spans="1:3" hidden="1">
      <c r="A426" s="3">
        <v>1</v>
      </c>
      <c r="B426" s="3">
        <v>0</v>
      </c>
      <c r="C426" s="3">
        <v>76.900000000000006</v>
      </c>
    </row>
    <row r="427" spans="1:3" hidden="1">
      <c r="A427" s="3">
        <v>1</v>
      </c>
      <c r="B427" s="3">
        <v>0</v>
      </c>
      <c r="C427" s="3">
        <v>77</v>
      </c>
    </row>
    <row r="428" spans="1:3" hidden="1">
      <c r="A428" s="3">
        <v>1</v>
      </c>
      <c r="B428" s="3">
        <v>0</v>
      </c>
      <c r="C428" s="3">
        <v>77</v>
      </c>
    </row>
    <row r="429" spans="1:3" hidden="1">
      <c r="A429" s="3">
        <v>2</v>
      </c>
      <c r="B429" s="3">
        <v>1</v>
      </c>
      <c r="C429" s="3">
        <v>77</v>
      </c>
    </row>
    <row r="430" spans="1:3">
      <c r="A430" s="3">
        <v>3</v>
      </c>
      <c r="B430" s="3">
        <v>1</v>
      </c>
      <c r="C430" s="3">
        <v>77</v>
      </c>
    </row>
    <row r="431" spans="1:3" hidden="1">
      <c r="A431" s="3">
        <v>1</v>
      </c>
      <c r="B431" s="3">
        <v>1</v>
      </c>
      <c r="C431" s="3">
        <v>77.099999999999994</v>
      </c>
    </row>
    <row r="432" spans="1:3">
      <c r="A432" s="3">
        <v>3</v>
      </c>
      <c r="B432" s="3">
        <v>1</v>
      </c>
      <c r="C432" s="3">
        <v>77.2</v>
      </c>
    </row>
    <row r="433" spans="1:3">
      <c r="A433" s="3">
        <v>3</v>
      </c>
      <c r="B433" s="3">
        <v>1</v>
      </c>
      <c r="C433" s="3">
        <v>77.2</v>
      </c>
    </row>
    <row r="434" spans="1:3" hidden="1">
      <c r="A434" s="3">
        <v>2</v>
      </c>
      <c r="B434" s="3">
        <v>0</v>
      </c>
      <c r="C434" s="3">
        <v>77.2</v>
      </c>
    </row>
    <row r="435" spans="1:3" hidden="1">
      <c r="A435" s="3">
        <v>2</v>
      </c>
      <c r="B435" s="3">
        <v>1</v>
      </c>
      <c r="C435" s="3">
        <v>77.2</v>
      </c>
    </row>
    <row r="436" spans="1:3">
      <c r="A436" s="3">
        <v>3</v>
      </c>
      <c r="B436" s="3">
        <v>1</v>
      </c>
      <c r="C436" s="3">
        <v>77.2</v>
      </c>
    </row>
    <row r="437" spans="1:3" hidden="1">
      <c r="A437" s="3">
        <v>2</v>
      </c>
      <c r="B437" s="3">
        <v>1</v>
      </c>
      <c r="C437" s="3">
        <v>77.2</v>
      </c>
    </row>
    <row r="438" spans="1:3">
      <c r="A438" s="3">
        <v>3</v>
      </c>
      <c r="B438" s="3">
        <v>1</v>
      </c>
      <c r="C438" s="3">
        <v>77.2</v>
      </c>
    </row>
    <row r="439" spans="1:3">
      <c r="A439" s="3">
        <v>3</v>
      </c>
      <c r="B439" s="3">
        <v>1</v>
      </c>
      <c r="C439" s="3">
        <v>77.3</v>
      </c>
    </row>
    <row r="440" spans="1:3" hidden="1">
      <c r="A440" s="3">
        <v>2</v>
      </c>
      <c r="B440" s="3">
        <v>1</v>
      </c>
      <c r="C440" s="3">
        <v>77.3</v>
      </c>
    </row>
    <row r="441" spans="1:3" hidden="1">
      <c r="A441" s="3">
        <v>1</v>
      </c>
      <c r="B441" s="3">
        <v>1</v>
      </c>
      <c r="C441" s="3">
        <v>77.3</v>
      </c>
    </row>
    <row r="442" spans="1:3" hidden="1">
      <c r="A442" s="3">
        <v>1</v>
      </c>
      <c r="B442" s="3">
        <v>1</v>
      </c>
      <c r="C442" s="3">
        <v>77.400000000000006</v>
      </c>
    </row>
    <row r="443" spans="1:3" hidden="1">
      <c r="A443" s="3">
        <v>2</v>
      </c>
      <c r="B443" s="3">
        <v>1</v>
      </c>
      <c r="C443" s="3">
        <v>77.400000000000006</v>
      </c>
    </row>
    <row r="444" spans="1:3" hidden="1">
      <c r="A444" s="3">
        <v>2</v>
      </c>
      <c r="B444" s="3">
        <v>0</v>
      </c>
      <c r="C444" s="3">
        <v>77.400000000000006</v>
      </c>
    </row>
    <row r="445" spans="1:3" hidden="1">
      <c r="A445" s="3">
        <v>2</v>
      </c>
      <c r="B445" s="3">
        <v>1</v>
      </c>
      <c r="C445" s="3">
        <v>77.400000000000006</v>
      </c>
    </row>
    <row r="446" spans="1:3" hidden="1">
      <c r="A446" s="3">
        <v>1</v>
      </c>
      <c r="B446" s="3">
        <v>0</v>
      </c>
      <c r="C446" s="3">
        <v>77.5</v>
      </c>
    </row>
    <row r="447" spans="1:3" hidden="1">
      <c r="A447" s="3">
        <v>1</v>
      </c>
      <c r="B447" s="3">
        <v>1</v>
      </c>
      <c r="C447" s="3">
        <v>77.5</v>
      </c>
    </row>
    <row r="448" spans="1:3">
      <c r="A448" s="3">
        <v>3</v>
      </c>
      <c r="B448" s="3">
        <v>1</v>
      </c>
      <c r="C448" s="3">
        <v>77.5</v>
      </c>
    </row>
    <row r="449" spans="1:3" hidden="1">
      <c r="A449" s="3">
        <v>2</v>
      </c>
      <c r="B449" s="3">
        <v>0</v>
      </c>
      <c r="C449" s="3">
        <v>77.5</v>
      </c>
    </row>
    <row r="450" spans="1:3" hidden="1">
      <c r="A450" s="3">
        <v>2</v>
      </c>
      <c r="B450" s="3">
        <v>1</v>
      </c>
      <c r="C450" s="3">
        <v>77.5</v>
      </c>
    </row>
    <row r="451" spans="1:3" hidden="1">
      <c r="A451" s="3">
        <v>1</v>
      </c>
      <c r="B451" s="3">
        <v>0</v>
      </c>
      <c r="C451" s="3">
        <v>77.5</v>
      </c>
    </row>
    <row r="452" spans="1:3">
      <c r="A452" s="3">
        <v>3</v>
      </c>
      <c r="B452" s="3">
        <v>0</v>
      </c>
      <c r="C452" s="3">
        <v>77.7</v>
      </c>
    </row>
    <row r="453" spans="1:3">
      <c r="A453" s="3">
        <v>3</v>
      </c>
      <c r="B453" s="3">
        <v>1</v>
      </c>
      <c r="C453" s="3">
        <v>77.7</v>
      </c>
    </row>
    <row r="454" spans="1:3">
      <c r="A454" s="3">
        <v>3</v>
      </c>
      <c r="B454" s="3">
        <v>0</v>
      </c>
      <c r="C454" s="3">
        <v>77.7</v>
      </c>
    </row>
    <row r="455" spans="1:3">
      <c r="A455" s="3">
        <v>3</v>
      </c>
      <c r="B455" s="3">
        <v>1</v>
      </c>
      <c r="C455" s="3">
        <v>77.7</v>
      </c>
    </row>
    <row r="456" spans="1:3" hidden="1">
      <c r="A456" s="3">
        <v>1</v>
      </c>
      <c r="B456" s="3">
        <v>0</v>
      </c>
      <c r="C456" s="3">
        <v>77.8</v>
      </c>
    </row>
    <row r="457" spans="1:3" hidden="1">
      <c r="A457" s="3">
        <v>1</v>
      </c>
      <c r="B457" s="3">
        <v>0</v>
      </c>
      <c r="C457" s="3">
        <v>77.8</v>
      </c>
    </row>
    <row r="458" spans="1:3">
      <c r="A458" s="3">
        <v>3</v>
      </c>
      <c r="B458" s="3">
        <v>0</v>
      </c>
      <c r="C458" s="3">
        <v>77.8</v>
      </c>
    </row>
    <row r="459" spans="1:3">
      <c r="A459" s="3">
        <v>3</v>
      </c>
      <c r="B459" s="3">
        <v>0</v>
      </c>
      <c r="C459" s="3">
        <v>77.8</v>
      </c>
    </row>
    <row r="460" spans="1:3" hidden="1">
      <c r="A460" s="3">
        <v>1</v>
      </c>
      <c r="B460" s="3">
        <v>0</v>
      </c>
      <c r="C460" s="3">
        <v>78</v>
      </c>
    </row>
    <row r="461" spans="1:3" hidden="1">
      <c r="A461" s="3">
        <v>1</v>
      </c>
      <c r="B461" s="3">
        <v>1</v>
      </c>
      <c r="C461" s="3">
        <v>78.099999999999994</v>
      </c>
    </row>
    <row r="462" spans="1:3" hidden="1">
      <c r="A462" s="3">
        <v>1</v>
      </c>
      <c r="B462" s="3">
        <v>0</v>
      </c>
      <c r="C462" s="3">
        <v>78.2</v>
      </c>
    </row>
    <row r="463" spans="1:3">
      <c r="A463" s="3">
        <v>3</v>
      </c>
      <c r="B463" s="3">
        <v>0</v>
      </c>
      <c r="C463" s="3">
        <v>78.2</v>
      </c>
    </row>
    <row r="464" spans="1:3" hidden="1">
      <c r="A464" s="3">
        <v>2</v>
      </c>
      <c r="B464" s="3">
        <v>0</v>
      </c>
      <c r="C464" s="3">
        <v>78.2</v>
      </c>
    </row>
    <row r="465" spans="1:3" hidden="1">
      <c r="A465" s="3">
        <v>2</v>
      </c>
      <c r="B465" s="3">
        <v>0</v>
      </c>
      <c r="C465" s="3">
        <v>78.2</v>
      </c>
    </row>
    <row r="466" spans="1:3">
      <c r="A466" s="3">
        <v>3</v>
      </c>
      <c r="B466" s="3">
        <v>1</v>
      </c>
      <c r="C466" s="3">
        <v>78.2</v>
      </c>
    </row>
    <row r="467" spans="1:3">
      <c r="A467" s="3">
        <v>3</v>
      </c>
      <c r="B467" s="3">
        <v>1</v>
      </c>
      <c r="C467" s="3">
        <v>78.2</v>
      </c>
    </row>
    <row r="468" spans="1:3" hidden="1">
      <c r="A468" s="3">
        <v>1</v>
      </c>
      <c r="B468" s="3">
        <v>0</v>
      </c>
      <c r="C468" s="3">
        <v>78.2</v>
      </c>
    </row>
    <row r="469" spans="1:3" hidden="1">
      <c r="A469" s="3">
        <v>2</v>
      </c>
      <c r="B469" s="3">
        <v>1</v>
      </c>
      <c r="C469" s="3">
        <v>78.3</v>
      </c>
    </row>
    <row r="470" spans="1:3">
      <c r="A470" s="3">
        <v>3</v>
      </c>
      <c r="B470" s="3">
        <v>0</v>
      </c>
      <c r="C470" s="3">
        <v>78.3</v>
      </c>
    </row>
    <row r="471" spans="1:3">
      <c r="A471" s="3">
        <v>3</v>
      </c>
      <c r="B471" s="3">
        <v>0</v>
      </c>
      <c r="C471" s="3">
        <v>78.3</v>
      </c>
    </row>
    <row r="472" spans="1:3" hidden="1">
      <c r="A472" s="3">
        <v>1</v>
      </c>
      <c r="B472" s="3">
        <v>0</v>
      </c>
      <c r="C472" s="3">
        <v>78.3</v>
      </c>
    </row>
    <row r="473" spans="1:3" hidden="1">
      <c r="A473" s="3">
        <v>2</v>
      </c>
      <c r="B473" s="3">
        <v>0</v>
      </c>
      <c r="C473" s="3">
        <v>78.3</v>
      </c>
    </row>
    <row r="474" spans="1:3">
      <c r="A474" s="3">
        <v>3</v>
      </c>
      <c r="B474" s="3">
        <v>0</v>
      </c>
      <c r="C474" s="3">
        <v>78.400000000000006</v>
      </c>
    </row>
    <row r="475" spans="1:3" hidden="1">
      <c r="A475" s="3">
        <v>2</v>
      </c>
      <c r="B475" s="3">
        <v>1</v>
      </c>
      <c r="C475" s="3">
        <v>78.400000000000006</v>
      </c>
    </row>
    <row r="476" spans="1:3">
      <c r="A476" s="3">
        <v>3</v>
      </c>
      <c r="B476" s="3">
        <v>0</v>
      </c>
      <c r="C476" s="3">
        <v>78.400000000000006</v>
      </c>
    </row>
    <row r="477" spans="1:3" hidden="1">
      <c r="A477" s="3">
        <v>2</v>
      </c>
      <c r="B477" s="3">
        <v>0</v>
      </c>
      <c r="C477" s="3">
        <v>78.5</v>
      </c>
    </row>
    <row r="478" spans="1:3" hidden="1">
      <c r="A478" s="3">
        <v>2</v>
      </c>
      <c r="B478" s="3">
        <v>0</v>
      </c>
      <c r="C478" s="3">
        <v>78.5</v>
      </c>
    </row>
    <row r="479" spans="1:3" hidden="1">
      <c r="A479" s="3">
        <v>1</v>
      </c>
      <c r="B479" s="3">
        <v>1</v>
      </c>
      <c r="C479" s="3">
        <v>78.5</v>
      </c>
    </row>
    <row r="480" spans="1:3" hidden="1">
      <c r="A480" s="3">
        <v>1</v>
      </c>
      <c r="B480" s="3">
        <v>0</v>
      </c>
      <c r="C480" s="3">
        <v>78.5</v>
      </c>
    </row>
    <row r="481" spans="1:3" hidden="1">
      <c r="A481" s="3">
        <v>1</v>
      </c>
      <c r="B481" s="3">
        <v>0</v>
      </c>
      <c r="C481" s="3">
        <v>78.5</v>
      </c>
    </row>
    <row r="482" spans="1:3" hidden="1">
      <c r="A482" s="3">
        <v>2</v>
      </c>
      <c r="B482" s="3">
        <v>0</v>
      </c>
      <c r="C482" s="3">
        <v>78.5</v>
      </c>
    </row>
    <row r="483" spans="1:3" hidden="1">
      <c r="A483" s="3">
        <v>1</v>
      </c>
      <c r="B483" s="3">
        <v>1</v>
      </c>
      <c r="C483" s="3">
        <v>78.599999999999994</v>
      </c>
    </row>
    <row r="484" spans="1:3" hidden="1">
      <c r="A484" s="3">
        <v>1</v>
      </c>
      <c r="B484" s="3">
        <v>1</v>
      </c>
      <c r="C484" s="3">
        <v>78.7</v>
      </c>
    </row>
    <row r="485" spans="1:3">
      <c r="A485" s="3">
        <v>3</v>
      </c>
      <c r="B485" s="3">
        <v>0</v>
      </c>
      <c r="C485" s="3">
        <v>78.7</v>
      </c>
    </row>
    <row r="486" spans="1:3">
      <c r="A486" s="3">
        <v>3</v>
      </c>
      <c r="B486" s="3">
        <v>0</v>
      </c>
      <c r="C486" s="3">
        <v>78.8</v>
      </c>
    </row>
    <row r="487" spans="1:3">
      <c r="A487" s="3">
        <v>3</v>
      </c>
      <c r="B487" s="3">
        <v>1</v>
      </c>
      <c r="C487" s="3">
        <v>78.8</v>
      </c>
    </row>
    <row r="488" spans="1:3" hidden="1">
      <c r="A488" s="3">
        <v>1</v>
      </c>
      <c r="B488" s="3">
        <v>0</v>
      </c>
      <c r="C488" s="3">
        <v>78.8</v>
      </c>
    </row>
    <row r="489" spans="1:3">
      <c r="A489" s="3">
        <v>3</v>
      </c>
      <c r="B489" s="3">
        <v>0</v>
      </c>
      <c r="C489" s="3">
        <v>78.8</v>
      </c>
    </row>
    <row r="490" spans="1:3" hidden="1">
      <c r="A490" s="3">
        <v>2</v>
      </c>
      <c r="B490" s="3">
        <v>0</v>
      </c>
      <c r="C490" s="3">
        <v>78.900000000000006</v>
      </c>
    </row>
    <row r="491" spans="1:3">
      <c r="A491" s="3">
        <v>3</v>
      </c>
      <c r="B491" s="3">
        <v>1</v>
      </c>
      <c r="C491" s="3">
        <v>79</v>
      </c>
    </row>
    <row r="492" spans="1:3">
      <c r="A492" s="3">
        <v>3</v>
      </c>
      <c r="B492" s="3">
        <v>1</v>
      </c>
      <c r="C492" s="3">
        <v>79.099999999999994</v>
      </c>
    </row>
    <row r="493" spans="1:3" hidden="1">
      <c r="A493" s="3">
        <v>2</v>
      </c>
      <c r="B493" s="3">
        <v>0</v>
      </c>
      <c r="C493" s="3">
        <v>79.099999999999994</v>
      </c>
    </row>
    <row r="494" spans="1:3">
      <c r="A494" s="3">
        <v>3</v>
      </c>
      <c r="B494" s="3">
        <v>0</v>
      </c>
      <c r="C494" s="3">
        <v>79.2</v>
      </c>
    </row>
    <row r="495" spans="1:3" hidden="1">
      <c r="A495" s="3">
        <v>1</v>
      </c>
      <c r="B495" s="3">
        <v>0</v>
      </c>
      <c r="C495" s="3">
        <v>79.3</v>
      </c>
    </row>
    <row r="496" spans="1:3">
      <c r="A496" s="3">
        <v>3</v>
      </c>
      <c r="B496" s="3">
        <v>0</v>
      </c>
      <c r="C496" s="3">
        <v>79.3</v>
      </c>
    </row>
    <row r="497" spans="1:3" hidden="1">
      <c r="A497" s="3">
        <v>2</v>
      </c>
      <c r="B497" s="3">
        <v>0</v>
      </c>
      <c r="C497" s="3">
        <v>79.400000000000006</v>
      </c>
    </row>
    <row r="498" spans="1:3">
      <c r="A498" s="3">
        <v>3</v>
      </c>
      <c r="B498" s="3">
        <v>0</v>
      </c>
      <c r="C498" s="3">
        <v>79.400000000000006</v>
      </c>
    </row>
    <row r="499" spans="1:3">
      <c r="A499" s="3">
        <v>3</v>
      </c>
      <c r="B499" s="3">
        <v>0</v>
      </c>
      <c r="C499" s="3">
        <v>79.400000000000006</v>
      </c>
    </row>
    <row r="500" spans="1:3" hidden="1">
      <c r="A500" s="3">
        <v>1</v>
      </c>
      <c r="B500" s="3">
        <v>0</v>
      </c>
      <c r="C500" s="3">
        <v>79.400000000000006</v>
      </c>
    </row>
    <row r="501" spans="1:3" hidden="1">
      <c r="A501" s="3">
        <v>1</v>
      </c>
      <c r="B501" s="3">
        <v>0</v>
      </c>
      <c r="C501" s="3">
        <v>79.5</v>
      </c>
    </row>
    <row r="502" spans="1:3">
      <c r="A502" s="3">
        <v>3</v>
      </c>
      <c r="B502" s="3">
        <v>0</v>
      </c>
      <c r="C502" s="3">
        <v>79.5</v>
      </c>
    </row>
    <row r="503" spans="1:3" hidden="1">
      <c r="A503" s="3">
        <v>1</v>
      </c>
      <c r="B503" s="3">
        <v>0</v>
      </c>
      <c r="C503" s="3">
        <v>79.599999999999994</v>
      </c>
    </row>
    <row r="504" spans="1:3" hidden="1">
      <c r="A504" s="3">
        <v>1</v>
      </c>
      <c r="B504" s="3">
        <v>0</v>
      </c>
      <c r="C504" s="3">
        <v>79.599999999999994</v>
      </c>
    </row>
    <row r="505" spans="1:3" hidden="1">
      <c r="A505" s="3">
        <v>2</v>
      </c>
      <c r="B505" s="3">
        <v>1</v>
      </c>
      <c r="C505" s="3">
        <v>79.599999999999994</v>
      </c>
    </row>
    <row r="506" spans="1:3" hidden="1">
      <c r="A506" s="3">
        <v>1</v>
      </c>
      <c r="B506" s="3">
        <v>1</v>
      </c>
      <c r="C506" s="3">
        <v>79.7</v>
      </c>
    </row>
    <row r="507" spans="1:3" hidden="1">
      <c r="A507" s="3">
        <v>2</v>
      </c>
      <c r="B507" s="3">
        <v>1</v>
      </c>
      <c r="C507" s="3">
        <v>79.7</v>
      </c>
    </row>
    <row r="508" spans="1:3" hidden="1">
      <c r="A508" s="3">
        <v>2</v>
      </c>
      <c r="B508" s="3">
        <v>1</v>
      </c>
      <c r="C508" s="3">
        <v>79.8</v>
      </c>
    </row>
    <row r="509" spans="1:3" hidden="1">
      <c r="A509" s="3">
        <v>1</v>
      </c>
      <c r="B509" s="3">
        <v>0</v>
      </c>
      <c r="C509" s="3">
        <v>79.8</v>
      </c>
    </row>
    <row r="510" spans="1:3" hidden="1">
      <c r="A510" s="3">
        <v>2</v>
      </c>
      <c r="B510" s="3">
        <v>0</v>
      </c>
      <c r="C510" s="3">
        <v>79.900000000000006</v>
      </c>
    </row>
    <row r="511" spans="1:3" hidden="1">
      <c r="A511" s="3">
        <v>2</v>
      </c>
      <c r="B511" s="3">
        <v>0</v>
      </c>
      <c r="C511" s="3">
        <v>79.900000000000006</v>
      </c>
    </row>
    <row r="512" spans="1:3" hidden="1">
      <c r="A512" s="3">
        <v>2</v>
      </c>
      <c r="B512" s="3">
        <v>1</v>
      </c>
      <c r="C512" s="3">
        <v>79.900000000000006</v>
      </c>
    </row>
    <row r="513" spans="1:3">
      <c r="A513" s="3">
        <v>3</v>
      </c>
      <c r="B513" s="3">
        <v>0</v>
      </c>
      <c r="C513" s="3">
        <v>79.900000000000006</v>
      </c>
    </row>
    <row r="514" spans="1:3" hidden="1">
      <c r="A514" s="3">
        <v>1</v>
      </c>
      <c r="B514" s="3">
        <v>0</v>
      </c>
      <c r="C514" s="3">
        <v>79.900000000000006</v>
      </c>
    </row>
    <row r="515" spans="1:3" hidden="1">
      <c r="A515" s="3">
        <v>1</v>
      </c>
      <c r="B515" s="3">
        <v>0</v>
      </c>
      <c r="C515" s="3">
        <v>79.900000000000006</v>
      </c>
    </row>
    <row r="516" spans="1:3" hidden="1">
      <c r="A516" s="3">
        <v>2</v>
      </c>
      <c r="B516" s="3">
        <v>0</v>
      </c>
      <c r="C516" s="3">
        <v>79.900000000000006</v>
      </c>
    </row>
    <row r="517" spans="1:3">
      <c r="A517" s="3">
        <v>3</v>
      </c>
      <c r="B517" s="3">
        <v>1</v>
      </c>
      <c r="C517" s="3">
        <v>80</v>
      </c>
    </row>
    <row r="518" spans="1:3">
      <c r="A518" s="3">
        <v>3</v>
      </c>
      <c r="B518" s="3">
        <v>0</v>
      </c>
      <c r="C518" s="3">
        <v>80</v>
      </c>
    </row>
    <row r="519" spans="1:3" hidden="1">
      <c r="A519" s="3">
        <v>1</v>
      </c>
      <c r="B519" s="3">
        <v>1</v>
      </c>
      <c r="C519" s="3">
        <v>80</v>
      </c>
    </row>
    <row r="520" spans="1:3">
      <c r="A520" s="3">
        <v>3</v>
      </c>
      <c r="B520" s="3">
        <v>1</v>
      </c>
      <c r="C520" s="3">
        <v>80.099999999999994</v>
      </c>
    </row>
    <row r="521" spans="1:3" hidden="1">
      <c r="A521" s="3">
        <v>1</v>
      </c>
      <c r="B521" s="3">
        <v>0</v>
      </c>
      <c r="C521" s="3">
        <v>80.099999999999994</v>
      </c>
    </row>
    <row r="522" spans="1:3">
      <c r="A522" s="3">
        <v>3</v>
      </c>
      <c r="B522" s="3">
        <v>1</v>
      </c>
      <c r="C522" s="3">
        <v>80.099999999999994</v>
      </c>
    </row>
    <row r="523" spans="1:3" hidden="1">
      <c r="A523" s="3">
        <v>1</v>
      </c>
      <c r="B523" s="3">
        <v>0</v>
      </c>
      <c r="C523" s="3">
        <v>80.099999999999994</v>
      </c>
    </row>
    <row r="524" spans="1:3" hidden="1">
      <c r="A524" s="3">
        <v>2</v>
      </c>
      <c r="B524" s="3">
        <v>0</v>
      </c>
      <c r="C524" s="3">
        <v>80.099999999999994</v>
      </c>
    </row>
    <row r="525" spans="1:3">
      <c r="A525" s="3">
        <v>3</v>
      </c>
      <c r="B525" s="3">
        <v>0</v>
      </c>
      <c r="C525" s="3">
        <v>80.2</v>
      </c>
    </row>
    <row r="526" spans="1:3">
      <c r="A526" s="3">
        <v>3</v>
      </c>
      <c r="B526" s="3">
        <v>1</v>
      </c>
      <c r="C526" s="3">
        <v>80.2</v>
      </c>
    </row>
    <row r="527" spans="1:3" hidden="1">
      <c r="A527" s="3">
        <v>1</v>
      </c>
      <c r="B527" s="3">
        <v>0</v>
      </c>
      <c r="C527" s="3">
        <v>80.2</v>
      </c>
    </row>
    <row r="528" spans="1:3" hidden="1">
      <c r="A528" s="3">
        <v>2</v>
      </c>
      <c r="B528" s="3">
        <v>0</v>
      </c>
      <c r="C528" s="3">
        <v>80.2</v>
      </c>
    </row>
    <row r="529" spans="1:3" hidden="1">
      <c r="A529" s="3">
        <v>2</v>
      </c>
      <c r="B529" s="3">
        <v>1</v>
      </c>
      <c r="C529" s="3">
        <v>80.2</v>
      </c>
    </row>
    <row r="530" spans="1:3" hidden="1">
      <c r="A530" s="3">
        <v>2</v>
      </c>
      <c r="B530" s="3">
        <v>1</v>
      </c>
      <c r="C530" s="3">
        <v>80.2</v>
      </c>
    </row>
    <row r="531" spans="1:3" hidden="1">
      <c r="A531" s="3">
        <v>2</v>
      </c>
      <c r="B531" s="3">
        <v>0</v>
      </c>
      <c r="C531" s="3">
        <v>80.2</v>
      </c>
    </row>
    <row r="532" spans="1:3" hidden="1">
      <c r="A532" s="3">
        <v>1</v>
      </c>
      <c r="B532" s="3">
        <v>1</v>
      </c>
      <c r="C532" s="3">
        <v>80.2</v>
      </c>
    </row>
    <row r="533" spans="1:3" hidden="1">
      <c r="A533" s="3">
        <v>1</v>
      </c>
      <c r="B533" s="3">
        <v>0</v>
      </c>
      <c r="C533" s="3">
        <v>80.3</v>
      </c>
    </row>
    <row r="534" spans="1:3">
      <c r="A534" s="3">
        <v>3</v>
      </c>
      <c r="B534" s="3">
        <v>1</v>
      </c>
      <c r="C534" s="3">
        <v>80.3</v>
      </c>
    </row>
    <row r="535" spans="1:3">
      <c r="A535" s="3">
        <v>3</v>
      </c>
      <c r="B535" s="3">
        <v>0</v>
      </c>
      <c r="C535" s="3">
        <v>80.3</v>
      </c>
    </row>
    <row r="536" spans="1:3">
      <c r="A536" s="3">
        <v>3</v>
      </c>
      <c r="B536" s="3">
        <v>1</v>
      </c>
      <c r="C536" s="3">
        <v>80.3</v>
      </c>
    </row>
    <row r="537" spans="1:3">
      <c r="A537" s="3">
        <v>3</v>
      </c>
      <c r="B537" s="3">
        <v>1</v>
      </c>
      <c r="C537" s="3">
        <v>80.3</v>
      </c>
    </row>
    <row r="538" spans="1:3" hidden="1">
      <c r="A538" s="3">
        <v>1</v>
      </c>
      <c r="B538" s="3">
        <v>0</v>
      </c>
      <c r="C538" s="3">
        <v>80.3</v>
      </c>
    </row>
    <row r="539" spans="1:3" hidden="1">
      <c r="A539" s="3">
        <v>1</v>
      </c>
      <c r="B539" s="3">
        <v>0</v>
      </c>
      <c r="C539" s="3">
        <v>80.3</v>
      </c>
    </row>
    <row r="540" spans="1:3" hidden="1">
      <c r="A540" s="3">
        <v>2</v>
      </c>
      <c r="B540" s="3">
        <v>1</v>
      </c>
      <c r="C540" s="3">
        <v>80.400000000000006</v>
      </c>
    </row>
    <row r="541" spans="1:3" hidden="1">
      <c r="A541" s="3">
        <v>1</v>
      </c>
      <c r="B541" s="3">
        <v>1</v>
      </c>
      <c r="C541" s="3">
        <v>80.400000000000006</v>
      </c>
    </row>
    <row r="542" spans="1:3">
      <c r="A542" s="3">
        <v>3</v>
      </c>
      <c r="B542" s="3">
        <v>0</v>
      </c>
      <c r="C542" s="3">
        <v>80.5</v>
      </c>
    </row>
    <row r="543" spans="1:3">
      <c r="A543" s="3">
        <v>3</v>
      </c>
      <c r="B543" s="3">
        <v>1</v>
      </c>
      <c r="C543" s="3">
        <v>80.599999999999994</v>
      </c>
    </row>
    <row r="544" spans="1:3" hidden="1">
      <c r="A544" s="3">
        <v>2</v>
      </c>
      <c r="B544" s="3">
        <v>0</v>
      </c>
      <c r="C544" s="3">
        <v>80.599999999999994</v>
      </c>
    </row>
    <row r="545" spans="1:3" hidden="1">
      <c r="A545" s="3">
        <v>2</v>
      </c>
      <c r="B545" s="3">
        <v>0</v>
      </c>
      <c r="C545" s="3">
        <v>80.599999999999994</v>
      </c>
    </row>
    <row r="546" spans="1:3" hidden="1">
      <c r="A546" s="3">
        <v>2</v>
      </c>
      <c r="B546" s="3">
        <v>0</v>
      </c>
      <c r="C546" s="3">
        <v>80.599999999999994</v>
      </c>
    </row>
    <row r="547" spans="1:3" hidden="1">
      <c r="A547" s="3">
        <v>2</v>
      </c>
      <c r="B547" s="3">
        <v>1</v>
      </c>
      <c r="C547" s="3">
        <v>80.7</v>
      </c>
    </row>
    <row r="548" spans="1:3">
      <c r="A548" s="3">
        <v>3</v>
      </c>
      <c r="B548" s="3">
        <v>1</v>
      </c>
      <c r="C548" s="3">
        <v>80.7</v>
      </c>
    </row>
    <row r="549" spans="1:3">
      <c r="A549" s="3">
        <v>3</v>
      </c>
      <c r="B549" s="3">
        <v>1</v>
      </c>
      <c r="C549" s="3">
        <v>80.8</v>
      </c>
    </row>
    <row r="550" spans="1:3">
      <c r="A550" s="3">
        <v>3</v>
      </c>
      <c r="B550" s="3">
        <v>0</v>
      </c>
      <c r="C550" s="3">
        <v>80.8</v>
      </c>
    </row>
    <row r="551" spans="1:3">
      <c r="A551" s="3">
        <v>3</v>
      </c>
      <c r="B551" s="3">
        <v>0</v>
      </c>
      <c r="C551" s="3">
        <v>80.8</v>
      </c>
    </row>
    <row r="552" spans="1:3" hidden="1">
      <c r="A552" s="3">
        <v>2</v>
      </c>
      <c r="B552" s="3">
        <v>0</v>
      </c>
      <c r="C552" s="3">
        <v>81</v>
      </c>
    </row>
    <row r="553" spans="1:3" hidden="1">
      <c r="A553" s="3">
        <v>2</v>
      </c>
      <c r="B553" s="3">
        <v>0</v>
      </c>
      <c r="C553" s="3">
        <v>81</v>
      </c>
    </row>
    <row r="554" spans="1:3">
      <c r="A554" s="3">
        <v>3</v>
      </c>
      <c r="B554" s="3">
        <v>1</v>
      </c>
      <c r="C554" s="3">
        <v>81</v>
      </c>
    </row>
    <row r="555" spans="1:3">
      <c r="A555" s="3">
        <v>3</v>
      </c>
      <c r="B555" s="3">
        <v>1</v>
      </c>
      <c r="C555" s="3">
        <v>81</v>
      </c>
    </row>
    <row r="556" spans="1:3">
      <c r="A556" s="3">
        <v>3</v>
      </c>
      <c r="B556" s="3">
        <v>0</v>
      </c>
      <c r="C556" s="3">
        <v>81</v>
      </c>
    </row>
    <row r="557" spans="1:3" hidden="1">
      <c r="A557" s="3">
        <v>1</v>
      </c>
      <c r="B557" s="3">
        <v>0</v>
      </c>
      <c r="C557" s="3">
        <v>81</v>
      </c>
    </row>
    <row r="558" spans="1:3">
      <c r="A558" s="3">
        <v>3</v>
      </c>
      <c r="B558" s="3">
        <v>0</v>
      </c>
      <c r="C558" s="3">
        <v>81</v>
      </c>
    </row>
    <row r="559" spans="1:3" hidden="1">
      <c r="A559" s="3">
        <v>1</v>
      </c>
      <c r="B559" s="3">
        <v>0</v>
      </c>
      <c r="C559" s="3">
        <v>81.099999999999994</v>
      </c>
    </row>
    <row r="560" spans="1:3">
      <c r="A560" s="3">
        <v>3</v>
      </c>
      <c r="B560" s="3">
        <v>0</v>
      </c>
      <c r="C560" s="3">
        <v>81.099999999999994</v>
      </c>
    </row>
    <row r="561" spans="1:3" hidden="1">
      <c r="A561" s="3">
        <v>2</v>
      </c>
      <c r="B561" s="3">
        <v>0</v>
      </c>
      <c r="C561" s="3">
        <v>81.2</v>
      </c>
    </row>
    <row r="562" spans="1:3">
      <c r="A562" s="3">
        <v>3</v>
      </c>
      <c r="B562" s="3">
        <v>0</v>
      </c>
      <c r="C562" s="3">
        <v>81.2</v>
      </c>
    </row>
    <row r="563" spans="1:3" hidden="1">
      <c r="A563" s="3">
        <v>2</v>
      </c>
      <c r="B563" s="3">
        <v>1</v>
      </c>
      <c r="C563" s="3">
        <v>81.2</v>
      </c>
    </row>
    <row r="564" spans="1:3" hidden="1">
      <c r="A564" s="3">
        <v>1</v>
      </c>
      <c r="B564" s="3">
        <v>1</v>
      </c>
      <c r="C564" s="3">
        <v>81.2</v>
      </c>
    </row>
    <row r="565" spans="1:3" hidden="1">
      <c r="A565" s="3">
        <v>1</v>
      </c>
      <c r="B565" s="3">
        <v>0</v>
      </c>
      <c r="C565" s="3">
        <v>81.3</v>
      </c>
    </row>
    <row r="566" spans="1:3" hidden="1">
      <c r="A566" s="3">
        <v>1</v>
      </c>
      <c r="B566" s="3">
        <v>0</v>
      </c>
      <c r="C566" s="3">
        <v>81.400000000000006</v>
      </c>
    </row>
    <row r="567" spans="1:3" hidden="1">
      <c r="A567" s="3">
        <v>2</v>
      </c>
      <c r="B567" s="3">
        <v>1</v>
      </c>
      <c r="C567" s="3">
        <v>81.400000000000006</v>
      </c>
    </row>
    <row r="568" spans="1:3">
      <c r="A568" s="3">
        <v>3</v>
      </c>
      <c r="B568" s="3">
        <v>1</v>
      </c>
      <c r="C568" s="3">
        <v>81.400000000000006</v>
      </c>
    </row>
    <row r="569" spans="1:3" hidden="1">
      <c r="A569" s="3">
        <v>1</v>
      </c>
      <c r="B569" s="3">
        <v>0</v>
      </c>
      <c r="C569" s="3">
        <v>81.5</v>
      </c>
    </row>
    <row r="570" spans="1:3">
      <c r="A570" s="3">
        <v>3</v>
      </c>
      <c r="B570" s="3">
        <v>0</v>
      </c>
      <c r="C570" s="3">
        <v>81.5</v>
      </c>
    </row>
    <row r="571" spans="1:3">
      <c r="A571" s="3">
        <v>3</v>
      </c>
      <c r="B571" s="3">
        <v>0</v>
      </c>
      <c r="C571" s="3">
        <v>81.5</v>
      </c>
    </row>
    <row r="572" spans="1:3" hidden="1">
      <c r="A572" s="3">
        <v>1</v>
      </c>
      <c r="B572" s="3">
        <v>0</v>
      </c>
      <c r="C572" s="3">
        <v>81.5</v>
      </c>
    </row>
    <row r="573" spans="1:3" hidden="1">
      <c r="A573" s="3">
        <v>1</v>
      </c>
      <c r="B573" s="3">
        <v>0</v>
      </c>
      <c r="C573" s="3">
        <v>81.599999999999994</v>
      </c>
    </row>
    <row r="574" spans="1:3" hidden="1">
      <c r="A574" s="3">
        <v>1</v>
      </c>
      <c r="B574" s="3">
        <v>1</v>
      </c>
      <c r="C574" s="3">
        <v>81.599999999999994</v>
      </c>
    </row>
    <row r="575" spans="1:3">
      <c r="A575" s="3">
        <v>3</v>
      </c>
      <c r="B575" s="3">
        <v>0</v>
      </c>
      <c r="C575" s="3">
        <v>81.7</v>
      </c>
    </row>
    <row r="576" spans="1:3" hidden="1">
      <c r="A576" s="3">
        <v>2</v>
      </c>
      <c r="B576" s="3">
        <v>0</v>
      </c>
      <c r="C576" s="3">
        <v>81.7</v>
      </c>
    </row>
    <row r="577" spans="1:3" hidden="1">
      <c r="A577" s="3">
        <v>2</v>
      </c>
      <c r="B577" s="3">
        <v>1</v>
      </c>
      <c r="C577" s="3">
        <v>81.900000000000006</v>
      </c>
    </row>
    <row r="578" spans="1:3" hidden="1">
      <c r="A578" s="3">
        <v>2</v>
      </c>
      <c r="B578" s="3">
        <v>0</v>
      </c>
      <c r="C578" s="3">
        <v>81.900000000000006</v>
      </c>
    </row>
    <row r="579" spans="1:3" hidden="1">
      <c r="A579" s="3">
        <v>1</v>
      </c>
      <c r="B579" s="3">
        <v>0</v>
      </c>
      <c r="C579" s="3">
        <v>82</v>
      </c>
    </row>
    <row r="580" spans="1:3" hidden="1">
      <c r="A580" s="3">
        <v>1</v>
      </c>
      <c r="B580" s="3">
        <v>0</v>
      </c>
      <c r="C580" s="3">
        <v>82</v>
      </c>
    </row>
    <row r="581" spans="1:3">
      <c r="A581" s="3">
        <v>3</v>
      </c>
      <c r="B581" s="3">
        <v>0</v>
      </c>
      <c r="C581" s="3">
        <v>82</v>
      </c>
    </row>
    <row r="582" spans="1:3" hidden="1">
      <c r="A582" s="3">
        <v>2</v>
      </c>
      <c r="B582" s="3">
        <v>1</v>
      </c>
      <c r="C582" s="3">
        <v>82.1</v>
      </c>
    </row>
    <row r="583" spans="1:3">
      <c r="A583" s="3">
        <v>3</v>
      </c>
      <c r="B583" s="3">
        <v>0</v>
      </c>
      <c r="C583" s="3">
        <v>82.1</v>
      </c>
    </row>
    <row r="584" spans="1:3">
      <c r="A584" s="3">
        <v>3</v>
      </c>
      <c r="B584" s="3">
        <v>0</v>
      </c>
      <c r="C584" s="3">
        <v>82.2</v>
      </c>
    </row>
    <row r="585" spans="1:3" hidden="1">
      <c r="A585" s="3">
        <v>2</v>
      </c>
      <c r="B585" s="3">
        <v>0</v>
      </c>
      <c r="C585" s="3">
        <v>82.2</v>
      </c>
    </row>
    <row r="586" spans="1:3" hidden="1">
      <c r="A586" s="3">
        <v>2</v>
      </c>
      <c r="B586" s="3">
        <v>0</v>
      </c>
      <c r="C586" s="3">
        <v>82.2</v>
      </c>
    </row>
    <row r="587" spans="1:3">
      <c r="A587" s="3">
        <v>3</v>
      </c>
      <c r="B587" s="3">
        <v>1</v>
      </c>
      <c r="C587" s="3">
        <v>82.2</v>
      </c>
    </row>
    <row r="588" spans="1:3">
      <c r="A588" s="3">
        <v>3</v>
      </c>
      <c r="B588" s="3">
        <v>0</v>
      </c>
      <c r="C588" s="3">
        <v>82.2</v>
      </c>
    </row>
    <row r="589" spans="1:3">
      <c r="A589" s="3">
        <v>3</v>
      </c>
      <c r="B589" s="3">
        <v>0</v>
      </c>
      <c r="C589" s="3">
        <v>82.2</v>
      </c>
    </row>
    <row r="590" spans="1:3">
      <c r="A590" s="3">
        <v>3</v>
      </c>
      <c r="B590" s="3">
        <v>0</v>
      </c>
      <c r="C590" s="3">
        <v>82.2</v>
      </c>
    </row>
    <row r="591" spans="1:3" hidden="1">
      <c r="A591" s="3">
        <v>1</v>
      </c>
      <c r="B591" s="3">
        <v>0</v>
      </c>
      <c r="C591" s="3">
        <v>82.2</v>
      </c>
    </row>
    <row r="592" spans="1:3" hidden="1">
      <c r="A592" s="3">
        <v>1</v>
      </c>
      <c r="B592" s="3">
        <v>0</v>
      </c>
      <c r="C592" s="3">
        <v>82.3</v>
      </c>
    </row>
    <row r="593" spans="1:3">
      <c r="A593" s="3">
        <v>3</v>
      </c>
      <c r="B593" s="3">
        <v>0</v>
      </c>
      <c r="C593" s="3">
        <v>82.3</v>
      </c>
    </row>
    <row r="594" spans="1:3">
      <c r="A594" s="3">
        <v>3</v>
      </c>
      <c r="B594" s="3">
        <v>1</v>
      </c>
      <c r="C594" s="3">
        <v>82.3</v>
      </c>
    </row>
    <row r="595" spans="1:3" hidden="1">
      <c r="A595" s="3">
        <v>2</v>
      </c>
      <c r="B595" s="3">
        <v>0</v>
      </c>
      <c r="C595" s="3">
        <v>82.4</v>
      </c>
    </row>
    <row r="596" spans="1:3" hidden="1">
      <c r="A596" s="3">
        <v>1</v>
      </c>
      <c r="B596" s="3">
        <v>1</v>
      </c>
      <c r="C596" s="3">
        <v>82.4</v>
      </c>
    </row>
    <row r="597" spans="1:3">
      <c r="A597" s="3">
        <v>3</v>
      </c>
      <c r="B597" s="3">
        <v>0</v>
      </c>
      <c r="C597" s="3">
        <v>82.5</v>
      </c>
    </row>
    <row r="598" spans="1:3">
      <c r="A598" s="3">
        <v>3</v>
      </c>
      <c r="B598" s="3">
        <v>1</v>
      </c>
      <c r="C598" s="3">
        <v>82.5</v>
      </c>
    </row>
    <row r="599" spans="1:3">
      <c r="A599" s="3">
        <v>3</v>
      </c>
      <c r="B599" s="3">
        <v>1</v>
      </c>
      <c r="C599" s="3">
        <v>82.5</v>
      </c>
    </row>
    <row r="600" spans="1:3">
      <c r="A600" s="3">
        <v>3</v>
      </c>
      <c r="B600" s="3">
        <v>0</v>
      </c>
      <c r="C600" s="3">
        <v>82.5</v>
      </c>
    </row>
    <row r="601" spans="1:3" hidden="1">
      <c r="A601" s="3">
        <v>1</v>
      </c>
      <c r="B601" s="3">
        <v>0</v>
      </c>
      <c r="C601" s="3">
        <v>82.5</v>
      </c>
    </row>
    <row r="602" spans="1:3" hidden="1">
      <c r="A602" s="3">
        <v>1</v>
      </c>
      <c r="B602" s="3">
        <v>0</v>
      </c>
      <c r="C602" s="3">
        <v>82.6</v>
      </c>
    </row>
    <row r="603" spans="1:3" hidden="1">
      <c r="A603" s="3">
        <v>2</v>
      </c>
      <c r="B603" s="3">
        <v>1</v>
      </c>
      <c r="C603" s="3">
        <v>82.6</v>
      </c>
    </row>
    <row r="604" spans="1:3" hidden="1">
      <c r="A604" s="3">
        <v>2</v>
      </c>
      <c r="B604" s="3">
        <v>1</v>
      </c>
      <c r="C604" s="3">
        <v>82.6</v>
      </c>
    </row>
    <row r="605" spans="1:3" hidden="1">
      <c r="A605" s="3">
        <v>2</v>
      </c>
      <c r="B605" s="3">
        <v>0</v>
      </c>
      <c r="C605" s="3">
        <v>82.7</v>
      </c>
    </row>
    <row r="606" spans="1:3" hidden="1">
      <c r="A606" s="3">
        <v>1</v>
      </c>
      <c r="B606" s="3">
        <v>0</v>
      </c>
      <c r="C606" s="3">
        <v>82.8</v>
      </c>
    </row>
    <row r="607" spans="1:3" hidden="1">
      <c r="A607" s="3">
        <v>2</v>
      </c>
      <c r="B607" s="3">
        <v>0</v>
      </c>
      <c r="C607" s="3">
        <v>82.8</v>
      </c>
    </row>
    <row r="608" spans="1:3">
      <c r="A608" s="3">
        <v>3</v>
      </c>
      <c r="B608" s="3">
        <v>0</v>
      </c>
      <c r="C608" s="3">
        <v>82.8</v>
      </c>
    </row>
    <row r="609" spans="1:3">
      <c r="A609" s="3">
        <v>3</v>
      </c>
      <c r="B609" s="3">
        <v>0</v>
      </c>
      <c r="C609" s="3">
        <v>82.8</v>
      </c>
    </row>
    <row r="610" spans="1:3" hidden="1">
      <c r="A610" s="3">
        <v>1</v>
      </c>
      <c r="B610" s="3">
        <v>0</v>
      </c>
      <c r="C610" s="3">
        <v>82.8</v>
      </c>
    </row>
    <row r="611" spans="1:3" hidden="1">
      <c r="A611" s="3">
        <v>2</v>
      </c>
      <c r="B611" s="3">
        <v>0</v>
      </c>
      <c r="C611" s="3">
        <v>82.9</v>
      </c>
    </row>
    <row r="612" spans="1:3" hidden="1">
      <c r="A612" s="3">
        <v>2</v>
      </c>
      <c r="B612" s="3">
        <v>0</v>
      </c>
      <c r="C612" s="3">
        <v>82.9</v>
      </c>
    </row>
    <row r="613" spans="1:3">
      <c r="A613" s="3">
        <v>3</v>
      </c>
      <c r="B613" s="3">
        <v>1</v>
      </c>
      <c r="C613" s="3">
        <v>82.9</v>
      </c>
    </row>
    <row r="614" spans="1:3">
      <c r="A614" s="3">
        <v>3</v>
      </c>
      <c r="B614" s="3">
        <v>0</v>
      </c>
      <c r="C614" s="3">
        <v>82.9</v>
      </c>
    </row>
    <row r="615" spans="1:3">
      <c r="A615" s="3">
        <v>3</v>
      </c>
      <c r="B615" s="3">
        <v>0</v>
      </c>
      <c r="C615" s="3">
        <v>82.9</v>
      </c>
    </row>
    <row r="616" spans="1:3" hidden="1">
      <c r="A616" s="3">
        <v>2</v>
      </c>
      <c r="B616" s="3">
        <v>0</v>
      </c>
      <c r="C616" s="3">
        <v>83</v>
      </c>
    </row>
    <row r="617" spans="1:3" hidden="1">
      <c r="A617" s="3">
        <v>1</v>
      </c>
      <c r="B617" s="3">
        <v>0</v>
      </c>
      <c r="C617" s="3">
        <v>83</v>
      </c>
    </row>
    <row r="618" spans="1:3" hidden="1">
      <c r="A618" s="3">
        <v>2</v>
      </c>
      <c r="B618" s="3">
        <v>0</v>
      </c>
      <c r="C618" s="3">
        <v>83</v>
      </c>
    </row>
    <row r="619" spans="1:3" hidden="1">
      <c r="A619" s="3">
        <v>1</v>
      </c>
      <c r="B619" s="3">
        <v>0</v>
      </c>
      <c r="C619" s="3">
        <v>83</v>
      </c>
    </row>
    <row r="620" spans="1:3" hidden="1">
      <c r="A620" s="3">
        <v>1</v>
      </c>
      <c r="B620" s="3">
        <v>0</v>
      </c>
      <c r="C620" s="3">
        <v>83</v>
      </c>
    </row>
    <row r="621" spans="1:3" hidden="1">
      <c r="A621" s="3">
        <v>1</v>
      </c>
      <c r="B621" s="3">
        <v>0</v>
      </c>
      <c r="C621" s="3">
        <v>83</v>
      </c>
    </row>
    <row r="622" spans="1:3">
      <c r="A622" s="3">
        <v>3</v>
      </c>
      <c r="B622" s="3">
        <v>1</v>
      </c>
      <c r="C622" s="3">
        <v>83</v>
      </c>
    </row>
    <row r="623" spans="1:3" hidden="1">
      <c r="A623" s="3">
        <v>1</v>
      </c>
      <c r="B623" s="3">
        <v>0</v>
      </c>
      <c r="C623" s="3">
        <v>83.1</v>
      </c>
    </row>
    <row r="624" spans="1:3">
      <c r="A624" s="3">
        <v>3</v>
      </c>
      <c r="B624" s="3">
        <v>0</v>
      </c>
      <c r="C624" s="3">
        <v>83.1</v>
      </c>
    </row>
    <row r="625" spans="1:3" hidden="1">
      <c r="A625" s="3">
        <v>1</v>
      </c>
      <c r="B625" s="3">
        <v>0</v>
      </c>
      <c r="C625" s="3">
        <v>83.1</v>
      </c>
    </row>
    <row r="626" spans="1:3" hidden="1">
      <c r="A626" s="3">
        <v>2</v>
      </c>
      <c r="B626" s="3">
        <v>1</v>
      </c>
      <c r="C626" s="3">
        <v>83.2</v>
      </c>
    </row>
    <row r="627" spans="1:3">
      <c r="A627" s="3">
        <v>3</v>
      </c>
      <c r="B627" s="3">
        <v>0</v>
      </c>
      <c r="C627" s="3">
        <v>83.2</v>
      </c>
    </row>
    <row r="628" spans="1:3" hidden="1">
      <c r="A628" s="3">
        <v>1</v>
      </c>
      <c r="B628" s="3">
        <v>0</v>
      </c>
      <c r="C628" s="3">
        <v>83.2</v>
      </c>
    </row>
    <row r="629" spans="1:3" hidden="1">
      <c r="A629" s="3">
        <v>2</v>
      </c>
      <c r="B629" s="3">
        <v>0</v>
      </c>
      <c r="C629" s="3">
        <v>83.2</v>
      </c>
    </row>
    <row r="630" spans="1:3">
      <c r="A630" s="3">
        <v>3</v>
      </c>
      <c r="B630" s="3">
        <v>0</v>
      </c>
      <c r="C630" s="3">
        <v>83.3</v>
      </c>
    </row>
    <row r="631" spans="1:3">
      <c r="A631" s="3">
        <v>3</v>
      </c>
      <c r="B631" s="3">
        <v>1</v>
      </c>
      <c r="C631" s="3">
        <v>83.3</v>
      </c>
    </row>
    <row r="632" spans="1:3" hidden="1">
      <c r="A632" s="3">
        <v>2</v>
      </c>
      <c r="B632" s="3">
        <v>1</v>
      </c>
      <c r="C632" s="3">
        <v>83.3</v>
      </c>
    </row>
    <row r="633" spans="1:3" hidden="1">
      <c r="A633" s="3">
        <v>2</v>
      </c>
      <c r="B633" s="3">
        <v>1</v>
      </c>
      <c r="C633" s="3">
        <v>83.4</v>
      </c>
    </row>
    <row r="634" spans="1:3">
      <c r="A634" s="3">
        <v>3</v>
      </c>
      <c r="B634" s="3">
        <v>1</v>
      </c>
      <c r="C634" s="3">
        <v>83.4</v>
      </c>
    </row>
    <row r="635" spans="1:3" hidden="1">
      <c r="A635" s="3">
        <v>1</v>
      </c>
      <c r="B635" s="3">
        <v>0</v>
      </c>
      <c r="C635" s="3">
        <v>83.5</v>
      </c>
    </row>
    <row r="636" spans="1:3">
      <c r="A636" s="3">
        <v>3</v>
      </c>
      <c r="B636" s="3">
        <v>1</v>
      </c>
      <c r="C636" s="3">
        <v>83.5</v>
      </c>
    </row>
    <row r="637" spans="1:3">
      <c r="A637" s="3">
        <v>3</v>
      </c>
      <c r="B637" s="3">
        <v>0</v>
      </c>
      <c r="C637" s="3">
        <v>83.5</v>
      </c>
    </row>
    <row r="638" spans="1:3">
      <c r="A638" s="3">
        <v>3</v>
      </c>
      <c r="B638" s="3">
        <v>0</v>
      </c>
      <c r="C638" s="3">
        <v>83.5</v>
      </c>
    </row>
    <row r="639" spans="1:3">
      <c r="A639" s="3">
        <v>3</v>
      </c>
      <c r="B639" s="3">
        <v>0</v>
      </c>
      <c r="C639" s="3">
        <v>83.5</v>
      </c>
    </row>
    <row r="640" spans="1:3" hidden="1">
      <c r="A640" s="3">
        <v>1</v>
      </c>
      <c r="B640" s="3">
        <v>1</v>
      </c>
      <c r="C640" s="3">
        <v>83.6</v>
      </c>
    </row>
    <row r="641" spans="1:3">
      <c r="A641" s="3">
        <v>3</v>
      </c>
      <c r="B641" s="3">
        <v>0</v>
      </c>
      <c r="C641" s="3">
        <v>83.6</v>
      </c>
    </row>
    <row r="642" spans="1:3" hidden="1">
      <c r="A642" s="3">
        <v>2</v>
      </c>
      <c r="B642" s="3">
        <v>0</v>
      </c>
      <c r="C642" s="3">
        <v>83.6</v>
      </c>
    </row>
    <row r="643" spans="1:3">
      <c r="A643" s="3">
        <v>3</v>
      </c>
      <c r="B643" s="3">
        <v>0</v>
      </c>
      <c r="C643" s="3">
        <v>83.6</v>
      </c>
    </row>
    <row r="644" spans="1:3">
      <c r="A644" s="3">
        <v>3</v>
      </c>
      <c r="B644" s="3">
        <v>0</v>
      </c>
      <c r="C644" s="3">
        <v>83.7</v>
      </c>
    </row>
    <row r="645" spans="1:3">
      <c r="A645" s="3">
        <v>3</v>
      </c>
      <c r="B645" s="3">
        <v>1</v>
      </c>
      <c r="C645" s="3">
        <v>83.7</v>
      </c>
    </row>
    <row r="646" spans="1:3" hidden="1">
      <c r="A646" s="3">
        <v>1</v>
      </c>
      <c r="B646" s="3">
        <v>1</v>
      </c>
      <c r="C646" s="3">
        <v>83.7</v>
      </c>
    </row>
    <row r="647" spans="1:3" hidden="1">
      <c r="A647" s="3">
        <v>1</v>
      </c>
      <c r="B647" s="3">
        <v>0</v>
      </c>
      <c r="C647" s="3">
        <v>83.8</v>
      </c>
    </row>
    <row r="648" spans="1:3" hidden="1">
      <c r="A648" s="3">
        <v>2</v>
      </c>
      <c r="B648" s="3">
        <v>0</v>
      </c>
      <c r="C648" s="3">
        <v>83.9</v>
      </c>
    </row>
    <row r="649" spans="1:3">
      <c r="A649" s="3">
        <v>3</v>
      </c>
      <c r="B649" s="3">
        <v>0</v>
      </c>
      <c r="C649" s="3">
        <v>83.9</v>
      </c>
    </row>
    <row r="650" spans="1:3" hidden="1">
      <c r="A650" s="3">
        <v>2</v>
      </c>
      <c r="B650" s="3">
        <v>0</v>
      </c>
      <c r="C650" s="3">
        <v>83.9</v>
      </c>
    </row>
    <row r="651" spans="1:3" hidden="1">
      <c r="A651" s="3">
        <v>2</v>
      </c>
      <c r="B651" s="3">
        <v>0</v>
      </c>
      <c r="C651" s="3">
        <v>84</v>
      </c>
    </row>
    <row r="652" spans="1:3">
      <c r="A652" s="3">
        <v>3</v>
      </c>
      <c r="B652" s="3">
        <v>0</v>
      </c>
      <c r="C652" s="3">
        <v>84</v>
      </c>
    </row>
    <row r="653" spans="1:3" hidden="1">
      <c r="A653" s="3">
        <v>2</v>
      </c>
      <c r="B653" s="3">
        <v>0</v>
      </c>
      <c r="C653" s="3">
        <v>84</v>
      </c>
    </row>
    <row r="654" spans="1:3" hidden="1">
      <c r="A654" s="3">
        <v>1</v>
      </c>
      <c r="B654" s="3">
        <v>0</v>
      </c>
      <c r="C654" s="3">
        <v>84.1</v>
      </c>
    </row>
    <row r="655" spans="1:3">
      <c r="A655" s="3">
        <v>3</v>
      </c>
      <c r="B655" s="3">
        <v>1</v>
      </c>
      <c r="C655" s="3">
        <v>84.1</v>
      </c>
    </row>
    <row r="656" spans="1:3" hidden="1">
      <c r="A656" s="3">
        <v>1</v>
      </c>
      <c r="B656" s="3">
        <v>0</v>
      </c>
      <c r="C656" s="3">
        <v>84.2</v>
      </c>
    </row>
    <row r="657" spans="1:3">
      <c r="A657" s="3">
        <v>3</v>
      </c>
      <c r="B657" s="3">
        <v>0</v>
      </c>
      <c r="C657" s="3">
        <v>84.2</v>
      </c>
    </row>
    <row r="658" spans="1:3" hidden="1">
      <c r="A658" s="3">
        <v>1</v>
      </c>
      <c r="B658" s="3">
        <v>0</v>
      </c>
      <c r="C658" s="3">
        <v>84.2</v>
      </c>
    </row>
    <row r="659" spans="1:3" hidden="1">
      <c r="A659" s="3">
        <v>1</v>
      </c>
      <c r="B659" s="3">
        <v>0</v>
      </c>
      <c r="C659" s="3">
        <v>84.3</v>
      </c>
    </row>
    <row r="660" spans="1:3">
      <c r="A660" s="3">
        <v>3</v>
      </c>
      <c r="B660" s="3">
        <v>0</v>
      </c>
      <c r="C660" s="3">
        <v>84.3</v>
      </c>
    </row>
    <row r="661" spans="1:3" hidden="1">
      <c r="A661" s="3">
        <v>1</v>
      </c>
      <c r="B661" s="3">
        <v>0</v>
      </c>
      <c r="C661" s="3">
        <v>84.3</v>
      </c>
    </row>
    <row r="662" spans="1:3" hidden="1">
      <c r="A662" s="3">
        <v>2</v>
      </c>
      <c r="B662" s="3">
        <v>0</v>
      </c>
      <c r="C662" s="3">
        <v>84.3</v>
      </c>
    </row>
    <row r="663" spans="1:3">
      <c r="A663" s="3">
        <v>3</v>
      </c>
      <c r="B663" s="3">
        <v>0</v>
      </c>
      <c r="C663" s="3">
        <v>84.4</v>
      </c>
    </row>
    <row r="664" spans="1:3" hidden="1">
      <c r="A664" s="3">
        <v>1</v>
      </c>
      <c r="B664" s="3">
        <v>0</v>
      </c>
      <c r="C664" s="3">
        <v>84.5</v>
      </c>
    </row>
    <row r="665" spans="1:3" hidden="1">
      <c r="A665" s="3">
        <v>2</v>
      </c>
      <c r="B665" s="3">
        <v>0</v>
      </c>
      <c r="C665" s="3">
        <v>84.5</v>
      </c>
    </row>
    <row r="666" spans="1:3" hidden="1">
      <c r="A666" s="3">
        <v>2</v>
      </c>
      <c r="B666" s="3">
        <v>0</v>
      </c>
      <c r="C666" s="3">
        <v>84.5</v>
      </c>
    </row>
    <row r="667" spans="1:3">
      <c r="A667" s="3">
        <v>3</v>
      </c>
      <c r="B667" s="3">
        <v>1</v>
      </c>
      <c r="C667" s="3">
        <v>84.5</v>
      </c>
    </row>
    <row r="668" spans="1:3" hidden="1">
      <c r="A668" s="3">
        <v>1</v>
      </c>
      <c r="B668" s="3">
        <v>0</v>
      </c>
      <c r="C668" s="3">
        <v>84.5</v>
      </c>
    </row>
    <row r="669" spans="1:3" hidden="1">
      <c r="A669" s="3">
        <v>2</v>
      </c>
      <c r="B669" s="3">
        <v>1</v>
      </c>
      <c r="C669" s="3">
        <v>84.6</v>
      </c>
    </row>
    <row r="670" spans="1:3" hidden="1">
      <c r="A670" s="3">
        <v>1</v>
      </c>
      <c r="B670" s="3">
        <v>0</v>
      </c>
      <c r="C670" s="3">
        <v>84.6</v>
      </c>
    </row>
    <row r="671" spans="1:3" hidden="1">
      <c r="A671" s="3">
        <v>2</v>
      </c>
      <c r="B671" s="3">
        <v>0</v>
      </c>
      <c r="C671" s="3">
        <v>84.7</v>
      </c>
    </row>
    <row r="672" spans="1:3">
      <c r="A672" s="3">
        <v>3</v>
      </c>
      <c r="B672" s="3">
        <v>0</v>
      </c>
      <c r="C672" s="3">
        <v>84.7</v>
      </c>
    </row>
    <row r="673" spans="1:3" hidden="1">
      <c r="A673" s="3">
        <v>2</v>
      </c>
      <c r="B673" s="3">
        <v>0</v>
      </c>
      <c r="C673" s="3">
        <v>84.7</v>
      </c>
    </row>
    <row r="674" spans="1:3" hidden="1">
      <c r="A674" s="3">
        <v>2</v>
      </c>
      <c r="B674" s="3">
        <v>0</v>
      </c>
      <c r="C674" s="3">
        <v>84.8</v>
      </c>
    </row>
    <row r="675" spans="1:3" hidden="1">
      <c r="A675" s="3">
        <v>1</v>
      </c>
      <c r="B675" s="3">
        <v>0</v>
      </c>
      <c r="C675" s="3">
        <v>84.8</v>
      </c>
    </row>
    <row r="676" spans="1:3" hidden="1">
      <c r="A676" s="3">
        <v>2</v>
      </c>
      <c r="B676" s="3">
        <v>0</v>
      </c>
      <c r="C676" s="3">
        <v>85</v>
      </c>
    </row>
    <row r="677" spans="1:3">
      <c r="A677" s="3">
        <v>3</v>
      </c>
      <c r="B677" s="3">
        <v>0</v>
      </c>
      <c r="C677" s="3">
        <v>85</v>
      </c>
    </row>
    <row r="678" spans="1:3" hidden="1">
      <c r="A678" s="3">
        <v>1</v>
      </c>
      <c r="B678" s="3">
        <v>0</v>
      </c>
      <c r="C678" s="3">
        <v>85</v>
      </c>
    </row>
    <row r="679" spans="1:3" hidden="1">
      <c r="A679" s="3">
        <v>1</v>
      </c>
      <c r="B679" s="3">
        <v>0</v>
      </c>
      <c r="C679" s="3">
        <v>85</v>
      </c>
    </row>
    <row r="680" spans="1:3" hidden="1">
      <c r="A680" s="3">
        <v>2</v>
      </c>
      <c r="B680" s="3">
        <v>0</v>
      </c>
      <c r="C680" s="3">
        <v>85</v>
      </c>
    </row>
    <row r="681" spans="1:3" hidden="1">
      <c r="A681" s="3">
        <v>1</v>
      </c>
      <c r="B681" s="3">
        <v>0</v>
      </c>
      <c r="C681" s="3">
        <v>85.1</v>
      </c>
    </row>
    <row r="682" spans="1:3" hidden="1">
      <c r="A682" s="3">
        <v>2</v>
      </c>
      <c r="B682" s="3">
        <v>1</v>
      </c>
      <c r="C682" s="3">
        <v>85.1</v>
      </c>
    </row>
    <row r="683" spans="1:3">
      <c r="A683" s="3">
        <v>3</v>
      </c>
      <c r="B683" s="3">
        <v>0</v>
      </c>
      <c r="C683" s="3">
        <v>85.1</v>
      </c>
    </row>
    <row r="684" spans="1:3" hidden="1">
      <c r="A684" s="3">
        <v>1</v>
      </c>
      <c r="B684" s="3">
        <v>0</v>
      </c>
      <c r="C684" s="3">
        <v>85.1</v>
      </c>
    </row>
    <row r="685" spans="1:3" hidden="1">
      <c r="A685" s="3">
        <v>1</v>
      </c>
      <c r="B685" s="3">
        <v>0</v>
      </c>
      <c r="C685" s="3">
        <v>85.2</v>
      </c>
    </row>
    <row r="686" spans="1:3" hidden="1">
      <c r="A686" s="3">
        <v>1</v>
      </c>
      <c r="B686" s="3">
        <v>0</v>
      </c>
      <c r="C686" s="3">
        <v>85.2</v>
      </c>
    </row>
    <row r="687" spans="1:3" hidden="1">
      <c r="A687" s="3">
        <v>2</v>
      </c>
      <c r="B687" s="3">
        <v>1</v>
      </c>
      <c r="C687" s="3">
        <v>85.2</v>
      </c>
    </row>
    <row r="688" spans="1:3" hidden="1">
      <c r="A688" s="3">
        <v>1</v>
      </c>
      <c r="B688" s="3">
        <v>0</v>
      </c>
      <c r="C688" s="3">
        <v>85.3</v>
      </c>
    </row>
    <row r="689" spans="1:3">
      <c r="A689" s="3">
        <v>3</v>
      </c>
      <c r="B689" s="3">
        <v>0</v>
      </c>
      <c r="C689" s="3">
        <v>85.4</v>
      </c>
    </row>
    <row r="690" spans="1:3" hidden="1">
      <c r="A690" s="3">
        <v>2</v>
      </c>
      <c r="B690" s="3">
        <v>0</v>
      </c>
      <c r="C690" s="3">
        <v>85.4</v>
      </c>
    </row>
    <row r="691" spans="1:3">
      <c r="A691" s="3">
        <v>3</v>
      </c>
      <c r="B691" s="3">
        <v>0</v>
      </c>
      <c r="C691" s="3">
        <v>85.4</v>
      </c>
    </row>
    <row r="692" spans="1:3" hidden="1">
      <c r="A692" s="3">
        <v>1</v>
      </c>
      <c r="B692" s="3">
        <v>0</v>
      </c>
      <c r="C692" s="3">
        <v>85.5</v>
      </c>
    </row>
    <row r="693" spans="1:3" hidden="1">
      <c r="A693" s="3">
        <v>1</v>
      </c>
      <c r="B693" s="3">
        <v>0</v>
      </c>
      <c r="C693" s="3">
        <v>85.5</v>
      </c>
    </row>
    <row r="694" spans="1:3" hidden="1">
      <c r="A694" s="3">
        <v>2</v>
      </c>
      <c r="B694" s="3">
        <v>1</v>
      </c>
      <c r="C694" s="3">
        <v>85.5</v>
      </c>
    </row>
    <row r="695" spans="1:3" hidden="1">
      <c r="A695" s="3">
        <v>1</v>
      </c>
      <c r="B695" s="3">
        <v>0</v>
      </c>
      <c r="C695" s="3">
        <v>85.5</v>
      </c>
    </row>
    <row r="696" spans="1:3" hidden="1">
      <c r="A696" s="3">
        <v>1</v>
      </c>
      <c r="B696" s="3">
        <v>0</v>
      </c>
      <c r="C696" s="3">
        <v>85.6</v>
      </c>
    </row>
    <row r="697" spans="1:3">
      <c r="A697" s="3">
        <v>3</v>
      </c>
      <c r="B697" s="3">
        <v>0</v>
      </c>
      <c r="C697" s="3">
        <v>85.6</v>
      </c>
    </row>
    <row r="698" spans="1:3">
      <c r="A698" s="3">
        <v>3</v>
      </c>
      <c r="B698" s="3">
        <v>1</v>
      </c>
      <c r="C698" s="3">
        <v>85.6</v>
      </c>
    </row>
    <row r="699" spans="1:3">
      <c r="A699" s="3">
        <v>3</v>
      </c>
      <c r="B699" s="3">
        <v>0</v>
      </c>
      <c r="C699" s="3">
        <v>85.6</v>
      </c>
    </row>
    <row r="700" spans="1:3" hidden="1">
      <c r="A700" s="3">
        <v>2</v>
      </c>
      <c r="B700" s="3">
        <v>1</v>
      </c>
      <c r="C700" s="3">
        <v>85.7</v>
      </c>
    </row>
    <row r="701" spans="1:3" hidden="1">
      <c r="A701" s="3">
        <v>2</v>
      </c>
      <c r="B701" s="3">
        <v>1</v>
      </c>
      <c r="C701" s="3">
        <v>85.7</v>
      </c>
    </row>
    <row r="702" spans="1:3">
      <c r="A702" s="3">
        <v>3</v>
      </c>
      <c r="B702" s="3">
        <v>1</v>
      </c>
      <c r="C702" s="3">
        <v>85.7</v>
      </c>
    </row>
    <row r="703" spans="1:3" hidden="1">
      <c r="A703" s="3">
        <v>1</v>
      </c>
      <c r="B703" s="3">
        <v>0</v>
      </c>
      <c r="C703" s="3">
        <v>85.7</v>
      </c>
    </row>
    <row r="704" spans="1:3" hidden="1">
      <c r="A704" s="3">
        <v>2</v>
      </c>
      <c r="B704" s="3">
        <v>0</v>
      </c>
      <c r="C704" s="3">
        <v>85.8</v>
      </c>
    </row>
    <row r="705" spans="1:3" hidden="1">
      <c r="A705" s="3">
        <v>2</v>
      </c>
      <c r="B705" s="3">
        <v>0</v>
      </c>
      <c r="C705" s="3">
        <v>85.9</v>
      </c>
    </row>
    <row r="706" spans="1:3" hidden="1">
      <c r="A706" s="3">
        <v>2</v>
      </c>
      <c r="B706" s="3">
        <v>0</v>
      </c>
      <c r="C706" s="3">
        <v>85.9</v>
      </c>
    </row>
    <row r="707" spans="1:3" hidden="1">
      <c r="A707" s="3">
        <v>1</v>
      </c>
      <c r="B707" s="3">
        <v>0</v>
      </c>
      <c r="C707" s="3">
        <v>86</v>
      </c>
    </row>
    <row r="708" spans="1:3" hidden="1">
      <c r="A708" s="3">
        <v>1</v>
      </c>
      <c r="B708" s="3">
        <v>0</v>
      </c>
      <c r="C708" s="3">
        <v>86</v>
      </c>
    </row>
    <row r="709" spans="1:3" hidden="1">
      <c r="A709" s="3">
        <v>2</v>
      </c>
      <c r="B709" s="3">
        <v>1</v>
      </c>
      <c r="C709" s="3">
        <v>86</v>
      </c>
    </row>
    <row r="710" spans="1:3">
      <c r="A710" s="3">
        <v>3</v>
      </c>
      <c r="B710" s="3">
        <v>0</v>
      </c>
      <c r="C710" s="3">
        <v>86</v>
      </c>
    </row>
    <row r="711" spans="1:3" hidden="1">
      <c r="A711" s="3">
        <v>1</v>
      </c>
      <c r="B711" s="3">
        <v>1</v>
      </c>
      <c r="C711" s="3">
        <v>86</v>
      </c>
    </row>
    <row r="712" spans="1:3" hidden="1">
      <c r="A712" s="3">
        <v>2</v>
      </c>
      <c r="B712" s="3">
        <v>1</v>
      </c>
      <c r="C712" s="3">
        <v>86</v>
      </c>
    </row>
    <row r="713" spans="1:3" hidden="1">
      <c r="A713" s="3">
        <v>1</v>
      </c>
      <c r="B713" s="3">
        <v>0</v>
      </c>
      <c r="C713" s="3">
        <v>86</v>
      </c>
    </row>
    <row r="714" spans="1:3">
      <c r="A714" s="3">
        <v>3</v>
      </c>
      <c r="B714" s="3">
        <v>0</v>
      </c>
      <c r="C714" s="3">
        <v>86.1</v>
      </c>
    </row>
    <row r="715" spans="1:3">
      <c r="A715" s="3">
        <v>3</v>
      </c>
      <c r="B715" s="3">
        <v>0</v>
      </c>
      <c r="C715" s="3">
        <v>86.1</v>
      </c>
    </row>
    <row r="716" spans="1:3" hidden="1">
      <c r="A716" s="3">
        <v>2</v>
      </c>
      <c r="B716" s="3">
        <v>0</v>
      </c>
      <c r="C716" s="3">
        <v>86.2</v>
      </c>
    </row>
    <row r="717" spans="1:3" hidden="1">
      <c r="A717" s="3">
        <v>2</v>
      </c>
      <c r="B717" s="3">
        <v>0</v>
      </c>
      <c r="C717" s="3">
        <v>86.2</v>
      </c>
    </row>
    <row r="718" spans="1:3" hidden="1">
      <c r="A718" s="3">
        <v>2</v>
      </c>
      <c r="B718" s="3">
        <v>0</v>
      </c>
      <c r="C718" s="3">
        <v>86.2</v>
      </c>
    </row>
    <row r="719" spans="1:3" hidden="1">
      <c r="A719" s="3">
        <v>2</v>
      </c>
      <c r="B719" s="3">
        <v>0</v>
      </c>
      <c r="C719" s="3">
        <v>86.3</v>
      </c>
    </row>
    <row r="720" spans="1:3" hidden="1">
      <c r="A720" s="3">
        <v>2</v>
      </c>
      <c r="B720" s="3">
        <v>0</v>
      </c>
      <c r="C720" s="3">
        <v>86.4</v>
      </c>
    </row>
    <row r="721" spans="1:3">
      <c r="A721" s="3">
        <v>3</v>
      </c>
      <c r="B721" s="3">
        <v>0</v>
      </c>
      <c r="C721" s="3">
        <v>86.6</v>
      </c>
    </row>
    <row r="722" spans="1:3" hidden="1">
      <c r="A722" s="3">
        <v>2</v>
      </c>
      <c r="B722" s="3">
        <v>0</v>
      </c>
      <c r="C722" s="3">
        <v>86.6</v>
      </c>
    </row>
    <row r="723" spans="1:3" hidden="1">
      <c r="A723" s="3">
        <v>1</v>
      </c>
      <c r="B723" s="3">
        <v>0</v>
      </c>
      <c r="C723" s="3">
        <v>86.6</v>
      </c>
    </row>
    <row r="724" spans="1:3" hidden="1">
      <c r="A724" s="3">
        <v>1</v>
      </c>
      <c r="B724" s="3">
        <v>0</v>
      </c>
      <c r="C724" s="3">
        <v>86.7</v>
      </c>
    </row>
    <row r="725" spans="1:3" hidden="1">
      <c r="A725" s="3">
        <v>1</v>
      </c>
      <c r="B725" s="3">
        <v>0</v>
      </c>
      <c r="C725" s="3">
        <v>86.7</v>
      </c>
    </row>
    <row r="726" spans="1:3">
      <c r="A726" s="3">
        <v>3</v>
      </c>
      <c r="B726" s="3">
        <v>0</v>
      </c>
      <c r="C726" s="3">
        <v>86.7</v>
      </c>
    </row>
    <row r="727" spans="1:3" hidden="1">
      <c r="A727" s="3">
        <v>1</v>
      </c>
      <c r="B727" s="3">
        <v>0</v>
      </c>
      <c r="C727" s="3">
        <v>86.7</v>
      </c>
    </row>
    <row r="728" spans="1:3" hidden="1">
      <c r="A728" s="3">
        <v>2</v>
      </c>
      <c r="B728" s="3">
        <v>0</v>
      </c>
      <c r="C728" s="3">
        <v>86.8</v>
      </c>
    </row>
    <row r="729" spans="1:3" hidden="1">
      <c r="A729" s="3">
        <v>2</v>
      </c>
      <c r="B729" s="3">
        <v>0</v>
      </c>
      <c r="C729" s="3">
        <v>86.8</v>
      </c>
    </row>
    <row r="730" spans="1:3">
      <c r="A730" s="3">
        <v>3</v>
      </c>
      <c r="B730" s="3">
        <v>0</v>
      </c>
      <c r="C730" s="3">
        <v>86.8</v>
      </c>
    </row>
    <row r="731" spans="1:3">
      <c r="A731" s="3">
        <v>3</v>
      </c>
      <c r="B731" s="3">
        <v>0</v>
      </c>
      <c r="C731" s="3">
        <v>86.8</v>
      </c>
    </row>
    <row r="732" spans="1:3">
      <c r="A732" s="3">
        <v>3</v>
      </c>
      <c r="B732" s="3">
        <v>1</v>
      </c>
      <c r="C732" s="3">
        <v>86.8</v>
      </c>
    </row>
    <row r="733" spans="1:3">
      <c r="A733" s="3">
        <v>3</v>
      </c>
      <c r="B733" s="3">
        <v>1</v>
      </c>
      <c r="C733" s="3">
        <v>86.9</v>
      </c>
    </row>
    <row r="734" spans="1:3">
      <c r="A734" s="3">
        <v>3</v>
      </c>
      <c r="B734" s="3">
        <v>0</v>
      </c>
      <c r="C734" s="3">
        <v>86.9</v>
      </c>
    </row>
    <row r="735" spans="1:3" hidden="1">
      <c r="A735" s="3">
        <v>1</v>
      </c>
      <c r="B735" s="3">
        <v>0</v>
      </c>
      <c r="C735" s="3">
        <v>87</v>
      </c>
    </row>
    <row r="736" spans="1:3" hidden="1">
      <c r="A736" s="3">
        <v>2</v>
      </c>
      <c r="B736" s="3">
        <v>0</v>
      </c>
      <c r="C736" s="3">
        <v>87</v>
      </c>
    </row>
    <row r="737" spans="1:3">
      <c r="A737" s="3">
        <v>3</v>
      </c>
      <c r="B737" s="3">
        <v>0</v>
      </c>
      <c r="C737" s="3">
        <v>87</v>
      </c>
    </row>
    <row r="738" spans="1:3" hidden="1">
      <c r="A738" s="3">
        <v>2</v>
      </c>
      <c r="B738" s="3">
        <v>0</v>
      </c>
      <c r="C738" s="3">
        <v>87</v>
      </c>
    </row>
    <row r="739" spans="1:3" hidden="1">
      <c r="A739" s="3">
        <v>1</v>
      </c>
      <c r="B739" s="3">
        <v>0</v>
      </c>
      <c r="C739" s="3">
        <v>87</v>
      </c>
    </row>
    <row r="740" spans="1:3" hidden="1">
      <c r="A740" s="3">
        <v>2</v>
      </c>
      <c r="B740" s="3">
        <v>0</v>
      </c>
      <c r="C740" s="3">
        <v>87</v>
      </c>
    </row>
    <row r="741" spans="1:3">
      <c r="A741" s="3">
        <v>3</v>
      </c>
      <c r="B741" s="3">
        <v>0</v>
      </c>
      <c r="C741" s="3">
        <v>87.1</v>
      </c>
    </row>
    <row r="742" spans="1:3">
      <c r="A742" s="3">
        <v>3</v>
      </c>
      <c r="B742" s="3">
        <v>0</v>
      </c>
      <c r="C742" s="3">
        <v>87.1</v>
      </c>
    </row>
    <row r="743" spans="1:3">
      <c r="A743" s="3">
        <v>3</v>
      </c>
      <c r="B743" s="3">
        <v>1</v>
      </c>
      <c r="C743" s="3">
        <v>87.2</v>
      </c>
    </row>
    <row r="744" spans="1:3" hidden="1">
      <c r="A744" s="3">
        <v>2</v>
      </c>
      <c r="B744" s="3">
        <v>0</v>
      </c>
      <c r="C744" s="3">
        <v>87.3</v>
      </c>
    </row>
    <row r="745" spans="1:3" hidden="1">
      <c r="A745" s="3">
        <v>2</v>
      </c>
      <c r="B745" s="3">
        <v>0</v>
      </c>
      <c r="C745" s="3">
        <v>87.3</v>
      </c>
    </row>
    <row r="746" spans="1:3" hidden="1">
      <c r="A746" s="3">
        <v>2</v>
      </c>
      <c r="B746" s="3">
        <v>0</v>
      </c>
      <c r="C746" s="3">
        <v>87.3</v>
      </c>
    </row>
    <row r="747" spans="1:3" hidden="1">
      <c r="A747" s="3">
        <v>1</v>
      </c>
      <c r="B747" s="3">
        <v>0</v>
      </c>
      <c r="C747" s="3">
        <v>87.3</v>
      </c>
    </row>
    <row r="748" spans="1:3" hidden="1">
      <c r="A748" s="3">
        <v>1</v>
      </c>
      <c r="B748" s="3">
        <v>0</v>
      </c>
      <c r="C748" s="3">
        <v>87.3</v>
      </c>
    </row>
    <row r="749" spans="1:3" hidden="1">
      <c r="A749" s="3">
        <v>2</v>
      </c>
      <c r="B749" s="3">
        <v>0</v>
      </c>
      <c r="C749" s="3">
        <v>87.4</v>
      </c>
    </row>
    <row r="750" spans="1:3" hidden="1">
      <c r="A750" s="3">
        <v>2</v>
      </c>
      <c r="B750" s="3">
        <v>0</v>
      </c>
      <c r="C750" s="3">
        <v>87.4</v>
      </c>
    </row>
    <row r="751" spans="1:3">
      <c r="A751" s="3">
        <v>3</v>
      </c>
      <c r="B751" s="3">
        <v>0</v>
      </c>
      <c r="C751" s="3">
        <v>87.4</v>
      </c>
    </row>
    <row r="752" spans="1:3">
      <c r="A752" s="3">
        <v>3</v>
      </c>
      <c r="B752" s="3">
        <v>0</v>
      </c>
      <c r="C752" s="3">
        <v>87.5</v>
      </c>
    </row>
    <row r="753" spans="1:3" hidden="1">
      <c r="A753" s="3">
        <v>2</v>
      </c>
      <c r="B753" s="3">
        <v>0</v>
      </c>
      <c r="C753" s="3">
        <v>87.5</v>
      </c>
    </row>
    <row r="754" spans="1:3">
      <c r="A754" s="3">
        <v>3</v>
      </c>
      <c r="B754" s="3">
        <v>1</v>
      </c>
      <c r="C754" s="3">
        <v>87.6</v>
      </c>
    </row>
    <row r="755" spans="1:3">
      <c r="A755" s="3">
        <v>3</v>
      </c>
      <c r="B755" s="3">
        <v>0</v>
      </c>
      <c r="C755" s="3">
        <v>87.6</v>
      </c>
    </row>
    <row r="756" spans="1:3" hidden="1">
      <c r="A756" s="3">
        <v>2</v>
      </c>
      <c r="B756" s="3">
        <v>0</v>
      </c>
      <c r="C756" s="3">
        <v>87.7</v>
      </c>
    </row>
    <row r="757" spans="1:3">
      <c r="A757" s="3">
        <v>3</v>
      </c>
      <c r="B757" s="3">
        <v>0</v>
      </c>
      <c r="C757" s="3">
        <v>87.7</v>
      </c>
    </row>
    <row r="758" spans="1:3">
      <c r="A758" s="3">
        <v>3</v>
      </c>
      <c r="B758" s="3">
        <v>0</v>
      </c>
      <c r="C758" s="3">
        <v>87.7</v>
      </c>
    </row>
    <row r="759" spans="1:3">
      <c r="A759" s="3">
        <v>3</v>
      </c>
      <c r="B759" s="3">
        <v>0</v>
      </c>
      <c r="C759" s="3">
        <v>87.7</v>
      </c>
    </row>
    <row r="760" spans="1:3" hidden="1">
      <c r="A760" s="3">
        <v>2</v>
      </c>
      <c r="B760" s="3">
        <v>0</v>
      </c>
      <c r="C760" s="3">
        <v>87.7</v>
      </c>
    </row>
    <row r="761" spans="1:3">
      <c r="A761" s="3">
        <v>3</v>
      </c>
      <c r="B761" s="3">
        <v>0</v>
      </c>
      <c r="C761" s="3">
        <v>87.8</v>
      </c>
    </row>
    <row r="762" spans="1:3">
      <c r="A762" s="3">
        <v>3</v>
      </c>
      <c r="B762" s="3">
        <v>1</v>
      </c>
      <c r="C762" s="3">
        <v>87.8</v>
      </c>
    </row>
    <row r="763" spans="1:3">
      <c r="A763" s="3">
        <v>3</v>
      </c>
      <c r="B763" s="3">
        <v>0</v>
      </c>
      <c r="C763" s="3">
        <v>88</v>
      </c>
    </row>
    <row r="764" spans="1:3" hidden="1">
      <c r="A764" s="3">
        <v>1</v>
      </c>
      <c r="B764" s="3">
        <v>0</v>
      </c>
      <c r="C764" s="3">
        <v>88</v>
      </c>
    </row>
    <row r="765" spans="1:3" hidden="1">
      <c r="A765" s="3">
        <v>1</v>
      </c>
      <c r="B765" s="3">
        <v>0</v>
      </c>
      <c r="C765" s="3">
        <v>88.1</v>
      </c>
    </row>
    <row r="766" spans="1:3" hidden="1">
      <c r="A766" s="3">
        <v>2</v>
      </c>
      <c r="B766" s="3">
        <v>0</v>
      </c>
      <c r="C766" s="3">
        <v>88.2</v>
      </c>
    </row>
    <row r="767" spans="1:3" hidden="1">
      <c r="A767" s="3">
        <v>1</v>
      </c>
      <c r="B767" s="3">
        <v>0</v>
      </c>
      <c r="C767" s="3">
        <v>88.2</v>
      </c>
    </row>
    <row r="768" spans="1:3" hidden="1">
      <c r="A768" s="3">
        <v>1</v>
      </c>
      <c r="B768" s="3">
        <v>0</v>
      </c>
      <c r="C768" s="3">
        <v>88.2</v>
      </c>
    </row>
    <row r="769" spans="1:3">
      <c r="A769" s="3">
        <v>3</v>
      </c>
      <c r="B769" s="3">
        <v>0</v>
      </c>
      <c r="C769" s="3">
        <v>88.2</v>
      </c>
    </row>
    <row r="770" spans="1:3" hidden="1">
      <c r="A770" s="3">
        <v>1</v>
      </c>
      <c r="B770" s="3">
        <v>0</v>
      </c>
      <c r="C770" s="3">
        <v>88.3</v>
      </c>
    </row>
    <row r="771" spans="1:3" hidden="1">
      <c r="A771" s="3">
        <v>2</v>
      </c>
      <c r="B771" s="3">
        <v>0</v>
      </c>
      <c r="C771" s="3">
        <v>88.4</v>
      </c>
    </row>
    <row r="772" spans="1:3">
      <c r="A772" s="3">
        <v>3</v>
      </c>
      <c r="B772" s="3">
        <v>0</v>
      </c>
      <c r="C772" s="3">
        <v>88.4</v>
      </c>
    </row>
    <row r="773" spans="1:3" hidden="1">
      <c r="A773" s="3">
        <v>1</v>
      </c>
      <c r="B773" s="3">
        <v>0</v>
      </c>
      <c r="C773" s="3">
        <v>88.5</v>
      </c>
    </row>
    <row r="774" spans="1:3" hidden="1">
      <c r="A774" s="3">
        <v>2</v>
      </c>
      <c r="B774" s="3">
        <v>1</v>
      </c>
      <c r="C774" s="3">
        <v>88.5</v>
      </c>
    </row>
    <row r="775" spans="1:3">
      <c r="A775" s="3">
        <v>3</v>
      </c>
      <c r="B775" s="3">
        <v>1</v>
      </c>
      <c r="C775" s="3">
        <v>88.5</v>
      </c>
    </row>
    <row r="776" spans="1:3" hidden="1">
      <c r="A776" s="3">
        <v>2</v>
      </c>
      <c r="B776" s="3">
        <v>0</v>
      </c>
      <c r="C776" s="3">
        <v>88.5</v>
      </c>
    </row>
    <row r="777" spans="1:3">
      <c r="A777" s="3">
        <v>3</v>
      </c>
      <c r="B777" s="3">
        <v>0</v>
      </c>
      <c r="C777" s="3">
        <v>88.5</v>
      </c>
    </row>
    <row r="778" spans="1:3" hidden="1">
      <c r="A778" s="3">
        <v>1</v>
      </c>
      <c r="B778" s="3">
        <v>0</v>
      </c>
      <c r="C778" s="3">
        <v>88.6</v>
      </c>
    </row>
    <row r="779" spans="1:3" hidden="1">
      <c r="A779" s="3">
        <v>1</v>
      </c>
      <c r="B779" s="3">
        <v>0</v>
      </c>
      <c r="C779" s="3">
        <v>88.6</v>
      </c>
    </row>
    <row r="780" spans="1:3" hidden="1">
      <c r="A780" s="3">
        <v>2</v>
      </c>
      <c r="B780" s="3">
        <v>0</v>
      </c>
      <c r="C780" s="3">
        <v>88.6</v>
      </c>
    </row>
    <row r="781" spans="1:3">
      <c r="A781" s="3">
        <v>3</v>
      </c>
      <c r="B781" s="3">
        <v>0</v>
      </c>
      <c r="C781" s="3">
        <v>88.6</v>
      </c>
    </row>
    <row r="782" spans="1:3">
      <c r="A782" s="3">
        <v>3</v>
      </c>
      <c r="B782" s="3">
        <v>0</v>
      </c>
      <c r="C782" s="3">
        <v>88.6</v>
      </c>
    </row>
    <row r="783" spans="1:3" hidden="1">
      <c r="A783" s="3">
        <v>2</v>
      </c>
      <c r="B783" s="3">
        <v>0</v>
      </c>
      <c r="C783" s="3">
        <v>88.6</v>
      </c>
    </row>
    <row r="784" spans="1:3" hidden="1">
      <c r="A784" s="3">
        <v>2</v>
      </c>
      <c r="B784" s="3">
        <v>0</v>
      </c>
      <c r="C784" s="3">
        <v>88.7</v>
      </c>
    </row>
    <row r="785" spans="1:3">
      <c r="A785" s="3">
        <v>3</v>
      </c>
      <c r="B785" s="3">
        <v>0</v>
      </c>
      <c r="C785" s="3">
        <v>88.7</v>
      </c>
    </row>
    <row r="786" spans="1:3" hidden="1">
      <c r="A786" s="3">
        <v>2</v>
      </c>
      <c r="B786" s="3">
        <v>0</v>
      </c>
      <c r="C786" s="3">
        <v>88.7</v>
      </c>
    </row>
    <row r="787" spans="1:3" hidden="1">
      <c r="A787" s="3">
        <v>2</v>
      </c>
      <c r="B787" s="3">
        <v>0</v>
      </c>
      <c r="C787" s="3">
        <v>88.8</v>
      </c>
    </row>
    <row r="788" spans="1:3">
      <c r="A788" s="3">
        <v>3</v>
      </c>
      <c r="B788" s="3">
        <v>0</v>
      </c>
      <c r="C788" s="3">
        <v>88.8</v>
      </c>
    </row>
    <row r="789" spans="1:3" hidden="1">
      <c r="A789" s="3">
        <v>2</v>
      </c>
      <c r="B789" s="3">
        <v>0</v>
      </c>
      <c r="C789" s="3">
        <v>88.9</v>
      </c>
    </row>
    <row r="790" spans="1:3" hidden="1">
      <c r="A790" s="3">
        <v>1</v>
      </c>
      <c r="B790" s="3">
        <v>0</v>
      </c>
      <c r="C790" s="3">
        <v>88.9</v>
      </c>
    </row>
    <row r="791" spans="1:3" hidden="1">
      <c r="A791" s="3">
        <v>2</v>
      </c>
      <c r="B791" s="3">
        <v>1</v>
      </c>
      <c r="C791" s="3">
        <v>88.9</v>
      </c>
    </row>
    <row r="792" spans="1:3" hidden="1">
      <c r="A792" s="3">
        <v>2</v>
      </c>
      <c r="B792" s="3">
        <v>0</v>
      </c>
      <c r="C792" s="3">
        <v>88.9</v>
      </c>
    </row>
    <row r="793" spans="1:3" hidden="1">
      <c r="A793" s="3">
        <v>2</v>
      </c>
      <c r="B793" s="3">
        <v>0</v>
      </c>
      <c r="C793" s="3">
        <v>89</v>
      </c>
    </row>
    <row r="794" spans="1:3">
      <c r="A794" s="3">
        <v>3</v>
      </c>
      <c r="B794" s="3">
        <v>0</v>
      </c>
      <c r="C794" s="3">
        <v>89</v>
      </c>
    </row>
    <row r="795" spans="1:3" hidden="1">
      <c r="A795" s="3">
        <v>2</v>
      </c>
      <c r="B795" s="3">
        <v>1</v>
      </c>
      <c r="C795" s="3">
        <v>89</v>
      </c>
    </row>
    <row r="796" spans="1:3" hidden="1">
      <c r="A796" s="3">
        <v>1</v>
      </c>
      <c r="B796" s="3">
        <v>0</v>
      </c>
      <c r="C796" s="3">
        <v>89</v>
      </c>
    </row>
    <row r="797" spans="1:3">
      <c r="A797" s="3">
        <v>3</v>
      </c>
      <c r="B797" s="3">
        <v>0</v>
      </c>
      <c r="C797" s="3">
        <v>89</v>
      </c>
    </row>
    <row r="798" spans="1:3" hidden="1">
      <c r="A798" s="3">
        <v>2</v>
      </c>
      <c r="B798" s="3">
        <v>0</v>
      </c>
      <c r="C798" s="3">
        <v>89</v>
      </c>
    </row>
    <row r="799" spans="1:3">
      <c r="A799" s="3">
        <v>3</v>
      </c>
      <c r="B799" s="3">
        <v>0</v>
      </c>
      <c r="C799" s="3">
        <v>89.1</v>
      </c>
    </row>
    <row r="800" spans="1:3" hidden="1">
      <c r="A800" s="3">
        <v>1</v>
      </c>
      <c r="B800" s="3">
        <v>0</v>
      </c>
      <c r="C800" s="3">
        <v>89.1</v>
      </c>
    </row>
    <row r="801" spans="1:3" hidden="1">
      <c r="A801" s="3">
        <v>1</v>
      </c>
      <c r="B801" s="3">
        <v>0</v>
      </c>
      <c r="C801" s="3">
        <v>89.2</v>
      </c>
    </row>
    <row r="802" spans="1:3" hidden="1">
      <c r="A802" s="3">
        <v>2</v>
      </c>
      <c r="B802" s="3">
        <v>0</v>
      </c>
      <c r="C802" s="3">
        <v>89.2</v>
      </c>
    </row>
    <row r="803" spans="1:3" hidden="1">
      <c r="A803" s="3">
        <v>2</v>
      </c>
      <c r="B803" s="3">
        <v>0</v>
      </c>
      <c r="C803" s="3">
        <v>89.4</v>
      </c>
    </row>
    <row r="804" spans="1:3" hidden="1">
      <c r="A804" s="3">
        <v>2</v>
      </c>
      <c r="B804" s="3">
        <v>0</v>
      </c>
      <c r="C804" s="3">
        <v>89.4</v>
      </c>
    </row>
    <row r="805" spans="1:3" hidden="1">
      <c r="A805" s="3">
        <v>2</v>
      </c>
      <c r="B805" s="3">
        <v>0</v>
      </c>
      <c r="C805" s="3">
        <v>89.4</v>
      </c>
    </row>
    <row r="806" spans="1:3" hidden="1">
      <c r="A806" s="3">
        <v>1</v>
      </c>
      <c r="B806" s="3">
        <v>0</v>
      </c>
      <c r="C806" s="3">
        <v>89.5</v>
      </c>
    </row>
    <row r="807" spans="1:3">
      <c r="A807" s="3">
        <v>3</v>
      </c>
      <c r="B807" s="3">
        <v>0</v>
      </c>
      <c r="C807" s="3">
        <v>89.5</v>
      </c>
    </row>
    <row r="808" spans="1:3" hidden="1">
      <c r="A808" s="3">
        <v>1</v>
      </c>
      <c r="B808" s="3">
        <v>0</v>
      </c>
      <c r="C808" s="3">
        <v>89.6</v>
      </c>
    </row>
    <row r="809" spans="1:3" hidden="1">
      <c r="A809" s="3">
        <v>2</v>
      </c>
      <c r="B809" s="3">
        <v>0</v>
      </c>
      <c r="C809" s="3">
        <v>89.6</v>
      </c>
    </row>
    <row r="810" spans="1:3">
      <c r="A810" s="3">
        <v>3</v>
      </c>
      <c r="B810" s="3">
        <v>0</v>
      </c>
      <c r="C810" s="3">
        <v>89.6</v>
      </c>
    </row>
    <row r="811" spans="1:3" hidden="1">
      <c r="A811" s="3">
        <v>1</v>
      </c>
      <c r="B811" s="3">
        <v>0</v>
      </c>
      <c r="C811" s="3">
        <v>89.6</v>
      </c>
    </row>
    <row r="812" spans="1:3">
      <c r="A812" s="3">
        <v>3</v>
      </c>
      <c r="B812" s="3">
        <v>0</v>
      </c>
      <c r="C812" s="3">
        <v>89.8</v>
      </c>
    </row>
    <row r="813" spans="1:3" hidden="1">
      <c r="A813" s="3">
        <v>2</v>
      </c>
      <c r="B813" s="3">
        <v>0</v>
      </c>
      <c r="C813" s="3">
        <v>89.8</v>
      </c>
    </row>
    <row r="814" spans="1:3" hidden="1">
      <c r="A814" s="3">
        <v>2</v>
      </c>
      <c r="B814" s="3">
        <v>0</v>
      </c>
      <c r="C814" s="3">
        <v>89.8</v>
      </c>
    </row>
    <row r="815" spans="1:3">
      <c r="A815" s="3">
        <v>3</v>
      </c>
      <c r="B815" s="3">
        <v>0</v>
      </c>
      <c r="C815" s="3">
        <v>89.9</v>
      </c>
    </row>
    <row r="816" spans="1:3" hidden="1">
      <c r="A816" s="3">
        <v>2</v>
      </c>
      <c r="B816" s="3">
        <v>0</v>
      </c>
      <c r="C816" s="3">
        <v>89.9</v>
      </c>
    </row>
    <row r="817" spans="1:3" hidden="1">
      <c r="A817" s="3">
        <v>1</v>
      </c>
      <c r="B817" s="3">
        <v>0</v>
      </c>
      <c r="C817" s="3">
        <v>89.9</v>
      </c>
    </row>
    <row r="818" spans="1:3" hidden="1">
      <c r="A818" s="3">
        <v>2</v>
      </c>
      <c r="B818" s="3">
        <v>0</v>
      </c>
      <c r="C818" s="3">
        <v>90</v>
      </c>
    </row>
    <row r="819" spans="1:3" hidden="1">
      <c r="A819" s="3">
        <v>2</v>
      </c>
      <c r="B819" s="3">
        <v>0</v>
      </c>
      <c r="C819" s="3">
        <v>90.1</v>
      </c>
    </row>
    <row r="820" spans="1:3" hidden="1">
      <c r="A820" s="3">
        <v>1</v>
      </c>
      <c r="B820" s="3">
        <v>0</v>
      </c>
      <c r="C820" s="3">
        <v>90.1</v>
      </c>
    </row>
    <row r="821" spans="1:3" hidden="1">
      <c r="A821" s="3">
        <v>1</v>
      </c>
      <c r="B821" s="3">
        <v>0</v>
      </c>
      <c r="C821" s="3">
        <v>90.2</v>
      </c>
    </row>
    <row r="822" spans="1:3" hidden="1">
      <c r="A822" s="3">
        <v>1</v>
      </c>
      <c r="B822" s="3">
        <v>0</v>
      </c>
      <c r="C822" s="3">
        <v>90.2</v>
      </c>
    </row>
    <row r="823" spans="1:3" hidden="1">
      <c r="A823" s="3">
        <v>1</v>
      </c>
      <c r="B823" s="3">
        <v>0</v>
      </c>
      <c r="C823" s="3">
        <v>90.2</v>
      </c>
    </row>
    <row r="824" spans="1:3">
      <c r="A824" s="3">
        <v>3</v>
      </c>
      <c r="B824" s="3">
        <v>0</v>
      </c>
      <c r="C824" s="3">
        <v>90.3</v>
      </c>
    </row>
    <row r="825" spans="1:3" hidden="1">
      <c r="A825" s="3">
        <v>1</v>
      </c>
      <c r="B825" s="3">
        <v>0</v>
      </c>
      <c r="C825" s="3">
        <v>90.3</v>
      </c>
    </row>
    <row r="826" spans="1:3" hidden="1">
      <c r="A826" s="3">
        <v>2</v>
      </c>
      <c r="B826" s="3">
        <v>0</v>
      </c>
      <c r="C826" s="3">
        <v>90.4</v>
      </c>
    </row>
    <row r="827" spans="1:3">
      <c r="A827" s="3">
        <v>3</v>
      </c>
      <c r="B827" s="3">
        <v>1</v>
      </c>
      <c r="C827" s="3">
        <v>90.4</v>
      </c>
    </row>
    <row r="828" spans="1:3" hidden="1">
      <c r="A828" s="3">
        <v>1</v>
      </c>
      <c r="B828" s="3">
        <v>0</v>
      </c>
      <c r="C828" s="3">
        <v>90.5</v>
      </c>
    </row>
    <row r="829" spans="1:3">
      <c r="A829" s="3">
        <v>3</v>
      </c>
      <c r="B829" s="3">
        <v>0</v>
      </c>
      <c r="C829" s="3">
        <v>90.6</v>
      </c>
    </row>
    <row r="830" spans="1:3" hidden="1">
      <c r="A830" s="3">
        <v>1</v>
      </c>
      <c r="B830" s="3">
        <v>0</v>
      </c>
      <c r="C830" s="3">
        <v>90.7</v>
      </c>
    </row>
    <row r="831" spans="1:3">
      <c r="A831" s="3">
        <v>3</v>
      </c>
      <c r="B831" s="3">
        <v>0</v>
      </c>
      <c r="C831" s="3">
        <v>90.9</v>
      </c>
    </row>
    <row r="832" spans="1:3">
      <c r="A832" s="3">
        <v>3</v>
      </c>
      <c r="B832" s="3">
        <v>0</v>
      </c>
      <c r="C832" s="3">
        <v>90.9</v>
      </c>
    </row>
    <row r="833" spans="1:3" hidden="1">
      <c r="A833" s="3">
        <v>1</v>
      </c>
      <c r="B833" s="3">
        <v>0</v>
      </c>
      <c r="C833" s="3">
        <v>91</v>
      </c>
    </row>
    <row r="834" spans="1:3">
      <c r="A834" s="3">
        <v>3</v>
      </c>
      <c r="B834" s="3">
        <v>0</v>
      </c>
      <c r="C834" s="3">
        <v>91</v>
      </c>
    </row>
    <row r="835" spans="1:3" hidden="1">
      <c r="A835" s="3">
        <v>1</v>
      </c>
      <c r="B835" s="3">
        <v>0</v>
      </c>
      <c r="C835" s="3">
        <v>91</v>
      </c>
    </row>
    <row r="836" spans="1:3" hidden="1">
      <c r="A836" s="3">
        <v>2</v>
      </c>
      <c r="B836" s="3">
        <v>0</v>
      </c>
      <c r="C836" s="3">
        <v>91.1</v>
      </c>
    </row>
    <row r="837" spans="1:3" hidden="1">
      <c r="A837" s="3">
        <v>1</v>
      </c>
      <c r="B837" s="3">
        <v>0</v>
      </c>
      <c r="C837" s="3">
        <v>91.2</v>
      </c>
    </row>
    <row r="838" spans="1:3" hidden="1">
      <c r="A838" s="3">
        <v>2</v>
      </c>
      <c r="B838" s="3">
        <v>0</v>
      </c>
      <c r="C838" s="3">
        <v>91.2</v>
      </c>
    </row>
    <row r="839" spans="1:3">
      <c r="A839" s="3">
        <v>3</v>
      </c>
      <c r="B839" s="3">
        <v>0</v>
      </c>
      <c r="C839" s="3">
        <v>91.2</v>
      </c>
    </row>
    <row r="840" spans="1:3">
      <c r="A840" s="3">
        <v>3</v>
      </c>
      <c r="B840" s="3">
        <v>0</v>
      </c>
      <c r="C840" s="3">
        <v>91.2</v>
      </c>
    </row>
    <row r="841" spans="1:3" hidden="1">
      <c r="A841" s="3">
        <v>2</v>
      </c>
      <c r="B841" s="3">
        <v>0</v>
      </c>
      <c r="C841" s="3">
        <v>91.2</v>
      </c>
    </row>
    <row r="842" spans="1:3">
      <c r="A842" s="3">
        <v>3</v>
      </c>
      <c r="B842" s="3">
        <v>0</v>
      </c>
      <c r="C842" s="3">
        <v>91.2</v>
      </c>
    </row>
    <row r="843" spans="1:3" hidden="1">
      <c r="A843" s="3">
        <v>1</v>
      </c>
      <c r="B843" s="3">
        <v>0</v>
      </c>
      <c r="C843" s="3">
        <v>91.3</v>
      </c>
    </row>
    <row r="844" spans="1:3" hidden="1">
      <c r="A844" s="3">
        <v>1</v>
      </c>
      <c r="B844" s="3">
        <v>0</v>
      </c>
      <c r="C844" s="3">
        <v>91.4</v>
      </c>
    </row>
    <row r="845" spans="1:3" hidden="1">
      <c r="A845" s="3">
        <v>2</v>
      </c>
      <c r="B845" s="3">
        <v>0</v>
      </c>
      <c r="C845" s="3">
        <v>91.5</v>
      </c>
    </row>
    <row r="846" spans="1:3" hidden="1">
      <c r="A846" s="3">
        <v>1</v>
      </c>
      <c r="B846" s="3">
        <v>0</v>
      </c>
      <c r="C846" s="3">
        <v>91.5</v>
      </c>
    </row>
    <row r="847" spans="1:3" hidden="1">
      <c r="A847" s="3">
        <v>2</v>
      </c>
      <c r="B847" s="3">
        <v>0</v>
      </c>
      <c r="C847" s="3">
        <v>91.6</v>
      </c>
    </row>
    <row r="848" spans="1:3" hidden="1">
      <c r="A848" s="3">
        <v>2</v>
      </c>
      <c r="B848" s="3">
        <v>0</v>
      </c>
      <c r="C848" s="3">
        <v>91.6</v>
      </c>
    </row>
    <row r="849" spans="1:3">
      <c r="A849" s="3">
        <v>3</v>
      </c>
      <c r="B849" s="3">
        <v>0</v>
      </c>
      <c r="C849" s="3">
        <v>91.6</v>
      </c>
    </row>
    <row r="850" spans="1:3">
      <c r="A850" s="3">
        <v>3</v>
      </c>
      <c r="B850" s="3">
        <v>0</v>
      </c>
      <c r="C850" s="3">
        <v>91.6</v>
      </c>
    </row>
    <row r="851" spans="1:3" hidden="1">
      <c r="A851" s="3">
        <v>1</v>
      </c>
      <c r="B851" s="3">
        <v>0</v>
      </c>
      <c r="C851" s="3">
        <v>91.7</v>
      </c>
    </row>
    <row r="852" spans="1:3">
      <c r="A852" s="3">
        <v>3</v>
      </c>
      <c r="B852" s="3">
        <v>0</v>
      </c>
      <c r="C852" s="3">
        <v>91.7</v>
      </c>
    </row>
    <row r="853" spans="1:3">
      <c r="A853" s="3">
        <v>3</v>
      </c>
      <c r="B853" s="3">
        <v>0</v>
      </c>
      <c r="C853" s="3">
        <v>91.7</v>
      </c>
    </row>
    <row r="854" spans="1:3">
      <c r="A854" s="3">
        <v>3</v>
      </c>
      <c r="B854" s="3">
        <v>0</v>
      </c>
      <c r="C854" s="3">
        <v>91.8</v>
      </c>
    </row>
    <row r="855" spans="1:3">
      <c r="A855" s="3">
        <v>3</v>
      </c>
      <c r="B855" s="3">
        <v>0</v>
      </c>
      <c r="C855" s="3">
        <v>91.8</v>
      </c>
    </row>
    <row r="856" spans="1:3" hidden="1">
      <c r="A856" s="3">
        <v>2</v>
      </c>
      <c r="B856" s="3">
        <v>0</v>
      </c>
      <c r="C856" s="3">
        <v>91.9</v>
      </c>
    </row>
    <row r="857" spans="1:3">
      <c r="A857" s="3">
        <v>3</v>
      </c>
      <c r="B857" s="3">
        <v>0</v>
      </c>
      <c r="C857" s="3">
        <v>91.9</v>
      </c>
    </row>
    <row r="858" spans="1:3" hidden="1">
      <c r="A858" s="3">
        <v>2</v>
      </c>
      <c r="B858" s="3">
        <v>0</v>
      </c>
      <c r="C858" s="3">
        <v>91.9</v>
      </c>
    </row>
    <row r="859" spans="1:3">
      <c r="A859" s="3">
        <v>3</v>
      </c>
      <c r="B859" s="3">
        <v>0</v>
      </c>
      <c r="C859" s="3">
        <v>91.9</v>
      </c>
    </row>
    <row r="860" spans="1:3" hidden="1">
      <c r="A860" s="3">
        <v>2</v>
      </c>
      <c r="B860" s="3">
        <v>0</v>
      </c>
      <c r="C860" s="3">
        <v>92</v>
      </c>
    </row>
    <row r="861" spans="1:3" hidden="1">
      <c r="A861" s="3">
        <v>1</v>
      </c>
      <c r="B861" s="3">
        <v>0</v>
      </c>
      <c r="C861" s="3">
        <v>92</v>
      </c>
    </row>
    <row r="862" spans="1:3" hidden="1">
      <c r="A862" s="3">
        <v>2</v>
      </c>
      <c r="B862" s="3">
        <v>0</v>
      </c>
      <c r="C862" s="3">
        <v>92.1</v>
      </c>
    </row>
    <row r="863" spans="1:3" hidden="1">
      <c r="A863" s="3">
        <v>2</v>
      </c>
      <c r="B863" s="3">
        <v>1</v>
      </c>
      <c r="C863" s="3">
        <v>92.1</v>
      </c>
    </row>
    <row r="864" spans="1:3" hidden="1">
      <c r="A864" s="3">
        <v>2</v>
      </c>
      <c r="B864" s="3">
        <v>0</v>
      </c>
      <c r="C864" s="3">
        <v>92.1</v>
      </c>
    </row>
    <row r="865" spans="1:3" hidden="1">
      <c r="A865" s="3">
        <v>1</v>
      </c>
      <c r="B865" s="3">
        <v>0</v>
      </c>
      <c r="C865" s="3">
        <v>92.1</v>
      </c>
    </row>
    <row r="866" spans="1:3">
      <c r="A866" s="3">
        <v>3</v>
      </c>
      <c r="B866" s="3">
        <v>0</v>
      </c>
      <c r="C866" s="3">
        <v>92.2</v>
      </c>
    </row>
    <row r="867" spans="1:3" hidden="1">
      <c r="A867" s="3">
        <v>2</v>
      </c>
      <c r="B867" s="3">
        <v>0</v>
      </c>
      <c r="C867" s="3">
        <v>92.2</v>
      </c>
    </row>
    <row r="868" spans="1:3">
      <c r="A868" s="3">
        <v>3</v>
      </c>
      <c r="B868" s="3">
        <v>0</v>
      </c>
      <c r="C868" s="3">
        <v>92.2</v>
      </c>
    </row>
    <row r="869" spans="1:3">
      <c r="A869" s="3">
        <v>3</v>
      </c>
      <c r="B869" s="3">
        <v>0</v>
      </c>
      <c r="C869" s="3">
        <v>92.3</v>
      </c>
    </row>
    <row r="870" spans="1:3" hidden="1">
      <c r="A870" s="3">
        <v>2</v>
      </c>
      <c r="B870" s="3">
        <v>0</v>
      </c>
      <c r="C870" s="3">
        <v>92.3</v>
      </c>
    </row>
    <row r="871" spans="1:3">
      <c r="A871" s="3">
        <v>3</v>
      </c>
      <c r="B871" s="3">
        <v>0</v>
      </c>
      <c r="C871" s="3">
        <v>92.3</v>
      </c>
    </row>
    <row r="872" spans="1:3" hidden="1">
      <c r="A872" s="3">
        <v>1</v>
      </c>
      <c r="B872" s="3">
        <v>0</v>
      </c>
      <c r="C872" s="3">
        <v>92.3</v>
      </c>
    </row>
    <row r="873" spans="1:3">
      <c r="A873" s="3">
        <v>3</v>
      </c>
      <c r="B873" s="3">
        <v>0</v>
      </c>
      <c r="C873" s="3">
        <v>92.4</v>
      </c>
    </row>
    <row r="874" spans="1:3">
      <c r="A874" s="3">
        <v>3</v>
      </c>
      <c r="B874" s="3">
        <v>0</v>
      </c>
      <c r="C874" s="3">
        <v>92.4</v>
      </c>
    </row>
    <row r="875" spans="1:3">
      <c r="A875" s="3">
        <v>3</v>
      </c>
      <c r="B875" s="3">
        <v>0</v>
      </c>
      <c r="C875" s="3">
        <v>92.4</v>
      </c>
    </row>
    <row r="876" spans="1:3" hidden="1">
      <c r="A876" s="3">
        <v>1</v>
      </c>
      <c r="B876" s="3">
        <v>0</v>
      </c>
      <c r="C876" s="3">
        <v>92.4</v>
      </c>
    </row>
    <row r="877" spans="1:3" hidden="1">
      <c r="A877" s="3">
        <v>1</v>
      </c>
      <c r="B877" s="3">
        <v>0</v>
      </c>
      <c r="C877" s="3">
        <v>92.4</v>
      </c>
    </row>
    <row r="878" spans="1:3" hidden="1">
      <c r="A878" s="3">
        <v>2</v>
      </c>
      <c r="B878" s="3">
        <v>1</v>
      </c>
      <c r="C878" s="3">
        <v>92.5</v>
      </c>
    </row>
    <row r="879" spans="1:3">
      <c r="A879" s="3">
        <v>3</v>
      </c>
      <c r="B879" s="3">
        <v>0</v>
      </c>
      <c r="C879" s="3">
        <v>92.5</v>
      </c>
    </row>
    <row r="880" spans="1:3" hidden="1">
      <c r="A880" s="3">
        <v>2</v>
      </c>
      <c r="B880" s="3">
        <v>0</v>
      </c>
      <c r="C880" s="3">
        <v>92.5</v>
      </c>
    </row>
    <row r="881" spans="1:3" hidden="1">
      <c r="A881" s="3">
        <v>1</v>
      </c>
      <c r="B881" s="3">
        <v>0</v>
      </c>
      <c r="C881" s="3">
        <v>92.5</v>
      </c>
    </row>
    <row r="882" spans="1:3">
      <c r="A882" s="3">
        <v>3</v>
      </c>
      <c r="B882" s="3">
        <v>0</v>
      </c>
      <c r="C882" s="3">
        <v>92.6</v>
      </c>
    </row>
    <row r="883" spans="1:3" hidden="1">
      <c r="A883" s="3">
        <v>2</v>
      </c>
      <c r="B883" s="3">
        <v>0</v>
      </c>
      <c r="C883" s="3">
        <v>92.6</v>
      </c>
    </row>
    <row r="884" spans="1:3">
      <c r="A884" s="3">
        <v>3</v>
      </c>
      <c r="B884" s="3">
        <v>0</v>
      </c>
      <c r="C884" s="3">
        <v>92.6</v>
      </c>
    </row>
    <row r="885" spans="1:3">
      <c r="A885" s="3">
        <v>3</v>
      </c>
      <c r="B885" s="3">
        <v>0</v>
      </c>
      <c r="C885" s="3">
        <v>92.6</v>
      </c>
    </row>
    <row r="886" spans="1:3" hidden="1">
      <c r="A886" s="3">
        <v>1</v>
      </c>
      <c r="B886" s="3">
        <v>0</v>
      </c>
      <c r="C886" s="3">
        <v>92.6</v>
      </c>
    </row>
    <row r="887" spans="1:3" hidden="1">
      <c r="A887" s="3">
        <v>1</v>
      </c>
      <c r="B887" s="3">
        <v>0</v>
      </c>
      <c r="C887" s="3">
        <v>92.7</v>
      </c>
    </row>
    <row r="888" spans="1:3" hidden="1">
      <c r="A888" s="3">
        <v>2</v>
      </c>
      <c r="B888" s="3">
        <v>1</v>
      </c>
      <c r="C888" s="3">
        <v>92.7</v>
      </c>
    </row>
    <row r="889" spans="1:3">
      <c r="A889" s="3">
        <v>3</v>
      </c>
      <c r="B889" s="3">
        <v>0</v>
      </c>
      <c r="C889" s="3">
        <v>92.7</v>
      </c>
    </row>
    <row r="890" spans="1:3" hidden="1">
      <c r="A890" s="3">
        <v>1</v>
      </c>
      <c r="B890" s="3">
        <v>0</v>
      </c>
      <c r="C890" s="3">
        <v>92.7</v>
      </c>
    </row>
    <row r="891" spans="1:3" hidden="1">
      <c r="A891" s="3">
        <v>2</v>
      </c>
      <c r="B891" s="3">
        <v>0</v>
      </c>
      <c r="C891" s="3">
        <v>92.7</v>
      </c>
    </row>
    <row r="892" spans="1:3" hidden="1">
      <c r="A892" s="3">
        <v>2</v>
      </c>
      <c r="B892" s="3">
        <v>0</v>
      </c>
      <c r="C892" s="3">
        <v>92.9</v>
      </c>
    </row>
    <row r="893" spans="1:3" hidden="1">
      <c r="A893" s="3">
        <v>1</v>
      </c>
      <c r="B893" s="3">
        <v>0</v>
      </c>
      <c r="C893" s="3">
        <v>93</v>
      </c>
    </row>
    <row r="894" spans="1:3">
      <c r="A894" s="3">
        <v>3</v>
      </c>
      <c r="B894" s="3">
        <v>0</v>
      </c>
      <c r="C894" s="3">
        <v>93</v>
      </c>
    </row>
    <row r="895" spans="1:3" hidden="1">
      <c r="A895" s="3">
        <v>1</v>
      </c>
      <c r="B895" s="3">
        <v>0</v>
      </c>
      <c r="C895" s="3">
        <v>93</v>
      </c>
    </row>
    <row r="896" spans="1:3" hidden="1">
      <c r="A896" s="3">
        <v>1</v>
      </c>
      <c r="B896" s="3">
        <v>0</v>
      </c>
      <c r="C896" s="3">
        <v>93.1</v>
      </c>
    </row>
    <row r="897" spans="1:3">
      <c r="A897" s="3">
        <v>3</v>
      </c>
      <c r="B897" s="3">
        <v>0</v>
      </c>
      <c r="C897" s="3">
        <v>93.1</v>
      </c>
    </row>
    <row r="898" spans="1:3" hidden="1">
      <c r="A898" s="3">
        <v>1</v>
      </c>
      <c r="B898" s="3">
        <v>0</v>
      </c>
      <c r="C898" s="3">
        <v>93.1</v>
      </c>
    </row>
    <row r="899" spans="1:3" hidden="1">
      <c r="A899" s="3">
        <v>1</v>
      </c>
      <c r="B899" s="3">
        <v>0</v>
      </c>
      <c r="C899" s="3">
        <v>93.2</v>
      </c>
    </row>
    <row r="900" spans="1:3" hidden="1">
      <c r="A900" s="3">
        <v>1</v>
      </c>
      <c r="B900" s="3">
        <v>0</v>
      </c>
      <c r="C900" s="3">
        <v>93.3</v>
      </c>
    </row>
    <row r="901" spans="1:3">
      <c r="A901" s="3">
        <v>3</v>
      </c>
      <c r="B901" s="3">
        <v>0</v>
      </c>
      <c r="C901" s="3">
        <v>93.3</v>
      </c>
    </row>
    <row r="902" spans="1:3">
      <c r="A902" s="3">
        <v>3</v>
      </c>
      <c r="B902" s="3">
        <v>0</v>
      </c>
      <c r="C902" s="3">
        <v>93.3</v>
      </c>
    </row>
    <row r="903" spans="1:3">
      <c r="A903" s="3">
        <v>3</v>
      </c>
      <c r="B903" s="3">
        <v>0</v>
      </c>
      <c r="C903" s="3">
        <v>93.3</v>
      </c>
    </row>
    <row r="904" spans="1:3" hidden="1">
      <c r="A904" s="3">
        <v>2</v>
      </c>
      <c r="B904" s="3">
        <v>0</v>
      </c>
      <c r="C904" s="3">
        <v>93.3</v>
      </c>
    </row>
    <row r="905" spans="1:3" hidden="1">
      <c r="A905" s="3">
        <v>1</v>
      </c>
      <c r="B905" s="3">
        <v>0</v>
      </c>
      <c r="C905" s="3">
        <v>93.4</v>
      </c>
    </row>
    <row r="906" spans="1:3">
      <c r="A906" s="3">
        <v>3</v>
      </c>
      <c r="B906" s="3">
        <v>0</v>
      </c>
      <c r="C906" s="3">
        <v>93.4</v>
      </c>
    </row>
    <row r="907" spans="1:3">
      <c r="A907" s="3">
        <v>3</v>
      </c>
      <c r="B907" s="3">
        <v>0</v>
      </c>
      <c r="C907" s="3">
        <v>93.4</v>
      </c>
    </row>
    <row r="908" spans="1:3" hidden="1">
      <c r="A908" s="3">
        <v>1</v>
      </c>
      <c r="B908" s="3">
        <v>0</v>
      </c>
      <c r="C908" s="3">
        <v>93.4</v>
      </c>
    </row>
    <row r="909" spans="1:3" hidden="1">
      <c r="A909" s="3">
        <v>2</v>
      </c>
      <c r="B909" s="3">
        <v>0</v>
      </c>
      <c r="C909" s="3">
        <v>93.5</v>
      </c>
    </row>
    <row r="910" spans="1:3" hidden="1">
      <c r="A910" s="3">
        <v>1</v>
      </c>
      <c r="B910" s="3">
        <v>0</v>
      </c>
      <c r="C910" s="3">
        <v>93.5</v>
      </c>
    </row>
    <row r="911" spans="1:3">
      <c r="A911" s="3">
        <v>3</v>
      </c>
      <c r="B911" s="3">
        <v>0</v>
      </c>
      <c r="C911" s="3">
        <v>93.6</v>
      </c>
    </row>
    <row r="912" spans="1:3" hidden="1">
      <c r="A912" s="3">
        <v>2</v>
      </c>
      <c r="B912" s="3">
        <v>1</v>
      </c>
      <c r="C912" s="3">
        <v>93.6</v>
      </c>
    </row>
    <row r="913" spans="1:3">
      <c r="A913" s="3">
        <v>3</v>
      </c>
      <c r="B913" s="3">
        <v>0</v>
      </c>
      <c r="C913" s="3">
        <v>93.6</v>
      </c>
    </row>
    <row r="914" spans="1:3" hidden="1">
      <c r="A914" s="3">
        <v>2</v>
      </c>
      <c r="B914" s="3">
        <v>0</v>
      </c>
      <c r="C914" s="3">
        <v>93.7</v>
      </c>
    </row>
    <row r="915" spans="1:3">
      <c r="A915" s="3">
        <v>3</v>
      </c>
      <c r="B915" s="3">
        <v>0</v>
      </c>
      <c r="C915" s="3">
        <v>93.8</v>
      </c>
    </row>
    <row r="916" spans="1:3" hidden="1">
      <c r="A916" s="3">
        <v>1</v>
      </c>
      <c r="B916" s="3">
        <v>0</v>
      </c>
      <c r="C916" s="3">
        <v>93.8</v>
      </c>
    </row>
    <row r="917" spans="1:3" hidden="1">
      <c r="A917" s="3">
        <v>1</v>
      </c>
      <c r="B917" s="3">
        <v>0</v>
      </c>
      <c r="C917" s="3">
        <v>93.8</v>
      </c>
    </row>
    <row r="918" spans="1:3" hidden="1">
      <c r="A918" s="3">
        <v>1</v>
      </c>
      <c r="B918" s="3">
        <v>0</v>
      </c>
      <c r="C918" s="3">
        <v>93.9</v>
      </c>
    </row>
    <row r="919" spans="1:3">
      <c r="A919" s="3">
        <v>3</v>
      </c>
      <c r="B919" s="3">
        <v>0</v>
      </c>
      <c r="C919" s="3">
        <v>93.9</v>
      </c>
    </row>
    <row r="920" spans="1:3">
      <c r="A920" s="3">
        <v>3</v>
      </c>
      <c r="B920" s="3">
        <v>0</v>
      </c>
      <c r="C920" s="3">
        <v>94</v>
      </c>
    </row>
    <row r="921" spans="1:3">
      <c r="A921" s="3">
        <v>3</v>
      </c>
      <c r="B921" s="3">
        <v>0</v>
      </c>
      <c r="C921" s="3">
        <v>94</v>
      </c>
    </row>
    <row r="922" spans="1:3" hidden="1">
      <c r="A922" s="3">
        <v>1</v>
      </c>
      <c r="B922" s="3">
        <v>1</v>
      </c>
      <c r="C922" s="3">
        <v>94</v>
      </c>
    </row>
    <row r="923" spans="1:3" hidden="1">
      <c r="A923" s="3">
        <v>2</v>
      </c>
      <c r="B923" s="3">
        <v>0</v>
      </c>
      <c r="C923" s="3">
        <v>94.1</v>
      </c>
    </row>
    <row r="924" spans="1:3">
      <c r="A924" s="3">
        <v>3</v>
      </c>
      <c r="B924" s="3">
        <v>0</v>
      </c>
      <c r="C924" s="3">
        <v>94.2</v>
      </c>
    </row>
    <row r="925" spans="1:3" hidden="1">
      <c r="A925" s="3">
        <v>1</v>
      </c>
      <c r="B925" s="3">
        <v>0</v>
      </c>
      <c r="C925" s="3">
        <v>94.3</v>
      </c>
    </row>
    <row r="926" spans="1:3" hidden="1">
      <c r="A926" s="3">
        <v>1</v>
      </c>
      <c r="B926" s="3">
        <v>0</v>
      </c>
      <c r="C926" s="3">
        <v>94.3</v>
      </c>
    </row>
    <row r="927" spans="1:3" hidden="1">
      <c r="A927" s="3">
        <v>2</v>
      </c>
      <c r="B927" s="3">
        <v>0</v>
      </c>
      <c r="C927" s="3">
        <v>94.4</v>
      </c>
    </row>
    <row r="928" spans="1:3" hidden="1">
      <c r="A928" s="3">
        <v>2</v>
      </c>
      <c r="B928" s="3">
        <v>0</v>
      </c>
      <c r="C928" s="3">
        <v>94.4</v>
      </c>
    </row>
    <row r="929" spans="1:3" hidden="1">
      <c r="A929" s="3">
        <v>1</v>
      </c>
      <c r="B929" s="3">
        <v>0</v>
      </c>
      <c r="C929" s="3">
        <v>94.4</v>
      </c>
    </row>
    <row r="930" spans="1:3">
      <c r="A930" s="3">
        <v>3</v>
      </c>
      <c r="B930" s="3">
        <v>0</v>
      </c>
      <c r="C930" s="3">
        <v>94.4</v>
      </c>
    </row>
    <row r="931" spans="1:3">
      <c r="A931" s="3">
        <v>3</v>
      </c>
      <c r="B931" s="3">
        <v>0</v>
      </c>
      <c r="C931" s="3">
        <v>94.5</v>
      </c>
    </row>
    <row r="932" spans="1:3" hidden="1">
      <c r="A932" s="3">
        <v>1</v>
      </c>
      <c r="B932" s="3">
        <v>0</v>
      </c>
      <c r="C932" s="3">
        <v>94.5</v>
      </c>
    </row>
    <row r="933" spans="1:3" hidden="1">
      <c r="A933" s="3">
        <v>1</v>
      </c>
      <c r="B933" s="3">
        <v>0</v>
      </c>
      <c r="C933" s="3">
        <v>94.5</v>
      </c>
    </row>
    <row r="934" spans="1:3" hidden="1">
      <c r="A934" s="3">
        <v>2</v>
      </c>
      <c r="B934" s="3">
        <v>0</v>
      </c>
      <c r="C934" s="3">
        <v>94.5</v>
      </c>
    </row>
    <row r="935" spans="1:3" hidden="1">
      <c r="A935" s="3">
        <v>1</v>
      </c>
      <c r="B935" s="3">
        <v>0</v>
      </c>
      <c r="C935" s="3">
        <v>94.6</v>
      </c>
    </row>
    <row r="936" spans="1:3">
      <c r="A936" s="3">
        <v>3</v>
      </c>
      <c r="B936" s="3">
        <v>0</v>
      </c>
      <c r="C936" s="3">
        <v>94.6</v>
      </c>
    </row>
    <row r="937" spans="1:3">
      <c r="A937" s="3">
        <v>3</v>
      </c>
      <c r="B937" s="3">
        <v>0</v>
      </c>
      <c r="C937" s="3">
        <v>94.6</v>
      </c>
    </row>
    <row r="938" spans="1:3" hidden="1">
      <c r="A938" s="3">
        <v>2</v>
      </c>
      <c r="B938" s="3">
        <v>0</v>
      </c>
      <c r="C938" s="3">
        <v>94.6</v>
      </c>
    </row>
    <row r="939" spans="1:3" hidden="1">
      <c r="A939" s="3">
        <v>2</v>
      </c>
      <c r="B939" s="3">
        <v>0</v>
      </c>
      <c r="C939" s="3">
        <v>94.7</v>
      </c>
    </row>
    <row r="940" spans="1:3">
      <c r="A940" s="3">
        <v>3</v>
      </c>
      <c r="B940" s="3">
        <v>0</v>
      </c>
      <c r="C940" s="3">
        <v>94.7</v>
      </c>
    </row>
    <row r="941" spans="1:3">
      <c r="A941" s="3">
        <v>3</v>
      </c>
      <c r="B941" s="3">
        <v>0</v>
      </c>
      <c r="C941" s="3">
        <v>94.8</v>
      </c>
    </row>
    <row r="942" spans="1:3">
      <c r="A942" s="3">
        <v>3</v>
      </c>
      <c r="B942" s="3">
        <v>0</v>
      </c>
      <c r="C942" s="3">
        <v>94.8</v>
      </c>
    </row>
    <row r="943" spans="1:3">
      <c r="A943" s="3">
        <v>3</v>
      </c>
      <c r="B943" s="3">
        <v>0</v>
      </c>
      <c r="C943" s="3">
        <v>94.8</v>
      </c>
    </row>
    <row r="944" spans="1:3">
      <c r="A944" s="3">
        <v>3</v>
      </c>
      <c r="B944" s="3">
        <v>0</v>
      </c>
      <c r="C944" s="3">
        <v>94.9</v>
      </c>
    </row>
    <row r="945" spans="1:3" hidden="1">
      <c r="A945" s="3">
        <v>1</v>
      </c>
      <c r="B945" s="3">
        <v>0</v>
      </c>
      <c r="C945" s="3">
        <v>95</v>
      </c>
    </row>
    <row r="946" spans="1:3" hidden="1">
      <c r="A946" s="3">
        <v>1</v>
      </c>
      <c r="B946" s="3">
        <v>0</v>
      </c>
      <c r="C946" s="3">
        <v>95</v>
      </c>
    </row>
    <row r="947" spans="1:3" hidden="1">
      <c r="A947" s="3">
        <v>2</v>
      </c>
      <c r="B947" s="3">
        <v>0</v>
      </c>
      <c r="C947" s="3">
        <v>95</v>
      </c>
    </row>
    <row r="948" spans="1:3" hidden="1">
      <c r="A948" s="3">
        <v>1</v>
      </c>
      <c r="B948" s="3">
        <v>0</v>
      </c>
      <c r="C948" s="3">
        <v>95</v>
      </c>
    </row>
    <row r="949" spans="1:3" hidden="1">
      <c r="A949" s="3">
        <v>1</v>
      </c>
      <c r="B949" s="3">
        <v>0</v>
      </c>
      <c r="C949" s="3">
        <v>95.1</v>
      </c>
    </row>
    <row r="950" spans="1:3" hidden="1">
      <c r="A950" s="3">
        <v>1</v>
      </c>
      <c r="B950" s="3">
        <v>0</v>
      </c>
      <c r="C950" s="3">
        <v>95.1</v>
      </c>
    </row>
    <row r="951" spans="1:3">
      <c r="A951" s="3">
        <v>3</v>
      </c>
      <c r="B951" s="3">
        <v>0</v>
      </c>
      <c r="C951" s="3">
        <v>95.1</v>
      </c>
    </row>
    <row r="952" spans="1:3" hidden="1">
      <c r="A952" s="3">
        <v>1</v>
      </c>
      <c r="B952" s="3">
        <v>0</v>
      </c>
      <c r="C952" s="3">
        <v>95.2</v>
      </c>
    </row>
    <row r="953" spans="1:3" hidden="1">
      <c r="A953" s="3">
        <v>1</v>
      </c>
      <c r="B953" s="3">
        <v>0</v>
      </c>
      <c r="C953" s="3">
        <v>95.2</v>
      </c>
    </row>
    <row r="954" spans="1:3" hidden="1">
      <c r="A954" s="3">
        <v>2</v>
      </c>
      <c r="B954" s="3">
        <v>0</v>
      </c>
      <c r="C954" s="3">
        <v>95.2</v>
      </c>
    </row>
    <row r="955" spans="1:3" hidden="1">
      <c r="A955" s="3">
        <v>2</v>
      </c>
      <c r="B955" s="3">
        <v>0</v>
      </c>
      <c r="C955" s="3">
        <v>95.2</v>
      </c>
    </row>
    <row r="956" spans="1:3" hidden="1">
      <c r="A956" s="3">
        <v>1</v>
      </c>
      <c r="B956" s="3">
        <v>0</v>
      </c>
      <c r="C956" s="3">
        <v>95.2</v>
      </c>
    </row>
    <row r="957" spans="1:3" hidden="1">
      <c r="A957" s="3">
        <v>2</v>
      </c>
      <c r="B957" s="3">
        <v>0</v>
      </c>
      <c r="C957" s="3">
        <v>95.2</v>
      </c>
    </row>
    <row r="958" spans="1:3" hidden="1">
      <c r="A958" s="3">
        <v>2</v>
      </c>
      <c r="B958" s="3">
        <v>0</v>
      </c>
      <c r="C958" s="3">
        <v>95.3</v>
      </c>
    </row>
    <row r="959" spans="1:3" hidden="1">
      <c r="A959" s="3">
        <v>2</v>
      </c>
      <c r="B959" s="3">
        <v>1</v>
      </c>
      <c r="C959" s="3">
        <v>95.3</v>
      </c>
    </row>
    <row r="960" spans="1:3">
      <c r="A960" s="3">
        <v>3</v>
      </c>
      <c r="B960" s="3">
        <v>0</v>
      </c>
      <c r="C960" s="3">
        <v>95.4</v>
      </c>
    </row>
    <row r="961" spans="1:3">
      <c r="A961" s="3">
        <v>3</v>
      </c>
      <c r="B961" s="3">
        <v>0</v>
      </c>
      <c r="C961" s="3">
        <v>95.4</v>
      </c>
    </row>
    <row r="962" spans="1:3" hidden="1">
      <c r="A962" s="3">
        <v>1</v>
      </c>
      <c r="B962" s="3">
        <v>0</v>
      </c>
      <c r="C962" s="3">
        <v>95.5</v>
      </c>
    </row>
    <row r="963" spans="1:3">
      <c r="A963" s="3">
        <v>3</v>
      </c>
      <c r="B963" s="3">
        <v>0</v>
      </c>
      <c r="C963" s="3">
        <v>95.5</v>
      </c>
    </row>
    <row r="964" spans="1:3">
      <c r="A964" s="3">
        <v>3</v>
      </c>
      <c r="B964" s="3">
        <v>0</v>
      </c>
      <c r="C964" s="3">
        <v>95.5</v>
      </c>
    </row>
    <row r="965" spans="1:3" hidden="1">
      <c r="A965" s="3">
        <v>1</v>
      </c>
      <c r="B965" s="3">
        <v>0</v>
      </c>
      <c r="C965" s="3">
        <v>95.6</v>
      </c>
    </row>
    <row r="966" spans="1:3" hidden="1">
      <c r="A966" s="3">
        <v>2</v>
      </c>
      <c r="B966" s="3">
        <v>0</v>
      </c>
      <c r="C966" s="3">
        <v>95.6</v>
      </c>
    </row>
    <row r="967" spans="1:3" hidden="1">
      <c r="A967" s="3">
        <v>2</v>
      </c>
      <c r="B967" s="3">
        <v>0</v>
      </c>
      <c r="C967" s="3">
        <v>95.6</v>
      </c>
    </row>
    <row r="968" spans="1:3" hidden="1">
      <c r="A968" s="3">
        <v>1</v>
      </c>
      <c r="B968" s="3">
        <v>0</v>
      </c>
      <c r="C968" s="3">
        <v>95.7</v>
      </c>
    </row>
    <row r="969" spans="1:3">
      <c r="A969" s="3">
        <v>3</v>
      </c>
      <c r="B969" s="3">
        <v>0</v>
      </c>
      <c r="C969" s="3">
        <v>95.8</v>
      </c>
    </row>
    <row r="970" spans="1:3" hidden="1">
      <c r="A970" s="3">
        <v>1</v>
      </c>
      <c r="B970" s="3">
        <v>0</v>
      </c>
      <c r="C970" s="3">
        <v>95.9</v>
      </c>
    </row>
    <row r="971" spans="1:3" hidden="1">
      <c r="A971" s="3">
        <v>2</v>
      </c>
      <c r="B971" s="3">
        <v>0</v>
      </c>
      <c r="C971" s="3">
        <v>96</v>
      </c>
    </row>
    <row r="972" spans="1:3" hidden="1">
      <c r="A972" s="3">
        <v>2</v>
      </c>
      <c r="B972" s="3">
        <v>0</v>
      </c>
      <c r="C972" s="3">
        <v>96</v>
      </c>
    </row>
    <row r="973" spans="1:3" hidden="1">
      <c r="A973" s="3">
        <v>1</v>
      </c>
      <c r="B973" s="3">
        <v>0</v>
      </c>
      <c r="C973" s="3">
        <v>96.1</v>
      </c>
    </row>
    <row r="974" spans="1:3" hidden="1">
      <c r="A974" s="3">
        <v>2</v>
      </c>
      <c r="B974" s="3">
        <v>0</v>
      </c>
      <c r="C974" s="3">
        <v>96.1</v>
      </c>
    </row>
    <row r="975" spans="1:3" hidden="1">
      <c r="A975" s="3">
        <v>2</v>
      </c>
      <c r="B975" s="3">
        <v>0</v>
      </c>
      <c r="C975" s="3">
        <v>96.1</v>
      </c>
    </row>
    <row r="976" spans="1:3" hidden="1">
      <c r="A976" s="3">
        <v>2</v>
      </c>
      <c r="B976" s="3">
        <v>0</v>
      </c>
      <c r="C976" s="3">
        <v>96.2</v>
      </c>
    </row>
    <row r="977" spans="1:3">
      <c r="A977" s="3">
        <v>3</v>
      </c>
      <c r="B977" s="3">
        <v>0</v>
      </c>
      <c r="C977" s="3">
        <v>96.3</v>
      </c>
    </row>
    <row r="978" spans="1:3" hidden="1">
      <c r="A978" s="3">
        <v>1</v>
      </c>
      <c r="B978" s="3">
        <v>0</v>
      </c>
      <c r="C978" s="3">
        <v>96.3</v>
      </c>
    </row>
    <row r="979" spans="1:3" hidden="1">
      <c r="A979" s="3">
        <v>2</v>
      </c>
      <c r="B979" s="3">
        <v>0</v>
      </c>
      <c r="C979" s="3">
        <v>96.4</v>
      </c>
    </row>
    <row r="980" spans="1:3">
      <c r="A980" s="3">
        <v>3</v>
      </c>
      <c r="B980" s="3">
        <v>0</v>
      </c>
      <c r="C980" s="3">
        <v>96.4</v>
      </c>
    </row>
    <row r="981" spans="1:3" hidden="1">
      <c r="A981" s="3">
        <v>1</v>
      </c>
      <c r="B981" s="3">
        <v>0</v>
      </c>
      <c r="C981" s="3">
        <v>96.5</v>
      </c>
    </row>
    <row r="982" spans="1:3" hidden="1">
      <c r="A982" s="3">
        <v>1</v>
      </c>
      <c r="B982" s="3">
        <v>0</v>
      </c>
      <c r="C982" s="3">
        <v>96.6</v>
      </c>
    </row>
    <row r="983" spans="1:3">
      <c r="A983" s="3">
        <v>3</v>
      </c>
      <c r="B983" s="3">
        <v>0</v>
      </c>
      <c r="C983" s="3">
        <v>96.6</v>
      </c>
    </row>
    <row r="984" spans="1:3" hidden="1">
      <c r="A984" s="3">
        <v>1</v>
      </c>
      <c r="B984" s="3">
        <v>0</v>
      </c>
      <c r="C984" s="3">
        <v>96.6</v>
      </c>
    </row>
    <row r="985" spans="1:3" hidden="1">
      <c r="A985" s="3">
        <v>1</v>
      </c>
      <c r="B985" s="3">
        <v>0</v>
      </c>
      <c r="C985" s="3">
        <v>96.6</v>
      </c>
    </row>
    <row r="986" spans="1:3" hidden="1">
      <c r="A986" s="3">
        <v>1</v>
      </c>
      <c r="B986" s="3">
        <v>0</v>
      </c>
      <c r="C986" s="3">
        <v>96.7</v>
      </c>
    </row>
    <row r="987" spans="1:3" hidden="1">
      <c r="A987" s="3">
        <v>1</v>
      </c>
      <c r="B987" s="3">
        <v>0</v>
      </c>
      <c r="C987" s="3">
        <v>96.7</v>
      </c>
    </row>
    <row r="988" spans="1:3" hidden="1">
      <c r="A988" s="3">
        <v>2</v>
      </c>
      <c r="B988" s="3">
        <v>1</v>
      </c>
      <c r="C988" s="3">
        <v>96.7</v>
      </c>
    </row>
    <row r="989" spans="1:3" hidden="1">
      <c r="A989" s="3">
        <v>2</v>
      </c>
      <c r="B989" s="3">
        <v>0</v>
      </c>
      <c r="C989" s="3">
        <v>96.7</v>
      </c>
    </row>
    <row r="990" spans="1:3" hidden="1">
      <c r="A990" s="3">
        <v>2</v>
      </c>
      <c r="B990" s="3">
        <v>0</v>
      </c>
      <c r="C990" s="3">
        <v>96.8</v>
      </c>
    </row>
    <row r="991" spans="1:3" hidden="1">
      <c r="A991" s="3">
        <v>2</v>
      </c>
      <c r="B991" s="3">
        <v>0</v>
      </c>
      <c r="C991" s="3">
        <v>96.8</v>
      </c>
    </row>
    <row r="992" spans="1:3" hidden="1">
      <c r="A992" s="3">
        <v>1</v>
      </c>
      <c r="B992" s="3">
        <v>0</v>
      </c>
      <c r="C992" s="3">
        <v>97</v>
      </c>
    </row>
    <row r="993" spans="1:3">
      <c r="A993" s="3">
        <v>3</v>
      </c>
      <c r="B993" s="3">
        <v>0</v>
      </c>
      <c r="C993" s="3">
        <v>97</v>
      </c>
    </row>
    <row r="994" spans="1:3">
      <c r="A994" s="3">
        <v>3</v>
      </c>
      <c r="B994" s="3">
        <v>0</v>
      </c>
      <c r="C994" s="3">
        <v>97.1</v>
      </c>
    </row>
    <row r="995" spans="1:3" hidden="1">
      <c r="A995" s="3">
        <v>1</v>
      </c>
      <c r="B995" s="3">
        <v>0</v>
      </c>
      <c r="C995" s="3">
        <v>97.2</v>
      </c>
    </row>
    <row r="996" spans="1:3" hidden="1">
      <c r="A996" s="3">
        <v>1</v>
      </c>
      <c r="B996" s="3">
        <v>0</v>
      </c>
      <c r="C996" s="3">
        <v>97.3</v>
      </c>
    </row>
    <row r="997" spans="1:3" hidden="1">
      <c r="A997" s="3">
        <v>1</v>
      </c>
      <c r="B997" s="3">
        <v>0</v>
      </c>
      <c r="C997" s="3">
        <v>97.3</v>
      </c>
    </row>
    <row r="998" spans="1:3" hidden="1">
      <c r="A998" s="3">
        <v>1</v>
      </c>
      <c r="B998" s="3">
        <v>0</v>
      </c>
      <c r="C998" s="3">
        <v>97.3</v>
      </c>
    </row>
    <row r="999" spans="1:3">
      <c r="A999" s="3">
        <v>3</v>
      </c>
      <c r="B999" s="3">
        <v>0</v>
      </c>
      <c r="C999" s="3">
        <v>97.3</v>
      </c>
    </row>
    <row r="1000" spans="1:3" hidden="1">
      <c r="A1000" s="3">
        <v>1</v>
      </c>
      <c r="B1000" s="3">
        <v>0</v>
      </c>
      <c r="C1000" s="3">
        <v>97.4</v>
      </c>
    </row>
    <row r="1001" spans="1:3" hidden="1">
      <c r="A1001" s="3">
        <v>2</v>
      </c>
      <c r="B1001" s="3">
        <v>0</v>
      </c>
      <c r="C1001" s="3">
        <v>97.6</v>
      </c>
    </row>
    <row r="1002" spans="1:3" hidden="1">
      <c r="A1002" s="3">
        <v>2</v>
      </c>
      <c r="B1002" s="3">
        <v>0</v>
      </c>
      <c r="C1002" s="3">
        <v>97.6</v>
      </c>
    </row>
    <row r="1003" spans="1:3">
      <c r="A1003" s="3">
        <v>3</v>
      </c>
      <c r="B1003" s="3">
        <v>0</v>
      </c>
      <c r="C1003" s="3">
        <v>97.6</v>
      </c>
    </row>
    <row r="1004" spans="1:3">
      <c r="A1004" s="3">
        <v>3</v>
      </c>
      <c r="B1004" s="3">
        <v>0</v>
      </c>
      <c r="C1004" s="3">
        <v>97.7</v>
      </c>
    </row>
    <row r="1005" spans="1:3" hidden="1">
      <c r="A1005" s="3">
        <v>2</v>
      </c>
      <c r="B1005" s="3">
        <v>0</v>
      </c>
      <c r="C1005" s="3">
        <v>97.7</v>
      </c>
    </row>
    <row r="1006" spans="1:3" hidden="1">
      <c r="A1006" s="3">
        <v>1</v>
      </c>
      <c r="B1006" s="3">
        <v>0</v>
      </c>
      <c r="C1006" s="3">
        <v>97.8</v>
      </c>
    </row>
    <row r="1007" spans="1:3" hidden="1">
      <c r="A1007" s="3">
        <v>2</v>
      </c>
      <c r="B1007" s="3">
        <v>0</v>
      </c>
      <c r="C1007" s="3">
        <v>97.8</v>
      </c>
    </row>
    <row r="1008" spans="1:3" hidden="1">
      <c r="A1008" s="3">
        <v>2</v>
      </c>
      <c r="B1008" s="3">
        <v>0</v>
      </c>
      <c r="C1008" s="3">
        <v>97.9</v>
      </c>
    </row>
    <row r="1009" spans="1:3">
      <c r="A1009" s="3">
        <v>3</v>
      </c>
      <c r="B1009" s="3">
        <v>0</v>
      </c>
      <c r="C1009" s="3">
        <v>98</v>
      </c>
    </row>
    <row r="1010" spans="1:3" hidden="1">
      <c r="A1010" s="3">
        <v>1</v>
      </c>
      <c r="B1010" s="3">
        <v>0</v>
      </c>
      <c r="C1010" s="3">
        <v>98</v>
      </c>
    </row>
    <row r="1011" spans="1:3" hidden="1">
      <c r="A1011" s="3">
        <v>2</v>
      </c>
      <c r="B1011" s="3">
        <v>0</v>
      </c>
      <c r="C1011" s="3">
        <v>98</v>
      </c>
    </row>
    <row r="1012" spans="1:3" hidden="1">
      <c r="A1012" s="3">
        <v>2</v>
      </c>
      <c r="B1012" s="3">
        <v>0</v>
      </c>
      <c r="C1012" s="3">
        <v>98.1</v>
      </c>
    </row>
    <row r="1013" spans="1:3" hidden="1">
      <c r="A1013" s="3">
        <v>2</v>
      </c>
      <c r="B1013" s="3">
        <v>0</v>
      </c>
      <c r="C1013" s="3">
        <v>98.1</v>
      </c>
    </row>
    <row r="1014" spans="1:3">
      <c r="A1014" s="3">
        <v>3</v>
      </c>
      <c r="B1014" s="3">
        <v>0</v>
      </c>
      <c r="C1014" s="3">
        <v>98.3</v>
      </c>
    </row>
    <row r="1015" spans="1:3">
      <c r="A1015" s="3">
        <v>3</v>
      </c>
      <c r="B1015" s="3">
        <v>0</v>
      </c>
      <c r="C1015" s="3">
        <v>98.3</v>
      </c>
    </row>
    <row r="1016" spans="1:3">
      <c r="A1016" s="3">
        <v>3</v>
      </c>
      <c r="B1016" s="3">
        <v>0</v>
      </c>
      <c r="C1016" s="3">
        <v>98.3</v>
      </c>
    </row>
    <row r="1017" spans="1:3">
      <c r="A1017" s="3">
        <v>3</v>
      </c>
      <c r="B1017" s="3">
        <v>0</v>
      </c>
      <c r="C1017" s="3">
        <v>98.4</v>
      </c>
    </row>
    <row r="1018" spans="1:3">
      <c r="A1018" s="3">
        <v>3</v>
      </c>
      <c r="B1018" s="3">
        <v>0</v>
      </c>
      <c r="C1018" s="3">
        <v>98.4</v>
      </c>
    </row>
    <row r="1019" spans="1:3" hidden="1">
      <c r="A1019" s="3">
        <v>1</v>
      </c>
      <c r="B1019" s="3">
        <v>0</v>
      </c>
      <c r="C1019" s="3">
        <v>98.5</v>
      </c>
    </row>
    <row r="1020" spans="1:3" hidden="1">
      <c r="A1020" s="3">
        <v>1</v>
      </c>
      <c r="B1020" s="3">
        <v>0</v>
      </c>
      <c r="C1020" s="3">
        <v>98.5</v>
      </c>
    </row>
    <row r="1021" spans="1:3" hidden="1">
      <c r="A1021" s="3">
        <v>1</v>
      </c>
      <c r="B1021" s="3">
        <v>0</v>
      </c>
      <c r="C1021" s="3">
        <v>98.5</v>
      </c>
    </row>
    <row r="1022" spans="1:3" hidden="1">
      <c r="A1022" s="3">
        <v>1</v>
      </c>
      <c r="B1022" s="3">
        <v>0</v>
      </c>
      <c r="C1022" s="3">
        <v>98.5</v>
      </c>
    </row>
    <row r="1023" spans="1:3">
      <c r="A1023" s="3">
        <v>3</v>
      </c>
      <c r="B1023" s="3">
        <v>0</v>
      </c>
      <c r="C1023" s="3">
        <v>98.6</v>
      </c>
    </row>
    <row r="1024" spans="1:3" hidden="1">
      <c r="A1024" s="3">
        <v>2</v>
      </c>
      <c r="B1024" s="3">
        <v>0</v>
      </c>
      <c r="C1024" s="3">
        <v>98.7</v>
      </c>
    </row>
    <row r="1025" spans="1:3">
      <c r="A1025" s="3">
        <v>3</v>
      </c>
      <c r="B1025" s="3">
        <v>0</v>
      </c>
      <c r="C1025" s="3">
        <v>98.8</v>
      </c>
    </row>
    <row r="1026" spans="1:3" hidden="1">
      <c r="A1026" s="3">
        <v>2</v>
      </c>
      <c r="B1026" s="3">
        <v>0</v>
      </c>
      <c r="C1026" s="3">
        <v>98.8</v>
      </c>
    </row>
    <row r="1027" spans="1:3" hidden="1">
      <c r="A1027" s="3">
        <v>1</v>
      </c>
      <c r="B1027" s="3">
        <v>0</v>
      </c>
      <c r="C1027" s="3">
        <v>98.8</v>
      </c>
    </row>
    <row r="1028" spans="1:3" hidden="1">
      <c r="A1028" s="3">
        <v>1</v>
      </c>
      <c r="B1028" s="3">
        <v>0</v>
      </c>
      <c r="C1028" s="3">
        <v>99</v>
      </c>
    </row>
    <row r="1029" spans="1:3" hidden="1">
      <c r="A1029" s="3">
        <v>1</v>
      </c>
      <c r="B1029" s="3">
        <v>0</v>
      </c>
      <c r="C1029" s="3">
        <v>99</v>
      </c>
    </row>
    <row r="1030" spans="1:3" hidden="1">
      <c r="A1030" s="3">
        <v>2</v>
      </c>
      <c r="B1030" s="3">
        <v>0</v>
      </c>
      <c r="C1030" s="3">
        <v>99.1</v>
      </c>
    </row>
    <row r="1031" spans="1:3" hidden="1">
      <c r="A1031" s="3">
        <v>2</v>
      </c>
      <c r="B1031" s="3">
        <v>0</v>
      </c>
      <c r="C1031" s="3">
        <v>99.2</v>
      </c>
    </row>
    <row r="1032" spans="1:3">
      <c r="A1032" s="3">
        <v>3</v>
      </c>
      <c r="B1032" s="3">
        <v>0</v>
      </c>
      <c r="C1032" s="3">
        <v>99.2</v>
      </c>
    </row>
    <row r="1033" spans="1:3" hidden="1">
      <c r="A1033" s="3">
        <v>2</v>
      </c>
      <c r="B1033" s="3">
        <v>0</v>
      </c>
      <c r="C1033" s="3">
        <v>99.2</v>
      </c>
    </row>
    <row r="1034" spans="1:3" hidden="1">
      <c r="A1034" s="3">
        <v>2</v>
      </c>
      <c r="B1034" s="3">
        <v>1</v>
      </c>
      <c r="C1034" s="3">
        <v>99.3</v>
      </c>
    </row>
    <row r="1035" spans="1:3" hidden="1">
      <c r="A1035" s="3">
        <v>1</v>
      </c>
      <c r="B1035" s="3">
        <v>0</v>
      </c>
      <c r="C1035" s="3">
        <v>99.3</v>
      </c>
    </row>
    <row r="1036" spans="1:3">
      <c r="A1036" s="3">
        <v>3</v>
      </c>
      <c r="B1036" s="3">
        <v>0</v>
      </c>
      <c r="C1036" s="3">
        <v>99.3</v>
      </c>
    </row>
    <row r="1037" spans="1:3" hidden="1">
      <c r="A1037" s="3">
        <v>1</v>
      </c>
      <c r="B1037" s="3">
        <v>0</v>
      </c>
      <c r="C1037" s="3">
        <v>99.3</v>
      </c>
    </row>
    <row r="1038" spans="1:3">
      <c r="A1038" s="3">
        <v>3</v>
      </c>
      <c r="B1038" s="3">
        <v>0</v>
      </c>
      <c r="C1038" s="3">
        <v>99.4</v>
      </c>
    </row>
    <row r="1039" spans="1:3" hidden="1">
      <c r="A1039" s="3">
        <v>2</v>
      </c>
      <c r="B1039" s="3">
        <v>0</v>
      </c>
      <c r="C1039" s="3">
        <v>99.4</v>
      </c>
    </row>
    <row r="1040" spans="1:3" hidden="1">
      <c r="A1040" s="3">
        <v>2</v>
      </c>
      <c r="B1040" s="3">
        <v>0</v>
      </c>
      <c r="C1040" s="3">
        <v>99.5</v>
      </c>
    </row>
    <row r="1041" spans="1:3">
      <c r="A1041" s="3">
        <v>3</v>
      </c>
      <c r="B1041" s="3">
        <v>0</v>
      </c>
      <c r="C1041" s="3">
        <v>99.5</v>
      </c>
    </row>
    <row r="1042" spans="1:3">
      <c r="A1042" s="3">
        <v>3</v>
      </c>
      <c r="B1042" s="3">
        <v>0</v>
      </c>
      <c r="C1042" s="3">
        <v>99.5</v>
      </c>
    </row>
    <row r="1043" spans="1:3" hidden="1">
      <c r="A1043" s="3">
        <v>1</v>
      </c>
      <c r="B1043" s="3">
        <v>0</v>
      </c>
      <c r="C1043" s="3">
        <v>99.5</v>
      </c>
    </row>
    <row r="1044" spans="1:3">
      <c r="A1044" s="3">
        <v>3</v>
      </c>
      <c r="B1044" s="3">
        <v>0</v>
      </c>
      <c r="C1044" s="3">
        <v>99.6</v>
      </c>
    </row>
    <row r="1045" spans="1:3" hidden="1">
      <c r="A1045" s="3">
        <v>2</v>
      </c>
      <c r="B1045" s="3">
        <v>0</v>
      </c>
      <c r="C1045" s="3">
        <v>99.7</v>
      </c>
    </row>
    <row r="1046" spans="1:3">
      <c r="A1046" s="3">
        <v>3</v>
      </c>
      <c r="B1046" s="3">
        <v>0</v>
      </c>
      <c r="C1046" s="3">
        <v>99.7</v>
      </c>
    </row>
    <row r="1047" spans="1:3" hidden="1">
      <c r="A1047" s="3">
        <v>2</v>
      </c>
      <c r="B1047" s="3">
        <v>0</v>
      </c>
      <c r="C1047" s="3">
        <v>99.7</v>
      </c>
    </row>
    <row r="1048" spans="1:3" hidden="1">
      <c r="A1048" s="3">
        <v>1</v>
      </c>
      <c r="B1048" s="3">
        <v>0</v>
      </c>
      <c r="C1048" s="3">
        <v>99.8</v>
      </c>
    </row>
    <row r="1049" spans="1:3">
      <c r="A1049" s="3">
        <v>3</v>
      </c>
      <c r="B1049" s="3">
        <v>0</v>
      </c>
      <c r="C1049" s="3">
        <v>99.8</v>
      </c>
    </row>
    <row r="1050" spans="1:3" hidden="1">
      <c r="A1050" s="3">
        <v>1</v>
      </c>
      <c r="B1050" s="3">
        <v>0</v>
      </c>
      <c r="C1050" s="3">
        <v>99.8</v>
      </c>
    </row>
    <row r="1051" spans="1:3" hidden="1">
      <c r="A1051" s="3">
        <v>2</v>
      </c>
      <c r="B1051" s="3">
        <v>0</v>
      </c>
      <c r="C1051" s="3">
        <v>100.1</v>
      </c>
    </row>
    <row r="1052" spans="1:3">
      <c r="A1052" s="3">
        <v>3</v>
      </c>
      <c r="B1052" s="3">
        <v>0</v>
      </c>
      <c r="C1052" s="3">
        <v>100.4</v>
      </c>
    </row>
    <row r="1053" spans="1:3" hidden="1">
      <c r="A1053" s="3">
        <v>2</v>
      </c>
      <c r="B1053" s="3">
        <v>0</v>
      </c>
      <c r="C1053" s="3">
        <v>100.5</v>
      </c>
    </row>
    <row r="1054" spans="1:3" hidden="1">
      <c r="A1054" s="3">
        <v>2</v>
      </c>
      <c r="B1054" s="3">
        <v>0</v>
      </c>
      <c r="C1054" s="3">
        <v>100.7</v>
      </c>
    </row>
    <row r="1055" spans="1:3">
      <c r="A1055" s="3">
        <v>3</v>
      </c>
      <c r="B1055" s="3">
        <v>0</v>
      </c>
      <c r="C1055" s="3">
        <v>100.7</v>
      </c>
    </row>
    <row r="1056" spans="1:3" hidden="1">
      <c r="A1056" s="3">
        <v>1</v>
      </c>
      <c r="B1056" s="3">
        <v>0</v>
      </c>
      <c r="C1056" s="3">
        <v>101</v>
      </c>
    </row>
    <row r="1057" spans="1:3">
      <c r="A1057" s="3">
        <v>3</v>
      </c>
      <c r="B1057" s="3">
        <v>0</v>
      </c>
      <c r="C1057" s="3">
        <v>101</v>
      </c>
    </row>
    <row r="1058" spans="1:3" hidden="1">
      <c r="A1058" s="3">
        <v>1</v>
      </c>
      <c r="B1058" s="3">
        <v>0</v>
      </c>
      <c r="C1058" s="3">
        <v>101.1</v>
      </c>
    </row>
    <row r="1059" spans="1:3" hidden="1">
      <c r="A1059" s="3">
        <v>1</v>
      </c>
      <c r="B1059" s="3">
        <v>0</v>
      </c>
      <c r="C1059" s="3">
        <v>101.2</v>
      </c>
    </row>
    <row r="1060" spans="1:3" hidden="1">
      <c r="A1060" s="3">
        <v>2</v>
      </c>
      <c r="B1060" s="3">
        <v>0</v>
      </c>
      <c r="C1060" s="3">
        <v>101.4</v>
      </c>
    </row>
    <row r="1061" spans="1:3" hidden="1">
      <c r="A1061" s="3">
        <v>1</v>
      </c>
      <c r="B1061" s="3">
        <v>0</v>
      </c>
      <c r="C1061" s="3">
        <v>101.5</v>
      </c>
    </row>
    <row r="1062" spans="1:3" hidden="1">
      <c r="A1062" s="3">
        <v>2</v>
      </c>
      <c r="B1062" s="3">
        <v>0</v>
      </c>
      <c r="C1062" s="3">
        <v>101.8</v>
      </c>
    </row>
    <row r="1063" spans="1:3">
      <c r="A1063" s="3">
        <v>3</v>
      </c>
      <c r="B1063" s="3">
        <v>0</v>
      </c>
      <c r="C1063" s="3">
        <v>102</v>
      </c>
    </row>
    <row r="1064" spans="1:3" hidden="1">
      <c r="A1064" s="3">
        <v>1</v>
      </c>
      <c r="B1064" s="3">
        <v>0</v>
      </c>
      <c r="C1064" s="3">
        <v>102</v>
      </c>
    </row>
    <row r="1065" spans="1:3">
      <c r="A1065" s="3">
        <v>3</v>
      </c>
      <c r="B1065" s="3">
        <v>0</v>
      </c>
      <c r="C1065" s="3">
        <v>102</v>
      </c>
    </row>
    <row r="1066" spans="1:3">
      <c r="A1066" s="3">
        <v>3</v>
      </c>
      <c r="B1066" s="3">
        <v>0</v>
      </c>
      <c r="C1066" s="3">
        <v>102.3</v>
      </c>
    </row>
    <row r="1067" spans="1:3">
      <c r="A1067" s="3">
        <v>3</v>
      </c>
      <c r="B1067" s="3">
        <v>0</v>
      </c>
      <c r="C1067" s="3">
        <v>102.3</v>
      </c>
    </row>
    <row r="1068" spans="1:3" hidden="1">
      <c r="A1068" s="3">
        <v>1</v>
      </c>
      <c r="B1068" s="3">
        <v>0</v>
      </c>
      <c r="C1068" s="3">
        <v>102.5</v>
      </c>
    </row>
    <row r="1069" spans="1:3" hidden="1">
      <c r="A1069" s="3">
        <v>2</v>
      </c>
      <c r="B1069" s="3">
        <v>0</v>
      </c>
      <c r="C1069" s="3">
        <v>102.5</v>
      </c>
    </row>
    <row r="1070" spans="1:3">
      <c r="A1070" s="3">
        <v>3</v>
      </c>
      <c r="B1070" s="3">
        <v>0</v>
      </c>
      <c r="C1070" s="3">
        <v>103.3</v>
      </c>
    </row>
    <row r="1071" spans="1:3" hidden="1">
      <c r="A1071" s="3">
        <v>1</v>
      </c>
      <c r="B1071" s="3">
        <v>0</v>
      </c>
      <c r="C1071" s="3">
        <v>103.5</v>
      </c>
    </row>
    <row r="1072" spans="1:3" hidden="1">
      <c r="A1072" s="3">
        <v>1</v>
      </c>
      <c r="B1072" s="3">
        <v>0</v>
      </c>
      <c r="C1072" s="3">
        <v>103.6</v>
      </c>
    </row>
    <row r="1073" spans="1:3" hidden="1">
      <c r="A1073" s="3">
        <v>1</v>
      </c>
      <c r="B1073" s="3">
        <v>0</v>
      </c>
      <c r="C1073" s="3">
        <v>103.6</v>
      </c>
    </row>
    <row r="1074" spans="1:3">
      <c r="A1074" s="3">
        <v>3</v>
      </c>
      <c r="B1074" s="3">
        <v>0</v>
      </c>
      <c r="C1074" s="3">
        <v>104</v>
      </c>
    </row>
    <row r="1075" spans="1:3" hidden="1">
      <c r="A1075" s="3">
        <v>2</v>
      </c>
      <c r="B1075" s="3">
        <v>0</v>
      </c>
      <c r="C1075" s="3">
        <v>105</v>
      </c>
    </row>
    <row r="1076" spans="1:3" hidden="1">
      <c r="A1076" s="3">
        <v>2</v>
      </c>
      <c r="B1076" s="3">
        <v>0</v>
      </c>
      <c r="C1076" s="3">
        <v>105.2</v>
      </c>
    </row>
    <row r="1077" spans="1:3">
      <c r="A1077" s="3">
        <v>3</v>
      </c>
      <c r="B1077" s="3">
        <v>0</v>
      </c>
      <c r="C1077" s="3">
        <v>105.3</v>
      </c>
    </row>
    <row r="1078" spans="1:3">
      <c r="A1078" s="3">
        <v>3</v>
      </c>
      <c r="B1078" s="3">
        <v>0</v>
      </c>
      <c r="C1078" s="3">
        <v>105.5</v>
      </c>
    </row>
    <row r="1079" spans="1:3">
      <c r="A1079" s="3">
        <v>3</v>
      </c>
      <c r="B1079" s="3">
        <v>0</v>
      </c>
      <c r="C1079" s="3">
        <v>105.8</v>
      </c>
    </row>
    <row r="1080" spans="1:3">
      <c r="A1080" s="3">
        <v>3</v>
      </c>
      <c r="B1080" s="3">
        <v>0</v>
      </c>
      <c r="C1080" s="3">
        <v>106.2</v>
      </c>
    </row>
    <row r="1081" spans="1:3" hidden="1">
      <c r="A1081" s="3">
        <v>2</v>
      </c>
      <c r="B1081" s="3">
        <v>0</v>
      </c>
      <c r="C1081" s="3">
        <v>110.1</v>
      </c>
    </row>
  </sheetData>
  <autoFilter ref="A1:A1081" xr:uid="{497C4D8B-47A0-48EE-9175-F38847127557}">
    <filterColumn colId="0">
      <filters>
        <filter val="3"/>
      </filters>
    </filterColumn>
  </autoFilter>
  <mergeCells count="2">
    <mergeCell ref="G5:K5"/>
    <mergeCell ref="G11:K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E338-BF43-4DDA-B951-42C103E12758}">
  <dimension ref="A1:O1081"/>
  <sheetViews>
    <sheetView topLeftCell="B1" workbookViewId="0">
      <selection activeCell="N4" sqref="N4"/>
    </sheetView>
  </sheetViews>
  <sheetFormatPr defaultRowHeight="14.4"/>
  <cols>
    <col min="7" max="7" width="14.21875" bestFit="1" customWidth="1"/>
    <col min="8" max="8" width="12.44140625" bestFit="1" customWidth="1"/>
    <col min="9" max="9" width="14.5546875" customWidth="1"/>
    <col min="10" max="10" width="12.44140625" bestFit="1" customWidth="1"/>
    <col min="11" max="11" width="26.33203125" customWidth="1"/>
    <col min="12" max="12" width="14.21875" customWidth="1"/>
    <col min="13" max="13" width="16.44140625" customWidth="1"/>
  </cols>
  <sheetData>
    <row r="1" spans="1:13">
      <c r="A1" t="s">
        <v>1</v>
      </c>
      <c r="B1" t="s">
        <v>2</v>
      </c>
      <c r="C1" t="s">
        <v>17</v>
      </c>
    </row>
    <row r="2" spans="1:13">
      <c r="A2" s="3">
        <v>3</v>
      </c>
      <c r="B2" s="3">
        <v>1</v>
      </c>
      <c r="C2" s="3">
        <v>54.8</v>
      </c>
    </row>
    <row r="3" spans="1:13">
      <c r="A3" s="3">
        <v>3</v>
      </c>
      <c r="B3" s="3">
        <v>1</v>
      </c>
      <c r="C3" s="3">
        <v>60.6</v>
      </c>
    </row>
    <row r="4" spans="1:13">
      <c r="A4" s="3">
        <v>1</v>
      </c>
      <c r="B4" s="3">
        <v>1</v>
      </c>
      <c r="C4" s="3">
        <v>65</v>
      </c>
      <c r="I4" s="20" t="s">
        <v>1203</v>
      </c>
      <c r="J4" s="20"/>
      <c r="K4" s="20"/>
      <c r="L4" s="20"/>
    </row>
    <row r="5" spans="1:13">
      <c r="A5" s="3">
        <v>1</v>
      </c>
      <c r="B5" s="3">
        <v>1</v>
      </c>
      <c r="C5" s="3">
        <v>65.599999999999994</v>
      </c>
    </row>
    <row r="6" spans="1:13">
      <c r="A6" s="3">
        <v>3</v>
      </c>
      <c r="B6" s="3">
        <v>1</v>
      </c>
      <c r="C6" s="3">
        <v>66.5</v>
      </c>
      <c r="I6" s="11" t="s">
        <v>1190</v>
      </c>
      <c r="J6" s="11" t="s">
        <v>1207</v>
      </c>
      <c r="K6" s="11" t="s">
        <v>1208</v>
      </c>
      <c r="L6" s="11" t="s">
        <v>1209</v>
      </c>
      <c r="M6" s="11" t="s">
        <v>1210</v>
      </c>
    </row>
    <row r="7" spans="1:13">
      <c r="A7" s="3">
        <v>3</v>
      </c>
      <c r="B7" s="3">
        <v>1</v>
      </c>
      <c r="C7" s="3">
        <v>66.5</v>
      </c>
      <c r="I7" s="11" t="s">
        <v>1204</v>
      </c>
      <c r="J7">
        <v>1</v>
      </c>
      <c r="K7">
        <f>COUNTIFS(B:B,1,A:A,J7)</f>
        <v>99</v>
      </c>
      <c r="L7">
        <f>COUNTIF(A:A,J7)</f>
        <v>314</v>
      </c>
      <c r="M7" s="5">
        <f>K7/L7</f>
        <v>0.31528662420382164</v>
      </c>
    </row>
    <row r="8" spans="1:13">
      <c r="A8" s="3">
        <v>1</v>
      </c>
      <c r="B8" s="3">
        <v>1</v>
      </c>
      <c r="C8" s="3">
        <v>67.7</v>
      </c>
      <c r="I8" s="11" t="s">
        <v>1205</v>
      </c>
      <c r="J8">
        <v>2</v>
      </c>
      <c r="K8">
        <f t="shared" ref="K8:K9" si="0">COUNTIFS(B:B,1,A:A,J8)</f>
        <v>158</v>
      </c>
      <c r="L8">
        <f t="shared" ref="L8:L9" si="1">COUNTIF(A:A,J8)</f>
        <v>353</v>
      </c>
      <c r="M8" s="5">
        <f t="shared" ref="M8:M9" si="2">K8/L8</f>
        <v>0.44759206798866857</v>
      </c>
    </row>
    <row r="9" spans="1:13">
      <c r="A9" s="3">
        <v>3</v>
      </c>
      <c r="B9" s="3">
        <v>1</v>
      </c>
      <c r="C9" s="3">
        <v>67.8</v>
      </c>
      <c r="I9" s="11" t="s">
        <v>1206</v>
      </c>
      <c r="J9">
        <v>3</v>
      </c>
      <c r="K9">
        <f t="shared" si="0"/>
        <v>200</v>
      </c>
      <c r="L9">
        <f t="shared" si="1"/>
        <v>413</v>
      </c>
      <c r="M9" s="5">
        <f t="shared" si="2"/>
        <v>0.48426150121065376</v>
      </c>
    </row>
    <row r="10" spans="1:13">
      <c r="A10" s="3">
        <v>2</v>
      </c>
      <c r="B10" s="3">
        <v>1</v>
      </c>
      <c r="C10" s="3">
        <v>67.8</v>
      </c>
    </row>
    <row r="11" spans="1:13">
      <c r="A11" s="3">
        <v>3</v>
      </c>
      <c r="B11" s="3">
        <v>1</v>
      </c>
      <c r="C11" s="3">
        <v>68.099999999999994</v>
      </c>
    </row>
    <row r="12" spans="1:13">
      <c r="A12" s="3">
        <v>1</v>
      </c>
      <c r="B12" s="3">
        <v>1</v>
      </c>
      <c r="C12" s="3">
        <v>68.3</v>
      </c>
      <c r="G12" s="11" t="s">
        <v>1211</v>
      </c>
    </row>
    <row r="13" spans="1:13">
      <c r="A13" s="3">
        <v>3</v>
      </c>
      <c r="B13" s="3">
        <v>1</v>
      </c>
      <c r="C13" s="3">
        <v>69.5</v>
      </c>
      <c r="H13" s="11" t="s">
        <v>1212</v>
      </c>
      <c r="I13" s="11" t="s">
        <v>1195</v>
      </c>
      <c r="J13" s="11" t="s">
        <v>1214</v>
      </c>
    </row>
    <row r="14" spans="1:13">
      <c r="A14" s="3">
        <v>2</v>
      </c>
      <c r="B14" s="3">
        <v>1</v>
      </c>
      <c r="C14" s="3">
        <v>70.400000000000006</v>
      </c>
      <c r="G14">
        <v>1</v>
      </c>
      <c r="H14">
        <f>COUNTIFS(B:B,0,A:A,G14)</f>
        <v>215</v>
      </c>
      <c r="I14">
        <f>COUNTIFS(B:B,1,A:A,G14)</f>
        <v>99</v>
      </c>
      <c r="J14">
        <f>SUM(H14:I14)</f>
        <v>314</v>
      </c>
    </row>
    <row r="15" spans="1:13">
      <c r="A15" s="3">
        <v>3</v>
      </c>
      <c r="B15" s="3">
        <v>1</v>
      </c>
      <c r="C15" s="3">
        <v>71.3</v>
      </c>
      <c r="G15">
        <v>2</v>
      </c>
      <c r="H15">
        <f t="shared" ref="H15:H16" si="3">COUNTIFS(B:B,0,A:A,G15)</f>
        <v>195</v>
      </c>
      <c r="I15">
        <f t="shared" ref="I15:I16" si="4">COUNTIFS(B:B,1,A:A,G15)</f>
        <v>158</v>
      </c>
      <c r="J15">
        <f t="shared" ref="J15:J16" si="5">SUM(H15:I15)</f>
        <v>353</v>
      </c>
    </row>
    <row r="16" spans="1:13">
      <c r="A16" s="3">
        <v>2</v>
      </c>
      <c r="B16" s="3">
        <v>0</v>
      </c>
      <c r="C16" s="3">
        <v>71.8</v>
      </c>
      <c r="G16">
        <v>3</v>
      </c>
      <c r="H16">
        <f t="shared" si="3"/>
        <v>213</v>
      </c>
      <c r="I16">
        <f t="shared" si="4"/>
        <v>200</v>
      </c>
      <c r="J16">
        <f t="shared" si="5"/>
        <v>413</v>
      </c>
    </row>
    <row r="17" spans="1:12">
      <c r="A17" s="3">
        <v>3</v>
      </c>
      <c r="B17" s="3">
        <v>1</v>
      </c>
      <c r="C17" s="3">
        <v>72.3</v>
      </c>
      <c r="G17" s="11" t="s">
        <v>1215</v>
      </c>
      <c r="H17">
        <f>SUM(H14:H16)</f>
        <v>623</v>
      </c>
      <c r="I17">
        <f>SUM(I14:I16)</f>
        <v>457</v>
      </c>
      <c r="J17">
        <f>H17+I17</f>
        <v>1080</v>
      </c>
    </row>
    <row r="18" spans="1:12">
      <c r="A18" s="3">
        <v>1</v>
      </c>
      <c r="B18" s="3">
        <v>1</v>
      </c>
      <c r="C18" s="3">
        <v>74.3</v>
      </c>
      <c r="G18" s="11" t="s">
        <v>1213</v>
      </c>
    </row>
    <row r="19" spans="1:12">
      <c r="A19" s="3">
        <v>1</v>
      </c>
      <c r="B19" s="3">
        <v>1</v>
      </c>
      <c r="C19" s="3">
        <v>74.5</v>
      </c>
      <c r="H19" s="11" t="s">
        <v>1212</v>
      </c>
      <c r="I19" s="11" t="s">
        <v>1195</v>
      </c>
    </row>
    <row r="20" spans="1:12">
      <c r="A20" s="3">
        <v>1</v>
      </c>
      <c r="B20" s="3">
        <v>1</v>
      </c>
      <c r="C20" s="3">
        <v>74.5</v>
      </c>
      <c r="G20">
        <v>1</v>
      </c>
      <c r="H20">
        <f>($J14*H$17)/$J$17</f>
        <v>181.13148148148147</v>
      </c>
      <c r="I20">
        <f>($J14*I$17)/$J$17</f>
        <v>132.86851851851853</v>
      </c>
    </row>
    <row r="21" spans="1:12">
      <c r="A21" s="3">
        <v>1</v>
      </c>
      <c r="B21" s="3">
        <v>0</v>
      </c>
      <c r="C21" s="3">
        <v>74.7</v>
      </c>
      <c r="G21">
        <v>2</v>
      </c>
      <c r="H21">
        <f t="shared" ref="H21:I21" si="6">($J15*H$17)/$J$17</f>
        <v>203.62870370370371</v>
      </c>
      <c r="I21">
        <f t="shared" si="6"/>
        <v>149.37129629629629</v>
      </c>
    </row>
    <row r="22" spans="1:12">
      <c r="A22" s="3">
        <v>1</v>
      </c>
      <c r="B22" s="3">
        <v>1</v>
      </c>
      <c r="C22" s="3">
        <v>75.5</v>
      </c>
      <c r="G22">
        <v>3</v>
      </c>
      <c r="H22">
        <f t="shared" ref="H22:I22" si="7">($J16*H$17)/$J$17</f>
        <v>238.23981481481482</v>
      </c>
      <c r="I22">
        <f t="shared" si="7"/>
        <v>174.76018518518518</v>
      </c>
    </row>
    <row r="23" spans="1:12">
      <c r="A23" s="3">
        <v>2</v>
      </c>
      <c r="B23" s="3">
        <v>1</v>
      </c>
      <c r="C23" s="3">
        <v>76.400000000000006</v>
      </c>
    </row>
    <row r="24" spans="1:12">
      <c r="A24" s="3">
        <v>3</v>
      </c>
      <c r="B24" s="3">
        <v>1</v>
      </c>
      <c r="C24" s="3">
        <v>77.5</v>
      </c>
      <c r="H24" s="14" t="s">
        <v>1198</v>
      </c>
      <c r="I24">
        <f>_xlfn.CHISQ.TEST(H14:I16,H20:I22)</f>
        <v>1.5499923609333198E-5</v>
      </c>
    </row>
    <row r="25" spans="1:12">
      <c r="A25" s="3">
        <v>2</v>
      </c>
      <c r="B25" s="3">
        <v>0</v>
      </c>
      <c r="C25" s="3">
        <v>77.7</v>
      </c>
      <c r="I25" s="11" t="s">
        <v>1216</v>
      </c>
    </row>
    <row r="26" spans="1:12">
      <c r="A26" s="3">
        <v>3</v>
      </c>
      <c r="B26" s="3">
        <v>1</v>
      </c>
      <c r="C26" s="3">
        <v>79</v>
      </c>
      <c r="H26" s="11" t="s">
        <v>1217</v>
      </c>
    </row>
    <row r="27" spans="1:12">
      <c r="A27" s="3">
        <v>2</v>
      </c>
      <c r="B27" s="3">
        <v>1</v>
      </c>
      <c r="C27" s="3">
        <v>80.099999999999994</v>
      </c>
    </row>
    <row r="28" spans="1:12">
      <c r="A28" s="3">
        <v>2</v>
      </c>
      <c r="B28" s="3">
        <v>0</v>
      </c>
      <c r="C28" s="3">
        <v>83</v>
      </c>
    </row>
    <row r="29" spans="1:12">
      <c r="A29" s="3">
        <v>2</v>
      </c>
      <c r="B29" s="3">
        <v>0</v>
      </c>
      <c r="C29" s="3">
        <v>85</v>
      </c>
    </row>
    <row r="30" spans="1:12">
      <c r="A30" s="3">
        <v>2</v>
      </c>
      <c r="B30" s="3">
        <v>0</v>
      </c>
      <c r="C30" s="3">
        <v>85.3</v>
      </c>
      <c r="I30" s="20" t="s">
        <v>1218</v>
      </c>
      <c r="J30" s="20"/>
      <c r="K30" s="20"/>
      <c r="L30" s="20"/>
    </row>
    <row r="31" spans="1:12">
      <c r="A31" s="3">
        <v>2</v>
      </c>
      <c r="B31" s="3">
        <v>0</v>
      </c>
      <c r="C31" s="3">
        <v>89.1</v>
      </c>
    </row>
    <row r="32" spans="1:12">
      <c r="A32" s="3">
        <v>2</v>
      </c>
      <c r="B32" s="3">
        <v>0</v>
      </c>
      <c r="C32" s="3">
        <v>89.6</v>
      </c>
      <c r="I32" s="11" t="s">
        <v>1190</v>
      </c>
      <c r="J32" s="11" t="s">
        <v>1219</v>
      </c>
      <c r="K32" s="11" t="s">
        <v>1220</v>
      </c>
    </row>
    <row r="33" spans="1:15">
      <c r="A33" s="3">
        <v>2</v>
      </c>
      <c r="B33" s="3">
        <v>0</v>
      </c>
      <c r="C33" s="3">
        <v>90.8</v>
      </c>
      <c r="I33" s="11" t="s">
        <v>1204</v>
      </c>
      <c r="J33">
        <v>1</v>
      </c>
      <c r="K33">
        <f>AVERAGEIFS(C:C,A:A,J33)</f>
        <v>82.095859872611442</v>
      </c>
    </row>
    <row r="34" spans="1:15">
      <c r="A34" s="3">
        <v>3</v>
      </c>
      <c r="B34" s="3">
        <v>0</v>
      </c>
      <c r="C34" s="3">
        <v>92.4</v>
      </c>
      <c r="I34" s="11" t="s">
        <v>1205</v>
      </c>
      <c r="J34">
        <v>2</v>
      </c>
      <c r="K34">
        <f t="shared" ref="K34:K35" si="8">AVERAGEIFS(C:C,A:A,J34)</f>
        <v>80.280169971671455</v>
      </c>
    </row>
    <row r="35" spans="1:15">
      <c r="A35" s="3">
        <v>3</v>
      </c>
      <c r="B35" s="3">
        <v>0</v>
      </c>
      <c r="C35" s="3">
        <v>92.4</v>
      </c>
      <c r="I35" s="11" t="s">
        <v>1206</v>
      </c>
      <c r="J35">
        <v>3</v>
      </c>
      <c r="K35">
        <f t="shared" si="8"/>
        <v>80.137046004842588</v>
      </c>
    </row>
    <row r="36" spans="1:15">
      <c r="A36" s="3">
        <v>3</v>
      </c>
      <c r="B36" s="3">
        <v>0</v>
      </c>
      <c r="C36" s="3">
        <v>92.7</v>
      </c>
    </row>
    <row r="37" spans="1:15">
      <c r="A37" s="3">
        <v>3</v>
      </c>
      <c r="B37" s="3">
        <v>0</v>
      </c>
      <c r="C37" s="3">
        <v>93.3</v>
      </c>
    </row>
    <row r="38" spans="1:15">
      <c r="A38" s="3">
        <v>2</v>
      </c>
      <c r="B38" s="3">
        <v>0</v>
      </c>
      <c r="C38" s="3">
        <v>93.4</v>
      </c>
      <c r="I38" t="s">
        <v>1221</v>
      </c>
    </row>
    <row r="39" spans="1:15">
      <c r="A39" s="3">
        <v>1</v>
      </c>
      <c r="B39" s="3">
        <v>1</v>
      </c>
      <c r="C39" s="3">
        <v>94.1</v>
      </c>
    </row>
    <row r="40" spans="1:15" ht="15" thickBot="1">
      <c r="A40" s="3">
        <v>1</v>
      </c>
      <c r="B40" s="3">
        <v>0</v>
      </c>
      <c r="C40" s="3">
        <v>95.1</v>
      </c>
      <c r="I40" t="s">
        <v>1222</v>
      </c>
    </row>
    <row r="41" spans="1:15">
      <c r="A41" s="3">
        <v>2</v>
      </c>
      <c r="B41" s="3">
        <v>0</v>
      </c>
      <c r="C41" s="3">
        <v>95.9</v>
      </c>
      <c r="I41" s="16" t="s">
        <v>1223</v>
      </c>
      <c r="J41" s="16" t="s">
        <v>1224</v>
      </c>
      <c r="K41" s="16" t="s">
        <v>1225</v>
      </c>
      <c r="L41" s="16" t="s">
        <v>1226</v>
      </c>
      <c r="M41" s="16" t="s">
        <v>1227</v>
      </c>
    </row>
    <row r="42" spans="1:15">
      <c r="A42" s="3">
        <v>1</v>
      </c>
      <c r="B42" s="3">
        <v>0</v>
      </c>
      <c r="C42" s="3">
        <v>96</v>
      </c>
      <c r="I42">
        <v>65</v>
      </c>
      <c r="J42">
        <v>313</v>
      </c>
      <c r="K42">
        <v>25713.099999999995</v>
      </c>
      <c r="L42">
        <v>82.150479233226818</v>
      </c>
      <c r="M42">
        <v>134.67443085934383</v>
      </c>
    </row>
    <row r="43" spans="1:15">
      <c r="A43" s="3">
        <v>2</v>
      </c>
      <c r="B43" s="3">
        <v>0</v>
      </c>
      <c r="C43" s="3">
        <v>96.4</v>
      </c>
      <c r="I43">
        <v>67.8</v>
      </c>
      <c r="J43">
        <v>352</v>
      </c>
      <c r="K43">
        <v>28271.100000000024</v>
      </c>
      <c r="L43">
        <v>80.315625000000068</v>
      </c>
      <c r="M43">
        <v>151.36645032050211</v>
      </c>
    </row>
    <row r="44" spans="1:15" ht="15" thickBot="1">
      <c r="A44" s="3">
        <v>3</v>
      </c>
      <c r="B44" s="3">
        <v>0</v>
      </c>
      <c r="C44" s="3">
        <v>101.2</v>
      </c>
      <c r="I44" s="15">
        <v>54.8</v>
      </c>
      <c r="J44" s="15">
        <v>412</v>
      </c>
      <c r="K44" s="15">
        <v>33041.799999999988</v>
      </c>
      <c r="L44" s="15">
        <v>80.19854368932036</v>
      </c>
      <c r="M44" s="15">
        <v>146.75065480831586</v>
      </c>
    </row>
    <row r="45" spans="1:15">
      <c r="A45" s="3">
        <v>3</v>
      </c>
      <c r="B45" s="3">
        <v>0</v>
      </c>
      <c r="C45" s="3">
        <v>101.4</v>
      </c>
    </row>
    <row r="46" spans="1:15">
      <c r="A46" s="3">
        <v>1</v>
      </c>
      <c r="B46" s="3">
        <v>0</v>
      </c>
      <c r="C46" s="3">
        <v>102</v>
      </c>
    </row>
    <row r="47" spans="1:15" ht="15" thickBot="1">
      <c r="A47" s="3">
        <v>3</v>
      </c>
      <c r="B47" s="3">
        <v>1</v>
      </c>
      <c r="C47" s="3">
        <v>55</v>
      </c>
      <c r="I47" t="s">
        <v>1228</v>
      </c>
    </row>
    <row r="48" spans="1:15">
      <c r="A48" s="3">
        <v>3</v>
      </c>
      <c r="B48" s="3">
        <v>0</v>
      </c>
      <c r="C48" s="3">
        <v>95</v>
      </c>
      <c r="I48" s="16" t="s">
        <v>1229</v>
      </c>
      <c r="J48" s="16" t="s">
        <v>1230</v>
      </c>
      <c r="K48" s="16" t="s">
        <v>1231</v>
      </c>
      <c r="L48" s="16" t="s">
        <v>1232</v>
      </c>
      <c r="M48" s="16" t="s">
        <v>1233</v>
      </c>
      <c r="N48" s="16" t="s">
        <v>1234</v>
      </c>
      <c r="O48" s="16" t="s">
        <v>1235</v>
      </c>
    </row>
    <row r="49" spans="1:15">
      <c r="A49" s="3">
        <v>2</v>
      </c>
      <c r="B49" s="3">
        <v>1</v>
      </c>
      <c r="C49" s="3">
        <v>60</v>
      </c>
      <c r="I49" t="s">
        <v>1236</v>
      </c>
      <c r="J49">
        <v>802.45640731253661</v>
      </c>
      <c r="K49">
        <v>2</v>
      </c>
      <c r="L49">
        <v>401.22820365626831</v>
      </c>
      <c r="M49">
        <v>2.7718511463970459</v>
      </c>
      <c r="N49">
        <v>6.299361608965981E-2</v>
      </c>
      <c r="O49">
        <v>3.0041038969315212</v>
      </c>
    </row>
    <row r="50" spans="1:15">
      <c r="A50" s="3">
        <v>2</v>
      </c>
      <c r="B50" s="3">
        <v>1</v>
      </c>
      <c r="C50" s="3">
        <v>70</v>
      </c>
      <c r="I50" t="s">
        <v>1237</v>
      </c>
      <c r="J50">
        <v>155462.56561682853</v>
      </c>
      <c r="K50">
        <v>1074</v>
      </c>
      <c r="L50">
        <v>144.75099219443999</v>
      </c>
    </row>
    <row r="51" spans="1:15">
      <c r="A51" s="3">
        <v>2</v>
      </c>
      <c r="B51" s="3">
        <v>1</v>
      </c>
      <c r="C51" s="3">
        <v>90</v>
      </c>
    </row>
    <row r="52" spans="1:15" ht="15" thickBot="1">
      <c r="A52" s="3">
        <v>1</v>
      </c>
      <c r="B52" s="3">
        <v>1</v>
      </c>
      <c r="C52" s="3">
        <v>48.5</v>
      </c>
      <c r="I52" s="15" t="s">
        <v>1209</v>
      </c>
      <c r="J52" s="15">
        <v>156265.02202414107</v>
      </c>
      <c r="K52" s="15">
        <v>1076</v>
      </c>
      <c r="L52" s="15"/>
      <c r="M52" s="15"/>
      <c r="N52" s="15"/>
      <c r="O52" s="15"/>
    </row>
    <row r="53" spans="1:15">
      <c r="A53" s="3">
        <v>1</v>
      </c>
      <c r="B53" s="3">
        <v>1</v>
      </c>
      <c r="C53" s="3">
        <v>50</v>
      </c>
    </row>
    <row r="54" spans="1:15">
      <c r="A54" s="3">
        <v>3</v>
      </c>
      <c r="B54" s="3">
        <v>1</v>
      </c>
      <c r="C54" s="3">
        <v>51.2</v>
      </c>
      <c r="I54" s="11" t="s">
        <v>1241</v>
      </c>
      <c r="J54" s="11" t="s">
        <v>1242</v>
      </c>
    </row>
    <row r="55" spans="1:15">
      <c r="A55" s="3">
        <v>2</v>
      </c>
      <c r="B55" s="3">
        <v>1</v>
      </c>
      <c r="C55" s="3">
        <v>51.2</v>
      </c>
    </row>
    <row r="56" spans="1:15">
      <c r="A56" s="3">
        <v>3</v>
      </c>
      <c r="B56" s="3">
        <v>1</v>
      </c>
      <c r="C56" s="3">
        <v>51.5</v>
      </c>
    </row>
    <row r="57" spans="1:15">
      <c r="A57" s="3">
        <v>3</v>
      </c>
      <c r="B57" s="3">
        <v>1</v>
      </c>
      <c r="C57" s="3">
        <v>51.7</v>
      </c>
    </row>
    <row r="58" spans="1:15">
      <c r="A58" s="3">
        <v>3</v>
      </c>
      <c r="B58" s="3">
        <v>1</v>
      </c>
      <c r="C58" s="3">
        <v>51.7</v>
      </c>
    </row>
    <row r="59" spans="1:15">
      <c r="A59" s="3">
        <v>3</v>
      </c>
      <c r="B59" s="3">
        <v>1</v>
      </c>
      <c r="C59" s="3">
        <v>52</v>
      </c>
    </row>
    <row r="60" spans="1:15">
      <c r="A60" s="3">
        <v>2</v>
      </c>
      <c r="B60" s="3">
        <v>1</v>
      </c>
      <c r="C60" s="3">
        <v>52.8</v>
      </c>
    </row>
    <row r="61" spans="1:15">
      <c r="A61" s="3">
        <v>2</v>
      </c>
      <c r="B61" s="3">
        <v>1</v>
      </c>
      <c r="C61" s="3">
        <v>52.8</v>
      </c>
    </row>
    <row r="62" spans="1:15">
      <c r="A62" s="3">
        <v>1</v>
      </c>
      <c r="B62" s="3">
        <v>1</v>
      </c>
      <c r="C62" s="3">
        <v>53.3</v>
      </c>
    </row>
    <row r="63" spans="1:15">
      <c r="A63" s="3">
        <v>2</v>
      </c>
      <c r="B63" s="3">
        <v>1</v>
      </c>
      <c r="C63" s="3">
        <v>53.6</v>
      </c>
    </row>
    <row r="64" spans="1:15">
      <c r="A64" s="3">
        <v>2</v>
      </c>
      <c r="B64" s="3">
        <v>1</v>
      </c>
      <c r="C64" s="3">
        <v>54</v>
      </c>
    </row>
    <row r="65" spans="1:3">
      <c r="A65" s="3">
        <v>1</v>
      </c>
      <c r="B65" s="3">
        <v>1</v>
      </c>
      <c r="C65" s="3">
        <v>54.5</v>
      </c>
    </row>
    <row r="66" spans="1:3">
      <c r="A66" s="3">
        <v>2</v>
      </c>
      <c r="B66" s="3">
        <v>1</v>
      </c>
      <c r="C66" s="3">
        <v>55</v>
      </c>
    </row>
    <row r="67" spans="1:3">
      <c r="A67" s="3">
        <v>3</v>
      </c>
      <c r="B67" s="3">
        <v>1</v>
      </c>
      <c r="C67" s="3">
        <v>55.4</v>
      </c>
    </row>
    <row r="68" spans="1:3">
      <c r="A68" s="3">
        <v>3</v>
      </c>
      <c r="B68" s="3">
        <v>0</v>
      </c>
      <c r="C68" s="3">
        <v>55.5</v>
      </c>
    </row>
    <row r="69" spans="1:3">
      <c r="A69" s="3">
        <v>1</v>
      </c>
      <c r="B69" s="3">
        <v>1</v>
      </c>
      <c r="C69" s="3">
        <v>55.5</v>
      </c>
    </row>
    <row r="70" spans="1:3">
      <c r="A70" s="3">
        <v>1</v>
      </c>
      <c r="B70" s="3">
        <v>1</v>
      </c>
      <c r="C70" s="3">
        <v>55.5</v>
      </c>
    </row>
    <row r="71" spans="1:3">
      <c r="A71" s="3">
        <v>2</v>
      </c>
      <c r="B71" s="3">
        <v>1</v>
      </c>
      <c r="C71" s="3">
        <v>55.6</v>
      </c>
    </row>
    <row r="72" spans="1:3">
      <c r="A72" s="3">
        <v>3</v>
      </c>
      <c r="B72" s="3">
        <v>1</v>
      </c>
      <c r="C72" s="3">
        <v>55.6</v>
      </c>
    </row>
    <row r="73" spans="1:3">
      <c r="A73" s="3">
        <v>3</v>
      </c>
      <c r="B73" s="3">
        <v>1</v>
      </c>
      <c r="C73" s="3">
        <v>55.8</v>
      </c>
    </row>
    <row r="74" spans="1:3">
      <c r="A74" s="3">
        <v>2</v>
      </c>
      <c r="B74" s="3">
        <v>1</v>
      </c>
      <c r="C74" s="3">
        <v>55.9</v>
      </c>
    </row>
    <row r="75" spans="1:3">
      <c r="A75" s="3">
        <v>3</v>
      </c>
      <c r="B75" s="3">
        <v>1</v>
      </c>
      <c r="C75" s="3">
        <v>56.2</v>
      </c>
    </row>
    <row r="76" spans="1:3">
      <c r="A76" s="3">
        <v>2</v>
      </c>
      <c r="B76" s="3">
        <v>1</v>
      </c>
      <c r="C76" s="3">
        <v>56.4</v>
      </c>
    </row>
    <row r="77" spans="1:3">
      <c r="A77" s="3">
        <v>2</v>
      </c>
      <c r="B77" s="3">
        <v>1</v>
      </c>
      <c r="C77" s="3">
        <v>56.6</v>
      </c>
    </row>
    <row r="78" spans="1:3">
      <c r="A78" s="3">
        <v>3</v>
      </c>
      <c r="B78" s="3">
        <v>1</v>
      </c>
      <c r="C78" s="3">
        <v>57</v>
      </c>
    </row>
    <row r="79" spans="1:3">
      <c r="A79" s="3">
        <v>1</v>
      </c>
      <c r="B79" s="3">
        <v>1</v>
      </c>
      <c r="C79" s="3">
        <v>57</v>
      </c>
    </row>
    <row r="80" spans="1:3">
      <c r="A80" s="3">
        <v>2</v>
      </c>
      <c r="B80" s="3">
        <v>1</v>
      </c>
      <c r="C80" s="3">
        <v>57.3</v>
      </c>
    </row>
    <row r="81" spans="1:3">
      <c r="A81" s="3">
        <v>3</v>
      </c>
      <c r="B81" s="3">
        <v>1</v>
      </c>
      <c r="C81" s="3">
        <v>57.8</v>
      </c>
    </row>
    <row r="82" spans="1:3">
      <c r="A82" s="3">
        <v>3</v>
      </c>
      <c r="B82" s="3">
        <v>1</v>
      </c>
      <c r="C82" s="3">
        <v>57.8</v>
      </c>
    </row>
    <row r="83" spans="1:3">
      <c r="A83" s="3">
        <v>2</v>
      </c>
      <c r="B83" s="3">
        <v>1</v>
      </c>
      <c r="C83" s="3">
        <v>57.9</v>
      </c>
    </row>
    <row r="84" spans="1:3">
      <c r="A84" s="3">
        <v>3</v>
      </c>
      <c r="B84" s="3">
        <v>1</v>
      </c>
      <c r="C84" s="3">
        <v>58</v>
      </c>
    </row>
    <row r="85" spans="1:3">
      <c r="A85" s="3">
        <v>3</v>
      </c>
      <c r="B85" s="3">
        <v>1</v>
      </c>
      <c r="C85" s="3">
        <v>58.1</v>
      </c>
    </row>
    <row r="86" spans="1:3">
      <c r="A86" s="3">
        <v>2</v>
      </c>
      <c r="B86" s="3">
        <v>1</v>
      </c>
      <c r="C86" s="3">
        <v>58.2</v>
      </c>
    </row>
    <row r="87" spans="1:3">
      <c r="A87" s="3">
        <v>2</v>
      </c>
      <c r="B87" s="3">
        <v>1</v>
      </c>
      <c r="C87" s="3">
        <v>58.3</v>
      </c>
    </row>
    <row r="88" spans="1:3">
      <c r="A88" s="3">
        <v>2</v>
      </c>
      <c r="B88" s="3">
        <v>1</v>
      </c>
      <c r="C88" s="3">
        <v>58.3</v>
      </c>
    </row>
    <row r="89" spans="1:3">
      <c r="A89" s="3">
        <v>2</v>
      </c>
      <c r="B89" s="3">
        <v>1</v>
      </c>
      <c r="C89" s="3">
        <v>58.4</v>
      </c>
    </row>
    <row r="90" spans="1:3">
      <c r="A90" s="3">
        <v>3</v>
      </c>
      <c r="B90" s="3">
        <v>1</v>
      </c>
      <c r="C90" s="3">
        <v>58.5</v>
      </c>
    </row>
    <row r="91" spans="1:3">
      <c r="A91" s="3">
        <v>1</v>
      </c>
      <c r="B91" s="3">
        <v>1</v>
      </c>
      <c r="C91" s="3">
        <v>58.5</v>
      </c>
    </row>
    <row r="92" spans="1:3">
      <c r="A92" s="3">
        <v>2</v>
      </c>
      <c r="B92" s="3">
        <v>1</v>
      </c>
      <c r="C92" s="3">
        <v>58.6</v>
      </c>
    </row>
    <row r="93" spans="1:3">
      <c r="A93" s="3">
        <v>2</v>
      </c>
      <c r="B93" s="3">
        <v>1</v>
      </c>
      <c r="C93" s="3">
        <v>58.7</v>
      </c>
    </row>
    <row r="94" spans="1:3">
      <c r="A94" s="3">
        <v>2</v>
      </c>
      <c r="B94" s="3">
        <v>1</v>
      </c>
      <c r="C94" s="3">
        <v>58.8</v>
      </c>
    </row>
    <row r="95" spans="1:3">
      <c r="A95" s="3">
        <v>3</v>
      </c>
      <c r="B95" s="3">
        <v>1</v>
      </c>
      <c r="C95" s="3">
        <v>59</v>
      </c>
    </row>
    <row r="96" spans="1:3">
      <c r="A96" s="3">
        <v>1</v>
      </c>
      <c r="B96" s="3">
        <v>0</v>
      </c>
      <c r="C96" s="3">
        <v>59</v>
      </c>
    </row>
    <row r="97" spans="1:3">
      <c r="A97" s="3">
        <v>3</v>
      </c>
      <c r="B97" s="3">
        <v>1</v>
      </c>
      <c r="C97" s="3">
        <v>59.1</v>
      </c>
    </row>
    <row r="98" spans="1:3">
      <c r="A98" s="3">
        <v>2</v>
      </c>
      <c r="B98" s="3">
        <v>1</v>
      </c>
      <c r="C98" s="3">
        <v>59.2</v>
      </c>
    </row>
    <row r="99" spans="1:3">
      <c r="A99" s="3">
        <v>3</v>
      </c>
      <c r="B99" s="3">
        <v>1</v>
      </c>
      <c r="C99" s="3">
        <v>59.3</v>
      </c>
    </row>
    <row r="100" spans="1:3">
      <c r="A100" s="3">
        <v>1</v>
      </c>
      <c r="B100" s="3">
        <v>1</v>
      </c>
      <c r="C100" s="3">
        <v>59.4</v>
      </c>
    </row>
    <row r="101" spans="1:3">
      <c r="A101" s="3">
        <v>3</v>
      </c>
      <c r="B101" s="3">
        <v>1</v>
      </c>
      <c r="C101" s="3">
        <v>59.4</v>
      </c>
    </row>
    <row r="102" spans="1:3">
      <c r="A102" s="3">
        <v>2</v>
      </c>
      <c r="B102" s="3">
        <v>1</v>
      </c>
      <c r="C102" s="3">
        <v>59.5</v>
      </c>
    </row>
    <row r="103" spans="1:3">
      <c r="A103" s="3">
        <v>3</v>
      </c>
      <c r="B103" s="3">
        <v>1</v>
      </c>
      <c r="C103" s="3">
        <v>59.5</v>
      </c>
    </row>
    <row r="104" spans="1:3">
      <c r="A104" s="3">
        <v>2</v>
      </c>
      <c r="B104" s="3">
        <v>1</v>
      </c>
      <c r="C104" s="3">
        <v>59.5</v>
      </c>
    </row>
    <row r="105" spans="1:3">
      <c r="A105" s="3">
        <v>2</v>
      </c>
      <c r="B105" s="3">
        <v>1</v>
      </c>
      <c r="C105" s="3">
        <v>59.8</v>
      </c>
    </row>
    <row r="106" spans="1:3">
      <c r="A106" s="3">
        <v>1</v>
      </c>
      <c r="B106" s="3">
        <v>1</v>
      </c>
      <c r="C106" s="3">
        <v>59.8</v>
      </c>
    </row>
    <row r="107" spans="1:3">
      <c r="A107" s="3">
        <v>2</v>
      </c>
      <c r="B107" s="3">
        <v>1</v>
      </c>
      <c r="C107" s="3">
        <v>59.9</v>
      </c>
    </row>
    <row r="108" spans="1:3">
      <c r="A108" s="3">
        <v>2</v>
      </c>
      <c r="B108" s="3">
        <v>1</v>
      </c>
      <c r="C108" s="3">
        <v>60</v>
      </c>
    </row>
    <row r="109" spans="1:3">
      <c r="A109" s="3">
        <v>3</v>
      </c>
      <c r="B109" s="3">
        <v>1</v>
      </c>
      <c r="C109" s="3">
        <v>60</v>
      </c>
    </row>
    <row r="110" spans="1:3">
      <c r="A110" s="3">
        <v>3</v>
      </c>
      <c r="B110" s="3">
        <v>1</v>
      </c>
      <c r="C110" s="3">
        <v>60.1</v>
      </c>
    </row>
    <row r="111" spans="1:3">
      <c r="A111" s="3">
        <v>2</v>
      </c>
      <c r="B111" s="3">
        <v>1</v>
      </c>
      <c r="C111" s="3">
        <v>60.1</v>
      </c>
    </row>
    <row r="112" spans="1:3">
      <c r="A112" s="3">
        <v>2</v>
      </c>
      <c r="B112" s="3">
        <v>1</v>
      </c>
      <c r="C112" s="3">
        <v>60.2</v>
      </c>
    </row>
    <row r="113" spans="1:3">
      <c r="A113" s="3">
        <v>3</v>
      </c>
      <c r="B113" s="3">
        <v>1</v>
      </c>
      <c r="C113" s="3">
        <v>60.3</v>
      </c>
    </row>
    <row r="114" spans="1:3">
      <c r="A114" s="3">
        <v>3</v>
      </c>
      <c r="B114" s="3">
        <v>1</v>
      </c>
      <c r="C114" s="3">
        <v>60.4</v>
      </c>
    </row>
    <row r="115" spans="1:3">
      <c r="A115" s="3">
        <v>2</v>
      </c>
      <c r="B115" s="3">
        <v>1</v>
      </c>
      <c r="C115" s="3">
        <v>60.4</v>
      </c>
    </row>
    <row r="116" spans="1:3">
      <c r="A116" s="3">
        <v>1</v>
      </c>
      <c r="B116" s="3">
        <v>1</v>
      </c>
      <c r="C116" s="3">
        <v>60.5</v>
      </c>
    </row>
    <row r="117" spans="1:3">
      <c r="A117" s="3">
        <v>2</v>
      </c>
      <c r="B117" s="3">
        <v>1</v>
      </c>
      <c r="C117" s="3">
        <v>60.8</v>
      </c>
    </row>
    <row r="118" spans="1:3">
      <c r="A118" s="3">
        <v>3</v>
      </c>
      <c r="B118" s="3">
        <v>1</v>
      </c>
      <c r="C118" s="3">
        <v>61</v>
      </c>
    </row>
    <row r="119" spans="1:3">
      <c r="A119" s="3">
        <v>3</v>
      </c>
      <c r="B119" s="3">
        <v>1</v>
      </c>
      <c r="C119" s="3">
        <v>61</v>
      </c>
    </row>
    <row r="120" spans="1:3">
      <c r="A120" s="3">
        <v>3</v>
      </c>
      <c r="B120" s="3">
        <v>1</v>
      </c>
      <c r="C120" s="3">
        <v>61.1</v>
      </c>
    </row>
    <row r="121" spans="1:3">
      <c r="A121" s="3">
        <v>3</v>
      </c>
      <c r="B121" s="3">
        <v>1</v>
      </c>
      <c r="C121" s="3">
        <v>61.2</v>
      </c>
    </row>
    <row r="122" spans="1:3">
      <c r="A122" s="3">
        <v>3</v>
      </c>
      <c r="B122" s="3">
        <v>1</v>
      </c>
      <c r="C122" s="3">
        <v>61.2</v>
      </c>
    </row>
    <row r="123" spans="1:3">
      <c r="A123" s="3">
        <v>3</v>
      </c>
      <c r="B123" s="3">
        <v>1</v>
      </c>
      <c r="C123" s="3">
        <v>61.3</v>
      </c>
    </row>
    <row r="124" spans="1:3">
      <c r="A124" s="3">
        <v>2</v>
      </c>
      <c r="B124" s="3">
        <v>1</v>
      </c>
      <c r="C124" s="3">
        <v>61.3</v>
      </c>
    </row>
    <row r="125" spans="1:3">
      <c r="A125" s="3">
        <v>2</v>
      </c>
      <c r="B125" s="3">
        <v>1</v>
      </c>
      <c r="C125" s="3">
        <v>61.4</v>
      </c>
    </row>
    <row r="126" spans="1:3">
      <c r="A126" s="3">
        <v>3</v>
      </c>
      <c r="B126" s="3">
        <v>1</v>
      </c>
      <c r="C126" s="3">
        <v>61.5</v>
      </c>
    </row>
    <row r="127" spans="1:3">
      <c r="A127" s="3">
        <v>2</v>
      </c>
      <c r="B127" s="3">
        <v>1</v>
      </c>
      <c r="C127" s="3">
        <v>61.5</v>
      </c>
    </row>
    <row r="128" spans="1:3">
      <c r="A128" s="3">
        <v>1</v>
      </c>
      <c r="B128" s="3">
        <v>1</v>
      </c>
      <c r="C128" s="3">
        <v>61.5</v>
      </c>
    </row>
    <row r="129" spans="1:3">
      <c r="A129" s="3">
        <v>3</v>
      </c>
      <c r="B129" s="3">
        <v>1</v>
      </c>
      <c r="C129" s="3">
        <v>61.7</v>
      </c>
    </row>
    <row r="130" spans="1:3">
      <c r="A130" s="3">
        <v>1</v>
      </c>
      <c r="B130" s="3">
        <v>1</v>
      </c>
      <c r="C130" s="3">
        <v>61.8</v>
      </c>
    </row>
    <row r="131" spans="1:3">
      <c r="A131" s="3">
        <v>2</v>
      </c>
      <c r="B131" s="3">
        <v>1</v>
      </c>
      <c r="C131" s="3">
        <v>61.9</v>
      </c>
    </row>
    <row r="132" spans="1:3">
      <c r="A132" s="3">
        <v>2</v>
      </c>
      <c r="B132" s="3">
        <v>1</v>
      </c>
      <c r="C132" s="3">
        <v>61.9</v>
      </c>
    </row>
    <row r="133" spans="1:3">
      <c r="A133" s="3">
        <v>3</v>
      </c>
      <c r="B133" s="3">
        <v>1</v>
      </c>
      <c r="C133" s="3">
        <v>61.9</v>
      </c>
    </row>
    <row r="134" spans="1:3">
      <c r="A134" s="3">
        <v>3</v>
      </c>
      <c r="B134" s="3">
        <v>1</v>
      </c>
      <c r="C134" s="3">
        <v>62</v>
      </c>
    </row>
    <row r="135" spans="1:3">
      <c r="A135" s="3">
        <v>2</v>
      </c>
      <c r="B135" s="3">
        <v>1</v>
      </c>
      <c r="C135" s="3">
        <v>62</v>
      </c>
    </row>
    <row r="136" spans="1:3">
      <c r="A136" s="3">
        <v>2</v>
      </c>
      <c r="B136" s="3">
        <v>1</v>
      </c>
      <c r="C136" s="3">
        <v>62.1</v>
      </c>
    </row>
    <row r="137" spans="1:3">
      <c r="A137" s="3">
        <v>1</v>
      </c>
      <c r="B137" s="3">
        <v>1</v>
      </c>
      <c r="C137" s="3">
        <v>62.2</v>
      </c>
    </row>
    <row r="138" spans="1:3">
      <c r="A138" s="3">
        <v>1</v>
      </c>
      <c r="B138" s="3">
        <v>1</v>
      </c>
      <c r="C138" s="3">
        <v>62.7</v>
      </c>
    </row>
    <row r="139" spans="1:3">
      <c r="A139" s="3">
        <v>3</v>
      </c>
      <c r="B139" s="3">
        <v>1</v>
      </c>
      <c r="C139" s="3">
        <v>62.8</v>
      </c>
    </row>
    <row r="140" spans="1:3">
      <c r="A140" s="3">
        <v>1</v>
      </c>
      <c r="B140" s="3">
        <v>1</v>
      </c>
      <c r="C140" s="3">
        <v>63</v>
      </c>
    </row>
    <row r="141" spans="1:3">
      <c r="A141" s="3">
        <v>2</v>
      </c>
      <c r="B141" s="3">
        <v>1</v>
      </c>
      <c r="C141" s="3">
        <v>63</v>
      </c>
    </row>
    <row r="142" spans="1:3">
      <c r="A142" s="3">
        <v>3</v>
      </c>
      <c r="B142" s="3">
        <v>1</v>
      </c>
      <c r="C142" s="3">
        <v>63</v>
      </c>
    </row>
    <row r="143" spans="1:3">
      <c r="A143" s="3">
        <v>3</v>
      </c>
      <c r="B143" s="3">
        <v>1</v>
      </c>
      <c r="C143" s="3">
        <v>63</v>
      </c>
    </row>
    <row r="144" spans="1:3">
      <c r="A144" s="3">
        <v>1</v>
      </c>
      <c r="B144" s="3">
        <v>1</v>
      </c>
      <c r="C144" s="3">
        <v>63.2</v>
      </c>
    </row>
    <row r="145" spans="1:3">
      <c r="A145" s="3">
        <v>3</v>
      </c>
      <c r="B145" s="3">
        <v>1</v>
      </c>
      <c r="C145" s="3">
        <v>63.2</v>
      </c>
    </row>
    <row r="146" spans="1:3">
      <c r="A146" s="3">
        <v>2</v>
      </c>
      <c r="B146" s="3">
        <v>1</v>
      </c>
      <c r="C146" s="3">
        <v>63.5</v>
      </c>
    </row>
    <row r="147" spans="1:3">
      <c r="A147" s="3">
        <v>2</v>
      </c>
      <c r="B147" s="3">
        <v>1</v>
      </c>
      <c r="C147" s="3">
        <v>63.5</v>
      </c>
    </row>
    <row r="148" spans="1:3">
      <c r="A148" s="3">
        <v>1</v>
      </c>
      <c r="B148" s="3">
        <v>0</v>
      </c>
      <c r="C148" s="3">
        <v>63.5</v>
      </c>
    </row>
    <row r="149" spans="1:3">
      <c r="A149" s="3">
        <v>2</v>
      </c>
      <c r="B149" s="3">
        <v>1</v>
      </c>
      <c r="C149" s="3">
        <v>63.6</v>
      </c>
    </row>
    <row r="150" spans="1:3">
      <c r="A150" s="3">
        <v>2</v>
      </c>
      <c r="B150" s="3">
        <v>1</v>
      </c>
      <c r="C150" s="3">
        <v>63.9</v>
      </c>
    </row>
    <row r="151" spans="1:3">
      <c r="A151" s="3">
        <v>3</v>
      </c>
      <c r="B151" s="3">
        <v>1</v>
      </c>
      <c r="C151" s="3">
        <v>64.2</v>
      </c>
    </row>
    <row r="152" spans="1:3">
      <c r="A152" s="3">
        <v>2</v>
      </c>
      <c r="B152" s="3">
        <v>1</v>
      </c>
      <c r="C152" s="3">
        <v>64.3</v>
      </c>
    </row>
    <row r="153" spans="1:3">
      <c r="A153" s="3">
        <v>1</v>
      </c>
      <c r="B153" s="3">
        <v>1</v>
      </c>
      <c r="C153" s="3">
        <v>64.5</v>
      </c>
    </row>
    <row r="154" spans="1:3">
      <c r="A154" s="3">
        <v>2</v>
      </c>
      <c r="B154" s="3">
        <v>1</v>
      </c>
      <c r="C154" s="3">
        <v>64.5</v>
      </c>
    </row>
    <row r="155" spans="1:3">
      <c r="A155" s="3">
        <v>3</v>
      </c>
      <c r="B155" s="3">
        <v>1</v>
      </c>
      <c r="C155" s="3">
        <v>64.5</v>
      </c>
    </row>
    <row r="156" spans="1:3">
      <c r="A156" s="3">
        <v>2</v>
      </c>
      <c r="B156" s="3">
        <v>1</v>
      </c>
      <c r="C156" s="3">
        <v>64.599999999999994</v>
      </c>
    </row>
    <row r="157" spans="1:3">
      <c r="A157" s="3">
        <v>1</v>
      </c>
      <c r="B157" s="3">
        <v>1</v>
      </c>
      <c r="C157" s="3">
        <v>64.599999999999994</v>
      </c>
    </row>
    <row r="158" spans="1:3">
      <c r="A158" s="3">
        <v>1</v>
      </c>
      <c r="B158" s="3">
        <v>1</v>
      </c>
      <c r="C158" s="3">
        <v>64.8</v>
      </c>
    </row>
    <row r="159" spans="1:3">
      <c r="A159" s="3">
        <v>3</v>
      </c>
      <c r="B159" s="3">
        <v>1</v>
      </c>
      <c r="C159" s="3">
        <v>64.900000000000006</v>
      </c>
    </row>
    <row r="160" spans="1:3">
      <c r="A160" s="3">
        <v>3</v>
      </c>
      <c r="B160" s="3">
        <v>1</v>
      </c>
      <c r="C160" s="3">
        <v>64.900000000000006</v>
      </c>
    </row>
    <row r="161" spans="1:3">
      <c r="A161" s="3">
        <v>3</v>
      </c>
      <c r="B161" s="3">
        <v>1</v>
      </c>
      <c r="C161" s="3">
        <v>65</v>
      </c>
    </row>
    <row r="162" spans="1:3">
      <c r="A162" s="3">
        <v>3</v>
      </c>
      <c r="B162" s="3">
        <v>1</v>
      </c>
      <c r="C162" s="3">
        <v>65</v>
      </c>
    </row>
    <row r="163" spans="1:3">
      <c r="A163" s="3">
        <v>1</v>
      </c>
      <c r="B163" s="3">
        <v>1</v>
      </c>
      <c r="C163" s="3">
        <v>65.099999999999994</v>
      </c>
    </row>
    <row r="164" spans="1:3">
      <c r="A164" s="3">
        <v>1</v>
      </c>
      <c r="B164" s="3">
        <v>1</v>
      </c>
      <c r="C164" s="3">
        <v>65.2</v>
      </c>
    </row>
    <row r="165" spans="1:3">
      <c r="A165" s="3">
        <v>2</v>
      </c>
      <c r="B165" s="3">
        <v>1</v>
      </c>
      <c r="C165" s="3">
        <v>65.2</v>
      </c>
    </row>
    <row r="166" spans="1:3">
      <c r="A166" s="3">
        <v>1</v>
      </c>
      <c r="B166" s="3">
        <v>1</v>
      </c>
      <c r="C166" s="3">
        <v>65.3</v>
      </c>
    </row>
    <row r="167" spans="1:3">
      <c r="A167" s="3">
        <v>3</v>
      </c>
      <c r="B167" s="3">
        <v>1</v>
      </c>
      <c r="C167" s="3">
        <v>65.3</v>
      </c>
    </row>
    <row r="168" spans="1:3">
      <c r="A168" s="3">
        <v>3</v>
      </c>
      <c r="B168" s="3">
        <v>1</v>
      </c>
      <c r="C168" s="3">
        <v>65.5</v>
      </c>
    </row>
    <row r="169" spans="1:3">
      <c r="A169" s="3">
        <v>2</v>
      </c>
      <c r="B169" s="3">
        <v>1</v>
      </c>
      <c r="C169" s="3">
        <v>65.599999999999994</v>
      </c>
    </row>
    <row r="170" spans="1:3">
      <c r="A170" s="3">
        <v>3</v>
      </c>
      <c r="B170" s="3">
        <v>1</v>
      </c>
      <c r="C170" s="3">
        <v>65.599999999999994</v>
      </c>
    </row>
    <row r="171" spans="1:3">
      <c r="A171" s="3">
        <v>1</v>
      </c>
      <c r="B171" s="3">
        <v>1</v>
      </c>
      <c r="C171" s="3">
        <v>65.7</v>
      </c>
    </row>
    <row r="172" spans="1:3">
      <c r="A172" s="3">
        <v>2</v>
      </c>
      <c r="B172" s="3">
        <v>1</v>
      </c>
      <c r="C172" s="3">
        <v>65.7</v>
      </c>
    </row>
    <row r="173" spans="1:3">
      <c r="A173" s="3">
        <v>3</v>
      </c>
      <c r="B173" s="3">
        <v>1</v>
      </c>
      <c r="C173" s="3">
        <v>65.8</v>
      </c>
    </row>
    <row r="174" spans="1:3">
      <c r="A174" s="3">
        <v>2</v>
      </c>
      <c r="B174" s="3">
        <v>1</v>
      </c>
      <c r="C174" s="3">
        <v>65.900000000000006</v>
      </c>
    </row>
    <row r="175" spans="1:3">
      <c r="A175" s="3">
        <v>2</v>
      </c>
      <c r="B175" s="3">
        <v>1</v>
      </c>
      <c r="C175" s="3">
        <v>65.900000000000006</v>
      </c>
    </row>
    <row r="176" spans="1:3">
      <c r="A176" s="3">
        <v>1</v>
      </c>
      <c r="B176" s="3">
        <v>1</v>
      </c>
      <c r="C176" s="3">
        <v>66</v>
      </c>
    </row>
    <row r="177" spans="1:3">
      <c r="A177" s="3">
        <v>3</v>
      </c>
      <c r="B177" s="3">
        <v>1</v>
      </c>
      <c r="C177" s="3">
        <v>66</v>
      </c>
    </row>
    <row r="178" spans="1:3">
      <c r="A178" s="3">
        <v>3</v>
      </c>
      <c r="B178" s="3">
        <v>1</v>
      </c>
      <c r="C178" s="3">
        <v>66</v>
      </c>
    </row>
    <row r="179" spans="1:3">
      <c r="A179" s="3">
        <v>2</v>
      </c>
      <c r="B179" s="3">
        <v>1</v>
      </c>
      <c r="C179" s="3">
        <v>66</v>
      </c>
    </row>
    <row r="180" spans="1:3">
      <c r="A180" s="3">
        <v>3</v>
      </c>
      <c r="B180" s="3">
        <v>1</v>
      </c>
      <c r="C180" s="3">
        <v>66</v>
      </c>
    </row>
    <row r="181" spans="1:3">
      <c r="A181" s="3">
        <v>3</v>
      </c>
      <c r="B181" s="3">
        <v>1</v>
      </c>
      <c r="C181" s="3">
        <v>66.099999999999994</v>
      </c>
    </row>
    <row r="182" spans="1:3">
      <c r="A182" s="3">
        <v>1</v>
      </c>
      <c r="B182" s="3">
        <v>1</v>
      </c>
      <c r="C182" s="3">
        <v>66.2</v>
      </c>
    </row>
    <row r="183" spans="1:3">
      <c r="A183" s="3">
        <v>3</v>
      </c>
      <c r="B183" s="3">
        <v>1</v>
      </c>
      <c r="C183" s="3">
        <v>66.3</v>
      </c>
    </row>
    <row r="184" spans="1:3">
      <c r="A184" s="3">
        <v>3</v>
      </c>
      <c r="B184" s="3">
        <v>1</v>
      </c>
      <c r="C184" s="3">
        <v>66.400000000000006</v>
      </c>
    </row>
    <row r="185" spans="1:3">
      <c r="A185" s="3">
        <v>1</v>
      </c>
      <c r="B185" s="3">
        <v>1</v>
      </c>
      <c r="C185" s="3">
        <v>66.5</v>
      </c>
    </row>
    <row r="186" spans="1:3">
      <c r="A186" s="3">
        <v>2</v>
      </c>
      <c r="B186" s="3">
        <v>1</v>
      </c>
      <c r="C186" s="3">
        <v>66.5</v>
      </c>
    </row>
    <row r="187" spans="1:3">
      <c r="A187" s="3">
        <v>2</v>
      </c>
      <c r="B187" s="3">
        <v>1</v>
      </c>
      <c r="C187" s="3">
        <v>66.5</v>
      </c>
    </row>
    <row r="188" spans="1:3">
      <c r="A188" s="3">
        <v>1</v>
      </c>
      <c r="B188" s="3">
        <v>1</v>
      </c>
      <c r="C188" s="3">
        <v>66.5</v>
      </c>
    </row>
    <row r="189" spans="1:3">
      <c r="A189" s="3">
        <v>2</v>
      </c>
      <c r="B189" s="3">
        <v>1</v>
      </c>
      <c r="C189" s="3">
        <v>66.7</v>
      </c>
    </row>
    <row r="190" spans="1:3">
      <c r="A190" s="3">
        <v>2</v>
      </c>
      <c r="B190" s="3">
        <v>1</v>
      </c>
      <c r="C190" s="3">
        <v>66.7</v>
      </c>
    </row>
    <row r="191" spans="1:3">
      <c r="A191" s="3">
        <v>2</v>
      </c>
      <c r="B191" s="3">
        <v>0</v>
      </c>
      <c r="C191" s="3">
        <v>66.7</v>
      </c>
    </row>
    <row r="192" spans="1:3">
      <c r="A192" s="3">
        <v>3</v>
      </c>
      <c r="B192" s="3">
        <v>1</v>
      </c>
      <c r="C192" s="3">
        <v>66.8</v>
      </c>
    </row>
    <row r="193" spans="1:3">
      <c r="A193" s="3">
        <v>3</v>
      </c>
      <c r="B193" s="3">
        <v>0</v>
      </c>
      <c r="C193" s="3">
        <v>66.8</v>
      </c>
    </row>
    <row r="194" spans="1:3">
      <c r="A194" s="3">
        <v>2</v>
      </c>
      <c r="B194" s="3">
        <v>1</v>
      </c>
      <c r="C194" s="3">
        <v>66.8</v>
      </c>
    </row>
    <row r="195" spans="1:3">
      <c r="A195" s="3">
        <v>2</v>
      </c>
      <c r="B195" s="3">
        <v>1</v>
      </c>
      <c r="C195" s="3">
        <v>66.8</v>
      </c>
    </row>
    <row r="196" spans="1:3">
      <c r="A196" s="3">
        <v>3</v>
      </c>
      <c r="B196" s="3">
        <v>1</v>
      </c>
      <c r="C196" s="3">
        <v>67</v>
      </c>
    </row>
    <row r="197" spans="1:3">
      <c r="A197" s="3">
        <v>2</v>
      </c>
      <c r="B197" s="3">
        <v>1</v>
      </c>
      <c r="C197" s="3">
        <v>67</v>
      </c>
    </row>
    <row r="198" spans="1:3">
      <c r="A198" s="3">
        <v>1</v>
      </c>
      <c r="B198" s="3">
        <v>1</v>
      </c>
      <c r="C198" s="3">
        <v>67</v>
      </c>
    </row>
    <row r="199" spans="1:3">
      <c r="A199" s="3">
        <v>1</v>
      </c>
      <c r="B199" s="3">
        <v>1</v>
      </c>
      <c r="C199" s="3">
        <v>67</v>
      </c>
    </row>
    <row r="200" spans="1:3">
      <c r="A200" s="3">
        <v>2</v>
      </c>
      <c r="B200" s="3">
        <v>1</v>
      </c>
      <c r="C200" s="3">
        <v>67.099999999999994</v>
      </c>
    </row>
    <row r="201" spans="1:3">
      <c r="A201" s="3">
        <v>1</v>
      </c>
      <c r="B201" s="3">
        <v>1</v>
      </c>
      <c r="C201" s="3">
        <v>67.2</v>
      </c>
    </row>
    <row r="202" spans="1:3">
      <c r="A202" s="3">
        <v>2</v>
      </c>
      <c r="B202" s="3">
        <v>1</v>
      </c>
      <c r="C202" s="3">
        <v>67.2</v>
      </c>
    </row>
    <row r="203" spans="1:3">
      <c r="A203" s="3">
        <v>1</v>
      </c>
      <c r="B203" s="3">
        <v>1</v>
      </c>
      <c r="C203" s="3">
        <v>67.3</v>
      </c>
    </row>
    <row r="204" spans="1:3">
      <c r="A204" s="3">
        <v>3</v>
      </c>
      <c r="B204" s="3">
        <v>1</v>
      </c>
      <c r="C204" s="3">
        <v>67.3</v>
      </c>
    </row>
    <row r="205" spans="1:3">
      <c r="A205" s="3">
        <v>3</v>
      </c>
      <c r="B205" s="3">
        <v>1</v>
      </c>
      <c r="C205" s="3">
        <v>67.3</v>
      </c>
    </row>
    <row r="206" spans="1:3">
      <c r="A206" s="3">
        <v>2</v>
      </c>
      <c r="B206" s="3">
        <v>1</v>
      </c>
      <c r="C206" s="3">
        <v>67.400000000000006</v>
      </c>
    </row>
    <row r="207" spans="1:3">
      <c r="A207" s="3">
        <v>3</v>
      </c>
      <c r="B207" s="3">
        <v>1</v>
      </c>
      <c r="C207" s="3">
        <v>67.5</v>
      </c>
    </row>
    <row r="208" spans="1:3">
      <c r="A208" s="3">
        <v>1</v>
      </c>
      <c r="B208" s="3">
        <v>1</v>
      </c>
      <c r="C208" s="3">
        <v>67.5</v>
      </c>
    </row>
    <row r="209" spans="1:3">
      <c r="A209" s="3">
        <v>3</v>
      </c>
      <c r="B209" s="3">
        <v>1</v>
      </c>
      <c r="C209" s="3">
        <v>67.599999999999994</v>
      </c>
    </row>
    <row r="210" spans="1:3">
      <c r="A210" s="3">
        <v>3</v>
      </c>
      <c r="B210" s="3">
        <v>1</v>
      </c>
      <c r="C210" s="3">
        <v>67.599999999999994</v>
      </c>
    </row>
    <row r="211" spans="1:3">
      <c r="A211" s="3">
        <v>1</v>
      </c>
      <c r="B211" s="3">
        <v>1</v>
      </c>
      <c r="C211" s="3">
        <v>67.8</v>
      </c>
    </row>
    <row r="212" spans="1:3">
      <c r="A212" s="3">
        <v>3</v>
      </c>
      <c r="B212" s="3">
        <v>1</v>
      </c>
      <c r="C212" s="3">
        <v>67.900000000000006</v>
      </c>
    </row>
    <row r="213" spans="1:3">
      <c r="A213" s="3">
        <v>3</v>
      </c>
      <c r="B213" s="3">
        <v>1</v>
      </c>
      <c r="C213" s="3">
        <v>68.099999999999994</v>
      </c>
    </row>
    <row r="214" spans="1:3">
      <c r="A214" s="3">
        <v>2</v>
      </c>
      <c r="B214" s="3">
        <v>1</v>
      </c>
      <c r="C214" s="3">
        <v>68.099999999999994</v>
      </c>
    </row>
    <row r="215" spans="1:3">
      <c r="A215" s="3">
        <v>2</v>
      </c>
      <c r="B215" s="3">
        <v>1</v>
      </c>
      <c r="C215" s="3">
        <v>68.2</v>
      </c>
    </row>
    <row r="216" spans="1:3">
      <c r="A216" s="3">
        <v>1</v>
      </c>
      <c r="B216" s="3">
        <v>1</v>
      </c>
      <c r="C216" s="3">
        <v>68.2</v>
      </c>
    </row>
    <row r="217" spans="1:3">
      <c r="A217" s="3">
        <v>2</v>
      </c>
      <c r="B217" s="3">
        <v>1</v>
      </c>
      <c r="C217" s="3">
        <v>68.400000000000006</v>
      </c>
    </row>
    <row r="218" spans="1:3">
      <c r="A218" s="3">
        <v>3</v>
      </c>
      <c r="B218" s="3">
        <v>1</v>
      </c>
      <c r="C218" s="3">
        <v>68.400000000000006</v>
      </c>
    </row>
    <row r="219" spans="1:3">
      <c r="A219" s="3">
        <v>3</v>
      </c>
      <c r="B219" s="3">
        <v>1</v>
      </c>
      <c r="C219" s="3">
        <v>68.400000000000006</v>
      </c>
    </row>
    <row r="220" spans="1:3">
      <c r="A220" s="3">
        <v>1</v>
      </c>
      <c r="B220" s="3">
        <v>1</v>
      </c>
      <c r="C220" s="3">
        <v>68.400000000000006</v>
      </c>
    </row>
    <row r="221" spans="1:3">
      <c r="A221" s="3">
        <v>1</v>
      </c>
      <c r="B221" s="3">
        <v>1</v>
      </c>
      <c r="C221" s="3">
        <v>68.5</v>
      </c>
    </row>
    <row r="222" spans="1:3">
      <c r="A222" s="3">
        <v>1</v>
      </c>
      <c r="B222" s="3">
        <v>1</v>
      </c>
      <c r="C222" s="3">
        <v>68.5</v>
      </c>
    </row>
    <row r="223" spans="1:3">
      <c r="A223" s="3">
        <v>2</v>
      </c>
      <c r="B223" s="3">
        <v>1</v>
      </c>
      <c r="C223" s="3">
        <v>68.599999999999994</v>
      </c>
    </row>
    <row r="224" spans="1:3">
      <c r="A224" s="3">
        <v>2</v>
      </c>
      <c r="B224" s="3">
        <v>1</v>
      </c>
      <c r="C224" s="3">
        <v>68.599999999999994</v>
      </c>
    </row>
    <row r="225" spans="1:3">
      <c r="A225" s="3">
        <v>3</v>
      </c>
      <c r="B225" s="3">
        <v>1</v>
      </c>
      <c r="C225" s="3">
        <v>68.7</v>
      </c>
    </row>
    <row r="226" spans="1:3">
      <c r="A226" s="3">
        <v>1</v>
      </c>
      <c r="B226" s="3">
        <v>1</v>
      </c>
      <c r="C226" s="3">
        <v>68.7</v>
      </c>
    </row>
    <row r="227" spans="1:3">
      <c r="A227" s="3">
        <v>3</v>
      </c>
      <c r="B227" s="3">
        <v>1</v>
      </c>
      <c r="C227" s="3">
        <v>68.7</v>
      </c>
    </row>
    <row r="228" spans="1:3">
      <c r="A228" s="3">
        <v>2</v>
      </c>
      <c r="B228" s="3">
        <v>1</v>
      </c>
      <c r="C228" s="3">
        <v>68.8</v>
      </c>
    </row>
    <row r="229" spans="1:3">
      <c r="A229" s="3">
        <v>2</v>
      </c>
      <c r="B229" s="3">
        <v>1</v>
      </c>
      <c r="C229" s="3">
        <v>68.900000000000006</v>
      </c>
    </row>
    <row r="230" spans="1:3">
      <c r="A230" s="3">
        <v>1</v>
      </c>
      <c r="B230" s="3">
        <v>1</v>
      </c>
      <c r="C230" s="3">
        <v>69</v>
      </c>
    </row>
    <row r="231" spans="1:3">
      <c r="A231" s="3">
        <v>3</v>
      </c>
      <c r="B231" s="3">
        <v>1</v>
      </c>
      <c r="C231" s="3">
        <v>69</v>
      </c>
    </row>
    <row r="232" spans="1:3">
      <c r="A232" s="3">
        <v>1</v>
      </c>
      <c r="B232" s="3">
        <v>0</v>
      </c>
      <c r="C232" s="3">
        <v>69</v>
      </c>
    </row>
    <row r="233" spans="1:3">
      <c r="A233" s="3">
        <v>1</v>
      </c>
      <c r="B233" s="3">
        <v>1</v>
      </c>
      <c r="C233" s="3">
        <v>69.099999999999994</v>
      </c>
    </row>
    <row r="234" spans="1:3">
      <c r="A234" s="3">
        <v>1</v>
      </c>
      <c r="B234" s="3">
        <v>1</v>
      </c>
      <c r="C234" s="3">
        <v>69.099999999999994</v>
      </c>
    </row>
    <row r="235" spans="1:3">
      <c r="A235" s="3">
        <v>2</v>
      </c>
      <c r="B235" s="3">
        <v>1</v>
      </c>
      <c r="C235" s="3">
        <v>69.099999999999994</v>
      </c>
    </row>
    <row r="236" spans="1:3">
      <c r="A236" s="3">
        <v>2</v>
      </c>
      <c r="B236" s="3">
        <v>0</v>
      </c>
      <c r="C236" s="3">
        <v>69.2</v>
      </c>
    </row>
    <row r="237" spans="1:3">
      <c r="A237" s="3">
        <v>1</v>
      </c>
      <c r="B237" s="3">
        <v>1</v>
      </c>
      <c r="C237" s="3">
        <v>69.2</v>
      </c>
    </row>
    <row r="238" spans="1:3">
      <c r="A238" s="3">
        <v>2</v>
      </c>
      <c r="B238" s="3">
        <v>1</v>
      </c>
      <c r="C238" s="3">
        <v>69.2</v>
      </c>
    </row>
    <row r="239" spans="1:3">
      <c r="A239" s="3">
        <v>2</v>
      </c>
      <c r="B239" s="3">
        <v>1</v>
      </c>
      <c r="C239" s="3">
        <v>69.2</v>
      </c>
    </row>
    <row r="240" spans="1:3">
      <c r="A240" s="3">
        <v>3</v>
      </c>
      <c r="B240" s="3">
        <v>1</v>
      </c>
      <c r="C240" s="3">
        <v>69.3</v>
      </c>
    </row>
    <row r="241" spans="1:3">
      <c r="A241" s="3">
        <v>3</v>
      </c>
      <c r="B241" s="3">
        <v>1</v>
      </c>
      <c r="C241" s="3">
        <v>69.3</v>
      </c>
    </row>
    <row r="242" spans="1:3">
      <c r="A242" s="3">
        <v>1</v>
      </c>
      <c r="B242" s="3">
        <v>1</v>
      </c>
      <c r="C242" s="3">
        <v>69.5</v>
      </c>
    </row>
    <row r="243" spans="1:3">
      <c r="A243" s="3">
        <v>2</v>
      </c>
      <c r="B243" s="3">
        <v>0</v>
      </c>
      <c r="C243" s="3">
        <v>69.5</v>
      </c>
    </row>
    <row r="244" spans="1:3">
      <c r="A244" s="3">
        <v>3</v>
      </c>
      <c r="B244" s="3">
        <v>1</v>
      </c>
      <c r="C244" s="3">
        <v>69.5</v>
      </c>
    </row>
    <row r="245" spans="1:3">
      <c r="A245" s="3">
        <v>2</v>
      </c>
      <c r="B245" s="3">
        <v>0</v>
      </c>
      <c r="C245" s="3">
        <v>69.5</v>
      </c>
    </row>
    <row r="246" spans="1:3">
      <c r="A246" s="3">
        <v>2</v>
      </c>
      <c r="B246" s="3">
        <v>0</v>
      </c>
      <c r="C246" s="3">
        <v>69.5</v>
      </c>
    </row>
    <row r="247" spans="1:3">
      <c r="A247" s="3">
        <v>2</v>
      </c>
      <c r="B247" s="3">
        <v>1</v>
      </c>
      <c r="C247" s="3">
        <v>69.599999999999994</v>
      </c>
    </row>
    <row r="248" spans="1:3">
      <c r="A248" s="3">
        <v>2</v>
      </c>
      <c r="B248" s="3">
        <v>1</v>
      </c>
      <c r="C248" s="3">
        <v>69.599999999999994</v>
      </c>
    </row>
    <row r="249" spans="1:3">
      <c r="A249" s="3">
        <v>3</v>
      </c>
      <c r="B249" s="3">
        <v>1</v>
      </c>
      <c r="C249" s="3">
        <v>69.7</v>
      </c>
    </row>
    <row r="250" spans="1:3">
      <c r="A250" s="3">
        <v>3</v>
      </c>
      <c r="B250" s="3">
        <v>1</v>
      </c>
      <c r="C250" s="3">
        <v>69.7</v>
      </c>
    </row>
    <row r="251" spans="1:3">
      <c r="A251" s="3">
        <v>3</v>
      </c>
      <c r="B251" s="3">
        <v>1</v>
      </c>
      <c r="C251" s="3">
        <v>69.7</v>
      </c>
    </row>
    <row r="252" spans="1:3">
      <c r="A252" s="3">
        <v>3</v>
      </c>
      <c r="B252" s="3">
        <v>1</v>
      </c>
      <c r="C252" s="3">
        <v>69.8</v>
      </c>
    </row>
    <row r="253" spans="1:3">
      <c r="A253" s="3">
        <v>3</v>
      </c>
      <c r="B253" s="3">
        <v>1</v>
      </c>
      <c r="C253" s="3">
        <v>69.8</v>
      </c>
    </row>
    <row r="254" spans="1:3">
      <c r="A254" s="3">
        <v>3</v>
      </c>
      <c r="B254" s="3">
        <v>1</v>
      </c>
      <c r="C254" s="3">
        <v>70</v>
      </c>
    </row>
    <row r="255" spans="1:3">
      <c r="A255" s="3">
        <v>3</v>
      </c>
      <c r="B255" s="3">
        <v>1</v>
      </c>
      <c r="C255" s="3">
        <v>70</v>
      </c>
    </row>
    <row r="256" spans="1:3">
      <c r="A256" s="3">
        <v>1</v>
      </c>
      <c r="B256" s="3">
        <v>1</v>
      </c>
      <c r="C256" s="3">
        <v>70.099999999999994</v>
      </c>
    </row>
    <row r="257" spans="1:3">
      <c r="A257" s="3">
        <v>2</v>
      </c>
      <c r="B257" s="3">
        <v>1</v>
      </c>
      <c r="C257" s="3">
        <v>70.099999999999994</v>
      </c>
    </row>
    <row r="258" spans="1:3">
      <c r="A258" s="3">
        <v>1</v>
      </c>
      <c r="B258" s="3">
        <v>1</v>
      </c>
      <c r="C258" s="3">
        <v>70.2</v>
      </c>
    </row>
    <row r="259" spans="1:3">
      <c r="A259" s="3">
        <v>1</v>
      </c>
      <c r="B259" s="3">
        <v>1</v>
      </c>
      <c r="C259" s="3">
        <v>70.2</v>
      </c>
    </row>
    <row r="260" spans="1:3">
      <c r="A260" s="3">
        <v>1</v>
      </c>
      <c r="B260" s="3">
        <v>1</v>
      </c>
      <c r="C260" s="3">
        <v>70.3</v>
      </c>
    </row>
    <row r="261" spans="1:3">
      <c r="A261" s="3">
        <v>2</v>
      </c>
      <c r="B261" s="3">
        <v>0</v>
      </c>
      <c r="C261" s="3">
        <v>70.3</v>
      </c>
    </row>
    <row r="262" spans="1:3">
      <c r="A262" s="3">
        <v>3</v>
      </c>
      <c r="B262" s="3">
        <v>1</v>
      </c>
      <c r="C262" s="3">
        <v>70.3</v>
      </c>
    </row>
    <row r="263" spans="1:3">
      <c r="A263" s="3">
        <v>3</v>
      </c>
      <c r="B263" s="3">
        <v>1</v>
      </c>
      <c r="C263" s="3">
        <v>70.3</v>
      </c>
    </row>
    <row r="264" spans="1:3">
      <c r="A264" s="3">
        <v>1</v>
      </c>
      <c r="B264" s="3">
        <v>1</v>
      </c>
      <c r="C264" s="3">
        <v>70.3</v>
      </c>
    </row>
    <row r="265" spans="1:3">
      <c r="A265" s="3">
        <v>1</v>
      </c>
      <c r="B265" s="3">
        <v>1</v>
      </c>
      <c r="C265" s="3">
        <v>70.400000000000006</v>
      </c>
    </row>
    <row r="266" spans="1:3">
      <c r="A266" s="3">
        <v>1</v>
      </c>
      <c r="B266" s="3">
        <v>1</v>
      </c>
      <c r="C266" s="3">
        <v>70.400000000000006</v>
      </c>
    </row>
    <row r="267" spans="1:3">
      <c r="A267" s="3">
        <v>2</v>
      </c>
      <c r="B267" s="3">
        <v>1</v>
      </c>
      <c r="C267" s="3">
        <v>70.400000000000006</v>
      </c>
    </row>
    <row r="268" spans="1:3">
      <c r="A268" s="3">
        <v>2</v>
      </c>
      <c r="B268" s="3">
        <v>1</v>
      </c>
      <c r="C268" s="3">
        <v>70.5</v>
      </c>
    </row>
    <row r="269" spans="1:3">
      <c r="A269" s="3">
        <v>3</v>
      </c>
      <c r="B269" s="3">
        <v>1</v>
      </c>
      <c r="C269" s="3">
        <v>70.5</v>
      </c>
    </row>
    <row r="270" spans="1:3">
      <c r="A270" s="3">
        <v>3</v>
      </c>
      <c r="B270" s="3">
        <v>1</v>
      </c>
      <c r="C270" s="3">
        <v>70.5</v>
      </c>
    </row>
    <row r="271" spans="1:3">
      <c r="A271" s="3">
        <v>1</v>
      </c>
      <c r="B271" s="3">
        <v>1</v>
      </c>
      <c r="C271" s="3">
        <v>70.5</v>
      </c>
    </row>
    <row r="272" spans="1:3">
      <c r="A272" s="3">
        <v>3</v>
      </c>
      <c r="B272" s="3">
        <v>1</v>
      </c>
      <c r="C272" s="3">
        <v>70.599999999999994</v>
      </c>
    </row>
    <row r="273" spans="1:3">
      <c r="A273" s="3">
        <v>1</v>
      </c>
      <c r="B273" s="3">
        <v>1</v>
      </c>
      <c r="C273" s="3">
        <v>70.599999999999994</v>
      </c>
    </row>
    <row r="274" spans="1:3">
      <c r="A274" s="3">
        <v>3</v>
      </c>
      <c r="B274" s="3">
        <v>1</v>
      </c>
      <c r="C274" s="3">
        <v>70.7</v>
      </c>
    </row>
    <row r="275" spans="1:3">
      <c r="A275" s="3">
        <v>2</v>
      </c>
      <c r="B275" s="3">
        <v>1</v>
      </c>
      <c r="C275" s="3">
        <v>70.8</v>
      </c>
    </row>
    <row r="276" spans="1:3">
      <c r="A276" s="3">
        <v>2</v>
      </c>
      <c r="B276" s="3">
        <v>0</v>
      </c>
      <c r="C276" s="3">
        <v>70.8</v>
      </c>
    </row>
    <row r="277" spans="1:3">
      <c r="A277" s="3">
        <v>3</v>
      </c>
      <c r="B277" s="3">
        <v>1</v>
      </c>
      <c r="C277" s="3">
        <v>70.900000000000006</v>
      </c>
    </row>
    <row r="278" spans="1:3">
      <c r="A278" s="3">
        <v>3</v>
      </c>
      <c r="B278" s="3">
        <v>1</v>
      </c>
      <c r="C278" s="3">
        <v>71</v>
      </c>
    </row>
    <row r="279" spans="1:3">
      <c r="A279" s="3">
        <v>3</v>
      </c>
      <c r="B279" s="3">
        <v>1</v>
      </c>
      <c r="C279" s="3">
        <v>71</v>
      </c>
    </row>
    <row r="280" spans="1:3">
      <c r="A280" s="3">
        <v>2</v>
      </c>
      <c r="B280" s="3">
        <v>1</v>
      </c>
      <c r="C280" s="3">
        <v>71.099999999999994</v>
      </c>
    </row>
    <row r="281" spans="1:3">
      <c r="A281" s="3">
        <v>2</v>
      </c>
      <c r="B281" s="3">
        <v>1</v>
      </c>
      <c r="C281" s="3">
        <v>71.099999999999994</v>
      </c>
    </row>
    <row r="282" spans="1:3">
      <c r="A282" s="3">
        <v>1</v>
      </c>
      <c r="B282" s="3">
        <v>0</v>
      </c>
      <c r="C282" s="3">
        <v>71.2</v>
      </c>
    </row>
    <row r="283" spans="1:3">
      <c r="A283" s="3">
        <v>3</v>
      </c>
      <c r="B283" s="3">
        <v>1</v>
      </c>
      <c r="C283" s="3">
        <v>71.2</v>
      </c>
    </row>
    <row r="284" spans="1:3">
      <c r="A284" s="3">
        <v>3</v>
      </c>
      <c r="B284" s="3">
        <v>1</v>
      </c>
      <c r="C284" s="3">
        <v>71.2</v>
      </c>
    </row>
    <row r="285" spans="1:3">
      <c r="A285" s="3">
        <v>3</v>
      </c>
      <c r="B285" s="3">
        <v>1</v>
      </c>
      <c r="C285" s="3">
        <v>71.2</v>
      </c>
    </row>
    <row r="286" spans="1:3">
      <c r="A286" s="3">
        <v>1</v>
      </c>
      <c r="B286" s="3">
        <v>1</v>
      </c>
      <c r="C286" s="3">
        <v>71.2</v>
      </c>
    </row>
    <row r="287" spans="1:3">
      <c r="A287" s="3">
        <v>3</v>
      </c>
      <c r="B287" s="3">
        <v>0</v>
      </c>
      <c r="C287" s="3">
        <v>71.2</v>
      </c>
    </row>
    <row r="288" spans="1:3">
      <c r="A288" s="3">
        <v>3</v>
      </c>
      <c r="B288" s="3">
        <v>1</v>
      </c>
      <c r="C288" s="3">
        <v>71.2</v>
      </c>
    </row>
    <row r="289" spans="1:3">
      <c r="A289" s="3">
        <v>2</v>
      </c>
      <c r="B289" s="3">
        <v>1</v>
      </c>
      <c r="C289" s="3">
        <v>71.3</v>
      </c>
    </row>
    <row r="290" spans="1:3">
      <c r="A290" s="3">
        <v>3</v>
      </c>
      <c r="B290" s="3">
        <v>1</v>
      </c>
      <c r="C290" s="3">
        <v>71.3</v>
      </c>
    </row>
    <row r="291" spans="1:3">
      <c r="A291" s="3">
        <v>3</v>
      </c>
      <c r="B291" s="3">
        <v>1</v>
      </c>
      <c r="C291" s="3">
        <v>71.3</v>
      </c>
    </row>
    <row r="292" spans="1:3">
      <c r="A292" s="3">
        <v>2</v>
      </c>
      <c r="B292" s="3">
        <v>1</v>
      </c>
      <c r="C292" s="3">
        <v>71.400000000000006</v>
      </c>
    </row>
    <row r="293" spans="1:3">
      <c r="A293" s="3">
        <v>3</v>
      </c>
      <c r="B293" s="3">
        <v>1</v>
      </c>
      <c r="C293" s="3">
        <v>71.5</v>
      </c>
    </row>
    <row r="294" spans="1:3">
      <c r="A294" s="3">
        <v>2</v>
      </c>
      <c r="B294" s="3">
        <v>1</v>
      </c>
      <c r="C294" s="3">
        <v>71.5</v>
      </c>
    </row>
    <row r="295" spans="1:3">
      <c r="A295" s="3">
        <v>3</v>
      </c>
      <c r="B295" s="3">
        <v>1</v>
      </c>
      <c r="C295" s="3">
        <v>71.5</v>
      </c>
    </row>
    <row r="296" spans="1:3">
      <c r="A296" s="3">
        <v>2</v>
      </c>
      <c r="B296" s="3">
        <v>0</v>
      </c>
      <c r="C296" s="3">
        <v>71.5</v>
      </c>
    </row>
    <row r="297" spans="1:3">
      <c r="A297" s="3">
        <v>1</v>
      </c>
      <c r="B297" s="3">
        <v>0</v>
      </c>
      <c r="C297" s="3">
        <v>71.5</v>
      </c>
    </row>
    <row r="298" spans="1:3">
      <c r="A298" s="3">
        <v>2</v>
      </c>
      <c r="B298" s="3">
        <v>1</v>
      </c>
      <c r="C298" s="3">
        <v>71.599999999999994</v>
      </c>
    </row>
    <row r="299" spans="1:3">
      <c r="A299" s="3">
        <v>2</v>
      </c>
      <c r="B299" s="3">
        <v>1</v>
      </c>
      <c r="C299" s="3">
        <v>71.599999999999994</v>
      </c>
    </row>
    <row r="300" spans="1:3">
      <c r="A300" s="3">
        <v>2</v>
      </c>
      <c r="B300" s="3">
        <v>1</v>
      </c>
      <c r="C300" s="3">
        <v>71.599999999999994</v>
      </c>
    </row>
    <row r="301" spans="1:3">
      <c r="A301" s="3">
        <v>3</v>
      </c>
      <c r="B301" s="3">
        <v>1</v>
      </c>
      <c r="C301" s="3">
        <v>71.599999999999994</v>
      </c>
    </row>
    <row r="302" spans="1:3">
      <c r="A302" s="3">
        <v>3</v>
      </c>
      <c r="B302" s="3">
        <v>1</v>
      </c>
      <c r="C302" s="3">
        <v>71.599999999999994</v>
      </c>
    </row>
    <row r="303" spans="1:3">
      <c r="A303" s="3">
        <v>2</v>
      </c>
      <c r="B303" s="3">
        <v>0</v>
      </c>
      <c r="C303" s="3">
        <v>71.599999999999994</v>
      </c>
    </row>
    <row r="304" spans="1:3">
      <c r="A304" s="3">
        <v>3</v>
      </c>
      <c r="B304" s="3">
        <v>1</v>
      </c>
      <c r="C304" s="3">
        <v>71.599999999999994</v>
      </c>
    </row>
    <row r="305" spans="1:3">
      <c r="A305" s="3">
        <v>1</v>
      </c>
      <c r="B305" s="3">
        <v>1</v>
      </c>
      <c r="C305" s="3">
        <v>71.599999999999994</v>
      </c>
    </row>
    <row r="306" spans="1:3">
      <c r="A306" s="3">
        <v>3</v>
      </c>
      <c r="B306" s="3">
        <v>1</v>
      </c>
      <c r="C306" s="3">
        <v>71.7</v>
      </c>
    </row>
    <row r="307" spans="1:3">
      <c r="A307" s="3">
        <v>3</v>
      </c>
      <c r="B307" s="3">
        <v>0</v>
      </c>
      <c r="C307" s="3">
        <v>72</v>
      </c>
    </row>
    <row r="308" spans="1:3">
      <c r="A308" s="3">
        <v>2</v>
      </c>
      <c r="B308" s="3">
        <v>1</v>
      </c>
      <c r="C308" s="3">
        <v>72</v>
      </c>
    </row>
    <row r="309" spans="1:3">
      <c r="A309" s="3">
        <v>2</v>
      </c>
      <c r="B309" s="3">
        <v>1</v>
      </c>
      <c r="C309" s="3">
        <v>72.099999999999994</v>
      </c>
    </row>
    <row r="310" spans="1:3">
      <c r="A310" s="3">
        <v>1</v>
      </c>
      <c r="B310" s="3">
        <v>1</v>
      </c>
      <c r="C310" s="3">
        <v>72.099999999999994</v>
      </c>
    </row>
    <row r="311" spans="1:3">
      <c r="A311" s="3">
        <v>2</v>
      </c>
      <c r="B311" s="3">
        <v>1</v>
      </c>
      <c r="C311" s="3">
        <v>72.2</v>
      </c>
    </row>
    <row r="312" spans="1:3">
      <c r="A312" s="3">
        <v>3</v>
      </c>
      <c r="B312" s="3">
        <v>1</v>
      </c>
      <c r="C312" s="3">
        <v>72.2</v>
      </c>
    </row>
    <row r="313" spans="1:3">
      <c r="A313" s="3">
        <v>2</v>
      </c>
      <c r="B313" s="3">
        <v>1</v>
      </c>
      <c r="C313" s="3">
        <v>72.2</v>
      </c>
    </row>
    <row r="314" spans="1:3">
      <c r="A314" s="3">
        <v>3</v>
      </c>
      <c r="B314" s="3">
        <v>1</v>
      </c>
      <c r="C314" s="3">
        <v>72.2</v>
      </c>
    </row>
    <row r="315" spans="1:3">
      <c r="A315" s="3">
        <v>2</v>
      </c>
      <c r="B315" s="3">
        <v>1</v>
      </c>
      <c r="C315" s="3">
        <v>72.2</v>
      </c>
    </row>
    <row r="316" spans="1:3">
      <c r="A316" s="3">
        <v>2</v>
      </c>
      <c r="B316" s="3">
        <v>1</v>
      </c>
      <c r="C316" s="3">
        <v>72.3</v>
      </c>
    </row>
    <row r="317" spans="1:3">
      <c r="A317" s="3">
        <v>3</v>
      </c>
      <c r="B317" s="3">
        <v>1</v>
      </c>
      <c r="C317" s="3">
        <v>72.3</v>
      </c>
    </row>
    <row r="318" spans="1:3">
      <c r="A318" s="3">
        <v>3</v>
      </c>
      <c r="B318" s="3">
        <v>1</v>
      </c>
      <c r="C318" s="3">
        <v>72.3</v>
      </c>
    </row>
    <row r="319" spans="1:3">
      <c r="A319" s="3">
        <v>3</v>
      </c>
      <c r="B319" s="3">
        <v>1</v>
      </c>
      <c r="C319" s="3">
        <v>72.3</v>
      </c>
    </row>
    <row r="320" spans="1:3">
      <c r="A320" s="3">
        <v>1</v>
      </c>
      <c r="B320" s="3">
        <v>1</v>
      </c>
      <c r="C320" s="3">
        <v>72.3</v>
      </c>
    </row>
    <row r="321" spans="1:3">
      <c r="A321" s="3">
        <v>3</v>
      </c>
      <c r="B321" s="3">
        <v>1</v>
      </c>
      <c r="C321" s="3">
        <v>72.400000000000006</v>
      </c>
    </row>
    <row r="322" spans="1:3">
      <c r="A322" s="3">
        <v>1</v>
      </c>
      <c r="B322" s="3">
        <v>1</v>
      </c>
      <c r="C322" s="3">
        <v>72.5</v>
      </c>
    </row>
    <row r="323" spans="1:3">
      <c r="A323" s="3">
        <v>3</v>
      </c>
      <c r="B323" s="3">
        <v>1</v>
      </c>
      <c r="C323" s="3">
        <v>72.5</v>
      </c>
    </row>
    <row r="324" spans="1:3">
      <c r="A324" s="3">
        <v>1</v>
      </c>
      <c r="B324" s="3">
        <v>1</v>
      </c>
      <c r="C324" s="3">
        <v>72.5</v>
      </c>
    </row>
    <row r="325" spans="1:3">
      <c r="A325" s="3">
        <v>1</v>
      </c>
      <c r="B325" s="3">
        <v>1</v>
      </c>
      <c r="C325" s="3">
        <v>72.5</v>
      </c>
    </row>
    <row r="326" spans="1:3">
      <c r="A326" s="3">
        <v>3</v>
      </c>
      <c r="B326" s="3">
        <v>1</v>
      </c>
      <c r="C326" s="3">
        <v>72.599999999999994</v>
      </c>
    </row>
    <row r="327" spans="1:3">
      <c r="A327" s="3">
        <v>2</v>
      </c>
      <c r="B327" s="3">
        <v>0</v>
      </c>
      <c r="C327" s="3">
        <v>72.599999999999994</v>
      </c>
    </row>
    <row r="328" spans="1:3">
      <c r="A328" s="3">
        <v>3</v>
      </c>
      <c r="B328" s="3">
        <v>1</v>
      </c>
      <c r="C328" s="3">
        <v>72.599999999999994</v>
      </c>
    </row>
    <row r="329" spans="1:3">
      <c r="A329" s="3">
        <v>2</v>
      </c>
      <c r="B329" s="3">
        <v>1</v>
      </c>
      <c r="C329" s="3">
        <v>72.7</v>
      </c>
    </row>
    <row r="330" spans="1:3">
      <c r="A330" s="3">
        <v>2</v>
      </c>
      <c r="B330" s="3">
        <v>1</v>
      </c>
      <c r="C330" s="3">
        <v>72.7</v>
      </c>
    </row>
    <row r="331" spans="1:3">
      <c r="A331" s="3">
        <v>1</v>
      </c>
      <c r="B331" s="3">
        <v>0</v>
      </c>
      <c r="C331" s="3">
        <v>72.8</v>
      </c>
    </row>
    <row r="332" spans="1:3">
      <c r="A332" s="3">
        <v>3</v>
      </c>
      <c r="B332" s="3">
        <v>1</v>
      </c>
      <c r="C332" s="3">
        <v>72.900000000000006</v>
      </c>
    </row>
    <row r="333" spans="1:3">
      <c r="A333" s="3">
        <v>1</v>
      </c>
      <c r="B333" s="3">
        <v>1</v>
      </c>
      <c r="C333" s="3">
        <v>73</v>
      </c>
    </row>
    <row r="334" spans="1:3">
      <c r="A334" s="3">
        <v>2</v>
      </c>
      <c r="B334" s="3">
        <v>0</v>
      </c>
      <c r="C334" s="3">
        <v>73.099999999999994</v>
      </c>
    </row>
    <row r="335" spans="1:3">
      <c r="A335" s="3">
        <v>3</v>
      </c>
      <c r="B335" s="3">
        <v>1</v>
      </c>
      <c r="C335" s="3">
        <v>73.099999999999994</v>
      </c>
    </row>
    <row r="336" spans="1:3">
      <c r="A336" s="3">
        <v>2</v>
      </c>
      <c r="B336" s="3">
        <v>1</v>
      </c>
      <c r="C336" s="3">
        <v>73.099999999999994</v>
      </c>
    </row>
    <row r="337" spans="1:3">
      <c r="A337" s="3">
        <v>1</v>
      </c>
      <c r="B337" s="3">
        <v>1</v>
      </c>
      <c r="C337" s="3">
        <v>73.099999999999994</v>
      </c>
    </row>
    <row r="338" spans="1:3">
      <c r="A338" s="3">
        <v>1</v>
      </c>
      <c r="B338" s="3">
        <v>0</v>
      </c>
      <c r="C338" s="3">
        <v>73.099999999999994</v>
      </c>
    </row>
    <row r="339" spans="1:3">
      <c r="A339" s="3">
        <v>1</v>
      </c>
      <c r="B339" s="3">
        <v>1</v>
      </c>
      <c r="C339" s="3">
        <v>73.2</v>
      </c>
    </row>
    <row r="340" spans="1:3">
      <c r="A340" s="3">
        <v>1</v>
      </c>
      <c r="B340" s="3">
        <v>1</v>
      </c>
      <c r="C340" s="3">
        <v>73.2</v>
      </c>
    </row>
    <row r="341" spans="1:3">
      <c r="A341" s="3">
        <v>1</v>
      </c>
      <c r="B341" s="3">
        <v>0</v>
      </c>
      <c r="C341" s="3">
        <v>73.3</v>
      </c>
    </row>
    <row r="342" spans="1:3">
      <c r="A342" s="3">
        <v>1</v>
      </c>
      <c r="B342" s="3">
        <v>0</v>
      </c>
      <c r="C342" s="3">
        <v>73.5</v>
      </c>
    </row>
    <row r="343" spans="1:3">
      <c r="A343" s="3">
        <v>1</v>
      </c>
      <c r="B343" s="3">
        <v>1</v>
      </c>
      <c r="C343" s="3">
        <v>73.5</v>
      </c>
    </row>
    <row r="344" spans="1:3">
      <c r="A344" s="3">
        <v>3</v>
      </c>
      <c r="B344" s="3">
        <v>1</v>
      </c>
      <c r="C344" s="3">
        <v>73.5</v>
      </c>
    </row>
    <row r="345" spans="1:3">
      <c r="A345" s="3">
        <v>3</v>
      </c>
      <c r="B345" s="3">
        <v>1</v>
      </c>
      <c r="C345" s="3">
        <v>73.5</v>
      </c>
    </row>
    <row r="346" spans="1:3">
      <c r="A346" s="3">
        <v>1</v>
      </c>
      <c r="B346" s="3">
        <v>0</v>
      </c>
      <c r="C346" s="3">
        <v>73.5</v>
      </c>
    </row>
    <row r="347" spans="1:3">
      <c r="A347" s="3">
        <v>1</v>
      </c>
      <c r="B347" s="3">
        <v>1</v>
      </c>
      <c r="C347" s="3">
        <v>73.599999999999994</v>
      </c>
    </row>
    <row r="348" spans="1:3">
      <c r="A348" s="3">
        <v>2</v>
      </c>
      <c r="B348" s="3">
        <v>1</v>
      </c>
      <c r="C348" s="3">
        <v>73.599999999999994</v>
      </c>
    </row>
    <row r="349" spans="1:3">
      <c r="A349" s="3">
        <v>3</v>
      </c>
      <c r="B349" s="3">
        <v>0</v>
      </c>
      <c r="C349" s="3">
        <v>73.599999999999994</v>
      </c>
    </row>
    <row r="350" spans="1:3">
      <c r="A350" s="3">
        <v>2</v>
      </c>
      <c r="B350" s="3">
        <v>1</v>
      </c>
      <c r="C350" s="3">
        <v>73.599999999999994</v>
      </c>
    </row>
    <row r="351" spans="1:3">
      <c r="A351" s="3">
        <v>3</v>
      </c>
      <c r="B351" s="3">
        <v>1</v>
      </c>
      <c r="C351" s="3">
        <v>73.599999999999994</v>
      </c>
    </row>
    <row r="352" spans="1:3">
      <c r="A352" s="3">
        <v>3</v>
      </c>
      <c r="B352" s="3">
        <v>1</v>
      </c>
      <c r="C352" s="3">
        <v>73.599999999999994</v>
      </c>
    </row>
    <row r="353" spans="1:3">
      <c r="A353" s="3">
        <v>3</v>
      </c>
      <c r="B353" s="3">
        <v>1</v>
      </c>
      <c r="C353" s="3">
        <v>73.7</v>
      </c>
    </row>
    <row r="354" spans="1:3">
      <c r="A354" s="3">
        <v>3</v>
      </c>
      <c r="B354" s="3">
        <v>1</v>
      </c>
      <c r="C354" s="3">
        <v>73.7</v>
      </c>
    </row>
    <row r="355" spans="1:3">
      <c r="A355" s="3">
        <v>3</v>
      </c>
      <c r="B355" s="3">
        <v>0</v>
      </c>
      <c r="C355" s="3">
        <v>73.8</v>
      </c>
    </row>
    <row r="356" spans="1:3">
      <c r="A356" s="3">
        <v>1</v>
      </c>
      <c r="B356" s="3">
        <v>1</v>
      </c>
      <c r="C356" s="3">
        <v>74</v>
      </c>
    </row>
    <row r="357" spans="1:3">
      <c r="A357" s="3">
        <v>1</v>
      </c>
      <c r="B357" s="3">
        <v>0</v>
      </c>
      <c r="C357" s="3">
        <v>74</v>
      </c>
    </row>
    <row r="358" spans="1:3">
      <c r="A358" s="3">
        <v>1</v>
      </c>
      <c r="B358" s="3">
        <v>0</v>
      </c>
      <c r="C358" s="3">
        <v>74</v>
      </c>
    </row>
    <row r="359" spans="1:3">
      <c r="A359" s="3">
        <v>1</v>
      </c>
      <c r="B359" s="3">
        <v>1</v>
      </c>
      <c r="C359" s="3">
        <v>74</v>
      </c>
    </row>
    <row r="360" spans="1:3">
      <c r="A360" s="3">
        <v>3</v>
      </c>
      <c r="B360" s="3">
        <v>1</v>
      </c>
      <c r="C360" s="3">
        <v>74.099999999999994</v>
      </c>
    </row>
    <row r="361" spans="1:3">
      <c r="A361" s="3">
        <v>2</v>
      </c>
      <c r="B361" s="3">
        <v>1</v>
      </c>
      <c r="C361" s="3">
        <v>74.2</v>
      </c>
    </row>
    <row r="362" spans="1:3">
      <c r="A362" s="3">
        <v>3</v>
      </c>
      <c r="B362" s="3">
        <v>1</v>
      </c>
      <c r="C362" s="3">
        <v>74.2</v>
      </c>
    </row>
    <row r="363" spans="1:3">
      <c r="A363" s="3">
        <v>3</v>
      </c>
      <c r="B363" s="3">
        <v>1</v>
      </c>
      <c r="C363" s="3">
        <v>74.3</v>
      </c>
    </row>
    <row r="364" spans="1:3">
      <c r="A364" s="3">
        <v>3</v>
      </c>
      <c r="B364" s="3">
        <v>1</v>
      </c>
      <c r="C364" s="3">
        <v>74.400000000000006</v>
      </c>
    </row>
    <row r="365" spans="1:3">
      <c r="A365" s="3">
        <v>2</v>
      </c>
      <c r="B365" s="3">
        <v>1</v>
      </c>
      <c r="C365" s="3">
        <v>74.599999999999994</v>
      </c>
    </row>
    <row r="366" spans="1:3">
      <c r="A366" s="3">
        <v>1</v>
      </c>
      <c r="B366" s="3">
        <v>0</v>
      </c>
      <c r="C366" s="3">
        <v>74.599999999999994</v>
      </c>
    </row>
    <row r="367" spans="1:3">
      <c r="A367" s="3">
        <v>2</v>
      </c>
      <c r="B367" s="3">
        <v>1</v>
      </c>
      <c r="C367" s="3">
        <v>74.7</v>
      </c>
    </row>
    <row r="368" spans="1:3">
      <c r="A368" s="3">
        <v>2</v>
      </c>
      <c r="B368" s="3">
        <v>1</v>
      </c>
      <c r="C368" s="3">
        <v>74.7</v>
      </c>
    </row>
    <row r="369" spans="1:3">
      <c r="A369" s="3">
        <v>1</v>
      </c>
      <c r="B369" s="3">
        <v>0</v>
      </c>
      <c r="C369" s="3">
        <v>74.8</v>
      </c>
    </row>
    <row r="370" spans="1:3">
      <c r="A370" s="3">
        <v>3</v>
      </c>
      <c r="B370" s="3">
        <v>1</v>
      </c>
      <c r="C370" s="3">
        <v>74.8</v>
      </c>
    </row>
    <row r="371" spans="1:3">
      <c r="A371" s="3">
        <v>3</v>
      </c>
      <c r="B371" s="3">
        <v>1</v>
      </c>
      <c r="C371" s="3">
        <v>74.8</v>
      </c>
    </row>
    <row r="372" spans="1:3">
      <c r="A372" s="3">
        <v>3</v>
      </c>
      <c r="B372" s="3">
        <v>1</v>
      </c>
      <c r="C372" s="3">
        <v>74.8</v>
      </c>
    </row>
    <row r="373" spans="1:3">
      <c r="A373" s="3">
        <v>3</v>
      </c>
      <c r="B373" s="3">
        <v>1</v>
      </c>
      <c r="C373" s="3">
        <v>74.8</v>
      </c>
    </row>
    <row r="374" spans="1:3">
      <c r="A374" s="3">
        <v>2</v>
      </c>
      <c r="B374" s="3">
        <v>0</v>
      </c>
      <c r="C374" s="3">
        <v>74.8</v>
      </c>
    </row>
    <row r="375" spans="1:3">
      <c r="A375" s="3">
        <v>3</v>
      </c>
      <c r="B375" s="3">
        <v>1</v>
      </c>
      <c r="C375" s="3">
        <v>74.900000000000006</v>
      </c>
    </row>
    <row r="376" spans="1:3">
      <c r="A376" s="3">
        <v>1</v>
      </c>
      <c r="B376" s="3">
        <v>1</v>
      </c>
      <c r="C376" s="3">
        <v>75</v>
      </c>
    </row>
    <row r="377" spans="1:3">
      <c r="A377" s="3">
        <v>2</v>
      </c>
      <c r="B377" s="3">
        <v>1</v>
      </c>
      <c r="C377" s="3">
        <v>75</v>
      </c>
    </row>
    <row r="378" spans="1:3">
      <c r="A378" s="3">
        <v>1</v>
      </c>
      <c r="B378" s="3">
        <v>0</v>
      </c>
      <c r="C378" s="3">
        <v>75</v>
      </c>
    </row>
    <row r="379" spans="1:3">
      <c r="A379" s="3">
        <v>3</v>
      </c>
      <c r="B379" s="3">
        <v>1</v>
      </c>
      <c r="C379" s="3">
        <v>75</v>
      </c>
    </row>
    <row r="380" spans="1:3">
      <c r="A380" s="3">
        <v>3</v>
      </c>
      <c r="B380" s="3">
        <v>0</v>
      </c>
      <c r="C380" s="3">
        <v>75</v>
      </c>
    </row>
    <row r="381" spans="1:3">
      <c r="A381" s="3">
        <v>1</v>
      </c>
      <c r="B381" s="3">
        <v>0</v>
      </c>
      <c r="C381" s="3">
        <v>75</v>
      </c>
    </row>
    <row r="382" spans="1:3">
      <c r="A382" s="3">
        <v>3</v>
      </c>
      <c r="B382" s="3">
        <v>1</v>
      </c>
      <c r="C382" s="3">
        <v>75.099999999999994</v>
      </c>
    </row>
    <row r="383" spans="1:3">
      <c r="A383" s="3">
        <v>2</v>
      </c>
      <c r="B383" s="3">
        <v>1</v>
      </c>
      <c r="C383" s="3">
        <v>75.099999999999994</v>
      </c>
    </row>
    <row r="384" spans="1:3">
      <c r="A384" s="3">
        <v>2</v>
      </c>
      <c r="B384" s="3">
        <v>1</v>
      </c>
      <c r="C384" s="3">
        <v>75.099999999999994</v>
      </c>
    </row>
    <row r="385" spans="1:3">
      <c r="A385" s="3">
        <v>3</v>
      </c>
      <c r="B385" s="3">
        <v>1</v>
      </c>
      <c r="C385" s="3">
        <v>75.099999999999994</v>
      </c>
    </row>
    <row r="386" spans="1:3">
      <c r="A386" s="3">
        <v>2</v>
      </c>
      <c r="B386" s="3">
        <v>0</v>
      </c>
      <c r="C386" s="3">
        <v>75.2</v>
      </c>
    </row>
    <row r="387" spans="1:3">
      <c r="A387" s="3">
        <v>2</v>
      </c>
      <c r="B387" s="3">
        <v>0</v>
      </c>
      <c r="C387" s="3">
        <v>75.2</v>
      </c>
    </row>
    <row r="388" spans="1:3">
      <c r="A388" s="3">
        <v>1</v>
      </c>
      <c r="B388" s="3">
        <v>1</v>
      </c>
      <c r="C388" s="3">
        <v>75.2</v>
      </c>
    </row>
    <row r="389" spans="1:3">
      <c r="A389" s="3">
        <v>2</v>
      </c>
      <c r="B389" s="3">
        <v>1</v>
      </c>
      <c r="C389" s="3">
        <v>75.2</v>
      </c>
    </row>
    <row r="390" spans="1:3">
      <c r="A390" s="3">
        <v>3</v>
      </c>
      <c r="B390" s="3">
        <v>1</v>
      </c>
      <c r="C390" s="3">
        <v>75.2</v>
      </c>
    </row>
    <row r="391" spans="1:3">
      <c r="A391" s="3">
        <v>3</v>
      </c>
      <c r="B391" s="3">
        <v>1</v>
      </c>
      <c r="C391" s="3">
        <v>75.2</v>
      </c>
    </row>
    <row r="392" spans="1:3">
      <c r="A392" s="3">
        <v>3</v>
      </c>
      <c r="B392" s="3">
        <v>1</v>
      </c>
      <c r="C392" s="3">
        <v>75.3</v>
      </c>
    </row>
    <row r="393" spans="1:3">
      <c r="A393" s="3">
        <v>1</v>
      </c>
      <c r="B393" s="3">
        <v>0</v>
      </c>
      <c r="C393" s="3">
        <v>75.3</v>
      </c>
    </row>
    <row r="394" spans="1:3">
      <c r="A394" s="3">
        <v>1</v>
      </c>
      <c r="B394" s="3">
        <v>0</v>
      </c>
      <c r="C394" s="3">
        <v>75.3</v>
      </c>
    </row>
    <row r="395" spans="1:3">
      <c r="A395" s="3">
        <v>2</v>
      </c>
      <c r="B395" s="3">
        <v>0</v>
      </c>
      <c r="C395" s="3">
        <v>75.400000000000006</v>
      </c>
    </row>
    <row r="396" spans="1:3">
      <c r="A396" s="3">
        <v>2</v>
      </c>
      <c r="B396" s="3">
        <v>1</v>
      </c>
      <c r="C396" s="3">
        <v>75.5</v>
      </c>
    </row>
    <row r="397" spans="1:3">
      <c r="A397" s="3">
        <v>1</v>
      </c>
      <c r="B397" s="3">
        <v>0</v>
      </c>
      <c r="C397" s="3">
        <v>75.5</v>
      </c>
    </row>
    <row r="398" spans="1:3">
      <c r="A398" s="3">
        <v>1</v>
      </c>
      <c r="B398" s="3">
        <v>0</v>
      </c>
      <c r="C398" s="3">
        <v>75.5</v>
      </c>
    </row>
    <row r="399" spans="1:3">
      <c r="A399" s="3">
        <v>3</v>
      </c>
      <c r="B399" s="3">
        <v>1</v>
      </c>
      <c r="C399" s="3">
        <v>75.599999999999994</v>
      </c>
    </row>
    <row r="400" spans="1:3">
      <c r="A400" s="3">
        <v>3</v>
      </c>
      <c r="B400" s="3">
        <v>0</v>
      </c>
      <c r="C400" s="3">
        <v>75.599999999999994</v>
      </c>
    </row>
    <row r="401" spans="1:3">
      <c r="A401" s="3">
        <v>3</v>
      </c>
      <c r="B401" s="3">
        <v>1</v>
      </c>
      <c r="C401" s="3">
        <v>75.599999999999994</v>
      </c>
    </row>
    <row r="402" spans="1:3">
      <c r="A402" s="3">
        <v>2</v>
      </c>
      <c r="B402" s="3">
        <v>1</v>
      </c>
      <c r="C402" s="3">
        <v>75.599999999999994</v>
      </c>
    </row>
    <row r="403" spans="1:3">
      <c r="A403" s="3">
        <v>2</v>
      </c>
      <c r="B403" s="3">
        <v>0</v>
      </c>
      <c r="C403" s="3">
        <v>75.7</v>
      </c>
    </row>
    <row r="404" spans="1:3">
      <c r="A404" s="3">
        <v>3</v>
      </c>
      <c r="B404" s="3">
        <v>0</v>
      </c>
      <c r="C404" s="3">
        <v>75.7</v>
      </c>
    </row>
    <row r="405" spans="1:3">
      <c r="A405" s="3">
        <v>2</v>
      </c>
      <c r="B405" s="3">
        <v>0</v>
      </c>
      <c r="C405" s="3">
        <v>75.900000000000006</v>
      </c>
    </row>
    <row r="406" spans="1:3">
      <c r="A406" s="3">
        <v>3</v>
      </c>
      <c r="B406" s="3">
        <v>0</v>
      </c>
      <c r="C406" s="3">
        <v>75.900000000000006</v>
      </c>
    </row>
    <row r="407" spans="1:3">
      <c r="A407" s="3">
        <v>3</v>
      </c>
      <c r="B407" s="3">
        <v>1</v>
      </c>
      <c r="C407" s="3">
        <v>76</v>
      </c>
    </row>
    <row r="408" spans="1:3">
      <c r="A408" s="3">
        <v>3</v>
      </c>
      <c r="B408" s="3">
        <v>0</v>
      </c>
      <c r="C408" s="3">
        <v>76.099999999999994</v>
      </c>
    </row>
    <row r="409" spans="1:3">
      <c r="A409" s="3">
        <v>3</v>
      </c>
      <c r="B409" s="3">
        <v>1</v>
      </c>
      <c r="C409" s="3">
        <v>76.099999999999994</v>
      </c>
    </row>
    <row r="410" spans="1:3">
      <c r="A410" s="3">
        <v>3</v>
      </c>
      <c r="B410" s="3">
        <v>1</v>
      </c>
      <c r="C410" s="3">
        <v>76.099999999999994</v>
      </c>
    </row>
    <row r="411" spans="1:3">
      <c r="A411" s="3">
        <v>3</v>
      </c>
      <c r="B411" s="3">
        <v>1</v>
      </c>
      <c r="C411" s="3">
        <v>76.099999999999994</v>
      </c>
    </row>
    <row r="412" spans="1:3">
      <c r="A412" s="3">
        <v>2</v>
      </c>
      <c r="B412" s="3">
        <v>0</v>
      </c>
      <c r="C412" s="3">
        <v>76.2</v>
      </c>
    </row>
    <row r="413" spans="1:3">
      <c r="A413" s="3">
        <v>2</v>
      </c>
      <c r="B413" s="3">
        <v>0</v>
      </c>
      <c r="C413" s="3">
        <v>76.2</v>
      </c>
    </row>
    <row r="414" spans="1:3">
      <c r="A414" s="3">
        <v>3</v>
      </c>
      <c r="B414" s="3">
        <v>1</v>
      </c>
      <c r="C414" s="3">
        <v>76.3</v>
      </c>
    </row>
    <row r="415" spans="1:3">
      <c r="A415" s="3">
        <v>3</v>
      </c>
      <c r="B415" s="3">
        <v>1</v>
      </c>
      <c r="C415" s="3">
        <v>76.3</v>
      </c>
    </row>
    <row r="416" spans="1:3">
      <c r="A416" s="3">
        <v>2</v>
      </c>
      <c r="B416" s="3">
        <v>0</v>
      </c>
      <c r="C416" s="3">
        <v>76.400000000000006</v>
      </c>
    </row>
    <row r="417" spans="1:3">
      <c r="A417" s="3">
        <v>2</v>
      </c>
      <c r="B417" s="3">
        <v>1</v>
      </c>
      <c r="C417" s="3">
        <v>76.5</v>
      </c>
    </row>
    <row r="418" spans="1:3">
      <c r="A418" s="3">
        <v>2</v>
      </c>
      <c r="B418" s="3">
        <v>0</v>
      </c>
      <c r="C418" s="3">
        <v>76.599999999999994</v>
      </c>
    </row>
    <row r="419" spans="1:3">
      <c r="A419" s="3">
        <v>3</v>
      </c>
      <c r="B419" s="3">
        <v>0</v>
      </c>
      <c r="C419" s="3">
        <v>76.599999999999994</v>
      </c>
    </row>
    <row r="420" spans="1:3">
      <c r="A420" s="3">
        <v>2</v>
      </c>
      <c r="B420" s="3">
        <v>1</v>
      </c>
      <c r="C420" s="3">
        <v>76.7</v>
      </c>
    </row>
    <row r="421" spans="1:3">
      <c r="A421" s="3">
        <v>1</v>
      </c>
      <c r="B421" s="3">
        <v>0</v>
      </c>
      <c r="C421" s="3">
        <v>76.8</v>
      </c>
    </row>
    <row r="422" spans="1:3">
      <c r="A422" s="3">
        <v>3</v>
      </c>
      <c r="B422" s="3">
        <v>0</v>
      </c>
      <c r="C422" s="3">
        <v>76.8</v>
      </c>
    </row>
    <row r="423" spans="1:3">
      <c r="A423" s="3">
        <v>3</v>
      </c>
      <c r="B423" s="3">
        <v>0</v>
      </c>
      <c r="C423" s="3">
        <v>76.8</v>
      </c>
    </row>
    <row r="424" spans="1:3">
      <c r="A424" s="3">
        <v>1</v>
      </c>
      <c r="B424" s="3">
        <v>1</v>
      </c>
      <c r="C424" s="3">
        <v>76.900000000000006</v>
      </c>
    </row>
    <row r="425" spans="1:3">
      <c r="A425" s="3">
        <v>3</v>
      </c>
      <c r="B425" s="3">
        <v>1</v>
      </c>
      <c r="C425" s="3">
        <v>76.900000000000006</v>
      </c>
    </row>
    <row r="426" spans="1:3">
      <c r="A426" s="3">
        <v>1</v>
      </c>
      <c r="B426" s="3">
        <v>0</v>
      </c>
      <c r="C426" s="3">
        <v>76.900000000000006</v>
      </c>
    </row>
    <row r="427" spans="1:3">
      <c r="A427" s="3">
        <v>1</v>
      </c>
      <c r="B427" s="3">
        <v>0</v>
      </c>
      <c r="C427" s="3">
        <v>77</v>
      </c>
    </row>
    <row r="428" spans="1:3">
      <c r="A428" s="3">
        <v>1</v>
      </c>
      <c r="B428" s="3">
        <v>0</v>
      </c>
      <c r="C428" s="3">
        <v>77</v>
      </c>
    </row>
    <row r="429" spans="1:3">
      <c r="A429" s="3">
        <v>2</v>
      </c>
      <c r="B429" s="3">
        <v>1</v>
      </c>
      <c r="C429" s="3">
        <v>77</v>
      </c>
    </row>
    <row r="430" spans="1:3">
      <c r="A430" s="3">
        <v>3</v>
      </c>
      <c r="B430" s="3">
        <v>1</v>
      </c>
      <c r="C430" s="3">
        <v>77</v>
      </c>
    </row>
    <row r="431" spans="1:3">
      <c r="A431" s="3">
        <v>1</v>
      </c>
      <c r="B431" s="3">
        <v>1</v>
      </c>
      <c r="C431" s="3">
        <v>77.099999999999994</v>
      </c>
    </row>
    <row r="432" spans="1:3">
      <c r="A432" s="3">
        <v>3</v>
      </c>
      <c r="B432" s="3">
        <v>1</v>
      </c>
      <c r="C432" s="3">
        <v>77.2</v>
      </c>
    </row>
    <row r="433" spans="1:3">
      <c r="A433" s="3">
        <v>3</v>
      </c>
      <c r="B433" s="3">
        <v>1</v>
      </c>
      <c r="C433" s="3">
        <v>77.2</v>
      </c>
    </row>
    <row r="434" spans="1:3">
      <c r="A434" s="3">
        <v>2</v>
      </c>
      <c r="B434" s="3">
        <v>0</v>
      </c>
      <c r="C434" s="3">
        <v>77.2</v>
      </c>
    </row>
    <row r="435" spans="1:3">
      <c r="A435" s="3">
        <v>2</v>
      </c>
      <c r="B435" s="3">
        <v>1</v>
      </c>
      <c r="C435" s="3">
        <v>77.2</v>
      </c>
    </row>
    <row r="436" spans="1:3">
      <c r="A436" s="3">
        <v>3</v>
      </c>
      <c r="B436" s="3">
        <v>1</v>
      </c>
      <c r="C436" s="3">
        <v>77.2</v>
      </c>
    </row>
    <row r="437" spans="1:3">
      <c r="A437" s="3">
        <v>2</v>
      </c>
      <c r="B437" s="3">
        <v>1</v>
      </c>
      <c r="C437" s="3">
        <v>77.2</v>
      </c>
    </row>
    <row r="438" spans="1:3">
      <c r="A438" s="3">
        <v>3</v>
      </c>
      <c r="B438" s="3">
        <v>1</v>
      </c>
      <c r="C438" s="3">
        <v>77.2</v>
      </c>
    </row>
    <row r="439" spans="1:3">
      <c r="A439" s="3">
        <v>3</v>
      </c>
      <c r="B439" s="3">
        <v>1</v>
      </c>
      <c r="C439" s="3">
        <v>77.3</v>
      </c>
    </row>
    <row r="440" spans="1:3">
      <c r="A440" s="3">
        <v>2</v>
      </c>
      <c r="B440" s="3">
        <v>1</v>
      </c>
      <c r="C440" s="3">
        <v>77.3</v>
      </c>
    </row>
    <row r="441" spans="1:3">
      <c r="A441" s="3">
        <v>1</v>
      </c>
      <c r="B441" s="3">
        <v>1</v>
      </c>
      <c r="C441" s="3">
        <v>77.3</v>
      </c>
    </row>
    <row r="442" spans="1:3">
      <c r="A442" s="3">
        <v>1</v>
      </c>
      <c r="B442" s="3">
        <v>1</v>
      </c>
      <c r="C442" s="3">
        <v>77.400000000000006</v>
      </c>
    </row>
    <row r="443" spans="1:3">
      <c r="A443" s="3">
        <v>2</v>
      </c>
      <c r="B443" s="3">
        <v>1</v>
      </c>
      <c r="C443" s="3">
        <v>77.400000000000006</v>
      </c>
    </row>
    <row r="444" spans="1:3">
      <c r="A444" s="3">
        <v>2</v>
      </c>
      <c r="B444" s="3">
        <v>0</v>
      </c>
      <c r="C444" s="3">
        <v>77.400000000000006</v>
      </c>
    </row>
    <row r="445" spans="1:3">
      <c r="A445" s="3">
        <v>2</v>
      </c>
      <c r="B445" s="3">
        <v>1</v>
      </c>
      <c r="C445" s="3">
        <v>77.400000000000006</v>
      </c>
    </row>
    <row r="446" spans="1:3">
      <c r="A446" s="3">
        <v>1</v>
      </c>
      <c r="B446" s="3">
        <v>0</v>
      </c>
      <c r="C446" s="3">
        <v>77.5</v>
      </c>
    </row>
    <row r="447" spans="1:3">
      <c r="A447" s="3">
        <v>1</v>
      </c>
      <c r="B447" s="3">
        <v>1</v>
      </c>
      <c r="C447" s="3">
        <v>77.5</v>
      </c>
    </row>
    <row r="448" spans="1:3">
      <c r="A448" s="3">
        <v>3</v>
      </c>
      <c r="B448" s="3">
        <v>1</v>
      </c>
      <c r="C448" s="3">
        <v>77.5</v>
      </c>
    </row>
    <row r="449" spans="1:3">
      <c r="A449" s="3">
        <v>2</v>
      </c>
      <c r="B449" s="3">
        <v>0</v>
      </c>
      <c r="C449" s="3">
        <v>77.5</v>
      </c>
    </row>
    <row r="450" spans="1:3">
      <c r="A450" s="3">
        <v>2</v>
      </c>
      <c r="B450" s="3">
        <v>1</v>
      </c>
      <c r="C450" s="3">
        <v>77.5</v>
      </c>
    </row>
    <row r="451" spans="1:3">
      <c r="A451" s="3">
        <v>1</v>
      </c>
      <c r="B451" s="3">
        <v>0</v>
      </c>
      <c r="C451" s="3">
        <v>77.5</v>
      </c>
    </row>
    <row r="452" spans="1:3">
      <c r="A452" s="3">
        <v>3</v>
      </c>
      <c r="B452" s="3">
        <v>0</v>
      </c>
      <c r="C452" s="3">
        <v>77.7</v>
      </c>
    </row>
    <row r="453" spans="1:3">
      <c r="A453" s="3">
        <v>3</v>
      </c>
      <c r="B453" s="3">
        <v>1</v>
      </c>
      <c r="C453" s="3">
        <v>77.7</v>
      </c>
    </row>
    <row r="454" spans="1:3">
      <c r="A454" s="3">
        <v>3</v>
      </c>
      <c r="B454" s="3">
        <v>0</v>
      </c>
      <c r="C454" s="3">
        <v>77.7</v>
      </c>
    </row>
    <row r="455" spans="1:3">
      <c r="A455" s="3">
        <v>3</v>
      </c>
      <c r="B455" s="3">
        <v>1</v>
      </c>
      <c r="C455" s="3">
        <v>77.7</v>
      </c>
    </row>
    <row r="456" spans="1:3">
      <c r="A456" s="3">
        <v>1</v>
      </c>
      <c r="B456" s="3">
        <v>0</v>
      </c>
      <c r="C456" s="3">
        <v>77.8</v>
      </c>
    </row>
    <row r="457" spans="1:3">
      <c r="A457" s="3">
        <v>1</v>
      </c>
      <c r="B457" s="3">
        <v>0</v>
      </c>
      <c r="C457" s="3">
        <v>77.8</v>
      </c>
    </row>
    <row r="458" spans="1:3">
      <c r="A458" s="3">
        <v>3</v>
      </c>
      <c r="B458" s="3">
        <v>0</v>
      </c>
      <c r="C458" s="3">
        <v>77.8</v>
      </c>
    </row>
    <row r="459" spans="1:3">
      <c r="A459" s="3">
        <v>3</v>
      </c>
      <c r="B459" s="3">
        <v>0</v>
      </c>
      <c r="C459" s="3">
        <v>77.8</v>
      </c>
    </row>
    <row r="460" spans="1:3">
      <c r="A460" s="3">
        <v>1</v>
      </c>
      <c r="B460" s="3">
        <v>0</v>
      </c>
      <c r="C460" s="3">
        <v>78</v>
      </c>
    </row>
    <row r="461" spans="1:3">
      <c r="A461" s="3">
        <v>1</v>
      </c>
      <c r="B461" s="3">
        <v>1</v>
      </c>
      <c r="C461" s="3">
        <v>78.099999999999994</v>
      </c>
    </row>
    <row r="462" spans="1:3">
      <c r="A462" s="3">
        <v>1</v>
      </c>
      <c r="B462" s="3">
        <v>0</v>
      </c>
      <c r="C462" s="3">
        <v>78.2</v>
      </c>
    </row>
    <row r="463" spans="1:3">
      <c r="A463" s="3">
        <v>3</v>
      </c>
      <c r="B463" s="3">
        <v>0</v>
      </c>
      <c r="C463" s="3">
        <v>78.2</v>
      </c>
    </row>
    <row r="464" spans="1:3">
      <c r="A464" s="3">
        <v>2</v>
      </c>
      <c r="B464" s="3">
        <v>0</v>
      </c>
      <c r="C464" s="3">
        <v>78.2</v>
      </c>
    </row>
    <row r="465" spans="1:3">
      <c r="A465" s="3">
        <v>2</v>
      </c>
      <c r="B465" s="3">
        <v>0</v>
      </c>
      <c r="C465" s="3">
        <v>78.2</v>
      </c>
    </row>
    <row r="466" spans="1:3">
      <c r="A466" s="3">
        <v>3</v>
      </c>
      <c r="B466" s="3">
        <v>1</v>
      </c>
      <c r="C466" s="3">
        <v>78.2</v>
      </c>
    </row>
    <row r="467" spans="1:3">
      <c r="A467" s="3">
        <v>3</v>
      </c>
      <c r="B467" s="3">
        <v>1</v>
      </c>
      <c r="C467" s="3">
        <v>78.2</v>
      </c>
    </row>
    <row r="468" spans="1:3">
      <c r="A468" s="3">
        <v>1</v>
      </c>
      <c r="B468" s="3">
        <v>0</v>
      </c>
      <c r="C468" s="3">
        <v>78.2</v>
      </c>
    </row>
    <row r="469" spans="1:3">
      <c r="A469" s="3">
        <v>2</v>
      </c>
      <c r="B469" s="3">
        <v>1</v>
      </c>
      <c r="C469" s="3">
        <v>78.3</v>
      </c>
    </row>
    <row r="470" spans="1:3">
      <c r="A470" s="3">
        <v>3</v>
      </c>
      <c r="B470" s="3">
        <v>0</v>
      </c>
      <c r="C470" s="3">
        <v>78.3</v>
      </c>
    </row>
    <row r="471" spans="1:3">
      <c r="A471" s="3">
        <v>3</v>
      </c>
      <c r="B471" s="3">
        <v>0</v>
      </c>
      <c r="C471" s="3">
        <v>78.3</v>
      </c>
    </row>
    <row r="472" spans="1:3">
      <c r="A472" s="3">
        <v>1</v>
      </c>
      <c r="B472" s="3">
        <v>0</v>
      </c>
      <c r="C472" s="3">
        <v>78.3</v>
      </c>
    </row>
    <row r="473" spans="1:3">
      <c r="A473" s="3">
        <v>2</v>
      </c>
      <c r="B473" s="3">
        <v>0</v>
      </c>
      <c r="C473" s="3">
        <v>78.3</v>
      </c>
    </row>
    <row r="474" spans="1:3">
      <c r="A474" s="3">
        <v>3</v>
      </c>
      <c r="B474" s="3">
        <v>0</v>
      </c>
      <c r="C474" s="3">
        <v>78.400000000000006</v>
      </c>
    </row>
    <row r="475" spans="1:3">
      <c r="A475" s="3">
        <v>2</v>
      </c>
      <c r="B475" s="3">
        <v>1</v>
      </c>
      <c r="C475" s="3">
        <v>78.400000000000006</v>
      </c>
    </row>
    <row r="476" spans="1:3">
      <c r="A476" s="3">
        <v>3</v>
      </c>
      <c r="B476" s="3">
        <v>0</v>
      </c>
      <c r="C476" s="3">
        <v>78.400000000000006</v>
      </c>
    </row>
    <row r="477" spans="1:3">
      <c r="A477" s="3">
        <v>2</v>
      </c>
      <c r="B477" s="3">
        <v>0</v>
      </c>
      <c r="C477" s="3">
        <v>78.5</v>
      </c>
    </row>
    <row r="478" spans="1:3">
      <c r="A478" s="3">
        <v>2</v>
      </c>
      <c r="B478" s="3">
        <v>0</v>
      </c>
      <c r="C478" s="3">
        <v>78.5</v>
      </c>
    </row>
    <row r="479" spans="1:3">
      <c r="A479" s="3">
        <v>1</v>
      </c>
      <c r="B479" s="3">
        <v>1</v>
      </c>
      <c r="C479" s="3">
        <v>78.5</v>
      </c>
    </row>
    <row r="480" spans="1:3">
      <c r="A480" s="3">
        <v>1</v>
      </c>
      <c r="B480" s="3">
        <v>0</v>
      </c>
      <c r="C480" s="3">
        <v>78.5</v>
      </c>
    </row>
    <row r="481" spans="1:3">
      <c r="A481" s="3">
        <v>1</v>
      </c>
      <c r="B481" s="3">
        <v>0</v>
      </c>
      <c r="C481" s="3">
        <v>78.5</v>
      </c>
    </row>
    <row r="482" spans="1:3">
      <c r="A482" s="3">
        <v>2</v>
      </c>
      <c r="B482" s="3">
        <v>0</v>
      </c>
      <c r="C482" s="3">
        <v>78.5</v>
      </c>
    </row>
    <row r="483" spans="1:3">
      <c r="A483" s="3">
        <v>1</v>
      </c>
      <c r="B483" s="3">
        <v>1</v>
      </c>
      <c r="C483" s="3">
        <v>78.599999999999994</v>
      </c>
    </row>
    <row r="484" spans="1:3">
      <c r="A484" s="3">
        <v>1</v>
      </c>
      <c r="B484" s="3">
        <v>1</v>
      </c>
      <c r="C484" s="3">
        <v>78.7</v>
      </c>
    </row>
    <row r="485" spans="1:3">
      <c r="A485" s="3">
        <v>3</v>
      </c>
      <c r="B485" s="3">
        <v>0</v>
      </c>
      <c r="C485" s="3">
        <v>78.7</v>
      </c>
    </row>
    <row r="486" spans="1:3">
      <c r="A486" s="3">
        <v>3</v>
      </c>
      <c r="B486" s="3">
        <v>0</v>
      </c>
      <c r="C486" s="3">
        <v>78.8</v>
      </c>
    </row>
    <row r="487" spans="1:3">
      <c r="A487" s="3">
        <v>3</v>
      </c>
      <c r="B487" s="3">
        <v>1</v>
      </c>
      <c r="C487" s="3">
        <v>78.8</v>
      </c>
    </row>
    <row r="488" spans="1:3">
      <c r="A488" s="3">
        <v>1</v>
      </c>
      <c r="B488" s="3">
        <v>0</v>
      </c>
      <c r="C488" s="3">
        <v>78.8</v>
      </c>
    </row>
    <row r="489" spans="1:3">
      <c r="A489" s="3">
        <v>3</v>
      </c>
      <c r="B489" s="3">
        <v>0</v>
      </c>
      <c r="C489" s="3">
        <v>78.8</v>
      </c>
    </row>
    <row r="490" spans="1:3">
      <c r="A490" s="3">
        <v>2</v>
      </c>
      <c r="B490" s="3">
        <v>0</v>
      </c>
      <c r="C490" s="3">
        <v>78.900000000000006</v>
      </c>
    </row>
    <row r="491" spans="1:3">
      <c r="A491" s="3">
        <v>3</v>
      </c>
      <c r="B491" s="3">
        <v>1</v>
      </c>
      <c r="C491" s="3">
        <v>79</v>
      </c>
    </row>
    <row r="492" spans="1:3">
      <c r="A492" s="3">
        <v>3</v>
      </c>
      <c r="B492" s="3">
        <v>1</v>
      </c>
      <c r="C492" s="3">
        <v>79.099999999999994</v>
      </c>
    </row>
    <row r="493" spans="1:3">
      <c r="A493" s="3">
        <v>2</v>
      </c>
      <c r="B493" s="3">
        <v>0</v>
      </c>
      <c r="C493" s="3">
        <v>79.099999999999994</v>
      </c>
    </row>
    <row r="494" spans="1:3">
      <c r="A494" s="3">
        <v>3</v>
      </c>
      <c r="B494" s="3">
        <v>0</v>
      </c>
      <c r="C494" s="3">
        <v>79.2</v>
      </c>
    </row>
    <row r="495" spans="1:3">
      <c r="A495" s="3">
        <v>1</v>
      </c>
      <c r="B495" s="3">
        <v>0</v>
      </c>
      <c r="C495" s="3">
        <v>79.3</v>
      </c>
    </row>
    <row r="496" spans="1:3">
      <c r="A496" s="3">
        <v>3</v>
      </c>
      <c r="B496" s="3">
        <v>0</v>
      </c>
      <c r="C496" s="3">
        <v>79.3</v>
      </c>
    </row>
    <row r="497" spans="1:3">
      <c r="A497" s="3">
        <v>2</v>
      </c>
      <c r="B497" s="3">
        <v>0</v>
      </c>
      <c r="C497" s="3">
        <v>79.400000000000006</v>
      </c>
    </row>
    <row r="498" spans="1:3">
      <c r="A498" s="3">
        <v>3</v>
      </c>
      <c r="B498" s="3">
        <v>0</v>
      </c>
      <c r="C498" s="3">
        <v>79.400000000000006</v>
      </c>
    </row>
    <row r="499" spans="1:3">
      <c r="A499" s="3">
        <v>3</v>
      </c>
      <c r="B499" s="3">
        <v>0</v>
      </c>
      <c r="C499" s="3">
        <v>79.400000000000006</v>
      </c>
    </row>
    <row r="500" spans="1:3">
      <c r="A500" s="3">
        <v>1</v>
      </c>
      <c r="B500" s="3">
        <v>0</v>
      </c>
      <c r="C500" s="3">
        <v>79.400000000000006</v>
      </c>
    </row>
    <row r="501" spans="1:3">
      <c r="A501" s="3">
        <v>1</v>
      </c>
      <c r="B501" s="3">
        <v>0</v>
      </c>
      <c r="C501" s="3">
        <v>79.5</v>
      </c>
    </row>
    <row r="502" spans="1:3">
      <c r="A502" s="3">
        <v>3</v>
      </c>
      <c r="B502" s="3">
        <v>0</v>
      </c>
      <c r="C502" s="3">
        <v>79.5</v>
      </c>
    </row>
    <row r="503" spans="1:3">
      <c r="A503" s="3">
        <v>1</v>
      </c>
      <c r="B503" s="3">
        <v>0</v>
      </c>
      <c r="C503" s="3">
        <v>79.599999999999994</v>
      </c>
    </row>
    <row r="504" spans="1:3">
      <c r="A504" s="3">
        <v>1</v>
      </c>
      <c r="B504" s="3">
        <v>0</v>
      </c>
      <c r="C504" s="3">
        <v>79.599999999999994</v>
      </c>
    </row>
    <row r="505" spans="1:3">
      <c r="A505" s="3">
        <v>2</v>
      </c>
      <c r="B505" s="3">
        <v>1</v>
      </c>
      <c r="C505" s="3">
        <v>79.599999999999994</v>
      </c>
    </row>
    <row r="506" spans="1:3">
      <c r="A506" s="3">
        <v>1</v>
      </c>
      <c r="B506" s="3">
        <v>1</v>
      </c>
      <c r="C506" s="3">
        <v>79.7</v>
      </c>
    </row>
    <row r="507" spans="1:3">
      <c r="A507" s="3">
        <v>2</v>
      </c>
      <c r="B507" s="3">
        <v>1</v>
      </c>
      <c r="C507" s="3">
        <v>79.7</v>
      </c>
    </row>
    <row r="508" spans="1:3">
      <c r="A508" s="3">
        <v>2</v>
      </c>
      <c r="B508" s="3">
        <v>1</v>
      </c>
      <c r="C508" s="3">
        <v>79.8</v>
      </c>
    </row>
    <row r="509" spans="1:3">
      <c r="A509" s="3">
        <v>1</v>
      </c>
      <c r="B509" s="3">
        <v>0</v>
      </c>
      <c r="C509" s="3">
        <v>79.8</v>
      </c>
    </row>
    <row r="510" spans="1:3">
      <c r="A510" s="3">
        <v>2</v>
      </c>
      <c r="B510" s="3">
        <v>0</v>
      </c>
      <c r="C510" s="3">
        <v>79.900000000000006</v>
      </c>
    </row>
    <row r="511" spans="1:3">
      <c r="A511" s="3">
        <v>2</v>
      </c>
      <c r="B511" s="3">
        <v>0</v>
      </c>
      <c r="C511" s="3">
        <v>79.900000000000006</v>
      </c>
    </row>
    <row r="512" spans="1:3">
      <c r="A512" s="3">
        <v>2</v>
      </c>
      <c r="B512" s="3">
        <v>1</v>
      </c>
      <c r="C512" s="3">
        <v>79.900000000000006</v>
      </c>
    </row>
    <row r="513" spans="1:3">
      <c r="A513" s="3">
        <v>3</v>
      </c>
      <c r="B513" s="3">
        <v>0</v>
      </c>
      <c r="C513" s="3">
        <v>79.900000000000006</v>
      </c>
    </row>
    <row r="514" spans="1:3">
      <c r="A514" s="3">
        <v>1</v>
      </c>
      <c r="B514" s="3">
        <v>0</v>
      </c>
      <c r="C514" s="3">
        <v>79.900000000000006</v>
      </c>
    </row>
    <row r="515" spans="1:3">
      <c r="A515" s="3">
        <v>1</v>
      </c>
      <c r="B515" s="3">
        <v>0</v>
      </c>
      <c r="C515" s="3">
        <v>79.900000000000006</v>
      </c>
    </row>
    <row r="516" spans="1:3">
      <c r="A516" s="3">
        <v>2</v>
      </c>
      <c r="B516" s="3">
        <v>0</v>
      </c>
      <c r="C516" s="3">
        <v>79.900000000000006</v>
      </c>
    </row>
    <row r="517" spans="1:3">
      <c r="A517" s="3">
        <v>3</v>
      </c>
      <c r="B517" s="3">
        <v>1</v>
      </c>
      <c r="C517" s="3">
        <v>80</v>
      </c>
    </row>
    <row r="518" spans="1:3">
      <c r="A518" s="3">
        <v>3</v>
      </c>
      <c r="B518" s="3">
        <v>0</v>
      </c>
      <c r="C518" s="3">
        <v>80</v>
      </c>
    </row>
    <row r="519" spans="1:3">
      <c r="A519" s="3">
        <v>1</v>
      </c>
      <c r="B519" s="3">
        <v>1</v>
      </c>
      <c r="C519" s="3">
        <v>80</v>
      </c>
    </row>
    <row r="520" spans="1:3">
      <c r="A520" s="3">
        <v>3</v>
      </c>
      <c r="B520" s="3">
        <v>1</v>
      </c>
      <c r="C520" s="3">
        <v>80.099999999999994</v>
      </c>
    </row>
    <row r="521" spans="1:3">
      <c r="A521" s="3">
        <v>1</v>
      </c>
      <c r="B521" s="3">
        <v>0</v>
      </c>
      <c r="C521" s="3">
        <v>80.099999999999994</v>
      </c>
    </row>
    <row r="522" spans="1:3">
      <c r="A522" s="3">
        <v>3</v>
      </c>
      <c r="B522" s="3">
        <v>1</v>
      </c>
      <c r="C522" s="3">
        <v>80.099999999999994</v>
      </c>
    </row>
    <row r="523" spans="1:3">
      <c r="A523" s="3">
        <v>1</v>
      </c>
      <c r="B523" s="3">
        <v>0</v>
      </c>
      <c r="C523" s="3">
        <v>80.099999999999994</v>
      </c>
    </row>
    <row r="524" spans="1:3">
      <c r="A524" s="3">
        <v>2</v>
      </c>
      <c r="B524" s="3">
        <v>0</v>
      </c>
      <c r="C524" s="3">
        <v>80.099999999999994</v>
      </c>
    </row>
    <row r="525" spans="1:3">
      <c r="A525" s="3">
        <v>3</v>
      </c>
      <c r="B525" s="3">
        <v>0</v>
      </c>
      <c r="C525" s="3">
        <v>80.2</v>
      </c>
    </row>
    <row r="526" spans="1:3">
      <c r="A526" s="3">
        <v>3</v>
      </c>
      <c r="B526" s="3">
        <v>1</v>
      </c>
      <c r="C526" s="3">
        <v>80.2</v>
      </c>
    </row>
    <row r="527" spans="1:3">
      <c r="A527" s="3">
        <v>1</v>
      </c>
      <c r="B527" s="3">
        <v>0</v>
      </c>
      <c r="C527" s="3">
        <v>80.2</v>
      </c>
    </row>
    <row r="528" spans="1:3">
      <c r="A528" s="3">
        <v>2</v>
      </c>
      <c r="B528" s="3">
        <v>0</v>
      </c>
      <c r="C528" s="3">
        <v>80.2</v>
      </c>
    </row>
    <row r="529" spans="1:3">
      <c r="A529" s="3">
        <v>2</v>
      </c>
      <c r="B529" s="3">
        <v>1</v>
      </c>
      <c r="C529" s="3">
        <v>80.2</v>
      </c>
    </row>
    <row r="530" spans="1:3">
      <c r="A530" s="3">
        <v>2</v>
      </c>
      <c r="B530" s="3">
        <v>1</v>
      </c>
      <c r="C530" s="3">
        <v>80.2</v>
      </c>
    </row>
    <row r="531" spans="1:3">
      <c r="A531" s="3">
        <v>2</v>
      </c>
      <c r="B531" s="3">
        <v>0</v>
      </c>
      <c r="C531" s="3">
        <v>80.2</v>
      </c>
    </row>
    <row r="532" spans="1:3">
      <c r="A532" s="3">
        <v>1</v>
      </c>
      <c r="B532" s="3">
        <v>1</v>
      </c>
      <c r="C532" s="3">
        <v>80.2</v>
      </c>
    </row>
    <row r="533" spans="1:3">
      <c r="A533" s="3">
        <v>1</v>
      </c>
      <c r="B533" s="3">
        <v>0</v>
      </c>
      <c r="C533" s="3">
        <v>80.3</v>
      </c>
    </row>
    <row r="534" spans="1:3">
      <c r="A534" s="3">
        <v>3</v>
      </c>
      <c r="B534" s="3">
        <v>1</v>
      </c>
      <c r="C534" s="3">
        <v>80.3</v>
      </c>
    </row>
    <row r="535" spans="1:3">
      <c r="A535" s="3">
        <v>3</v>
      </c>
      <c r="B535" s="3">
        <v>0</v>
      </c>
      <c r="C535" s="3">
        <v>80.3</v>
      </c>
    </row>
    <row r="536" spans="1:3">
      <c r="A536" s="3">
        <v>3</v>
      </c>
      <c r="B536" s="3">
        <v>1</v>
      </c>
      <c r="C536" s="3">
        <v>80.3</v>
      </c>
    </row>
    <row r="537" spans="1:3">
      <c r="A537" s="3">
        <v>3</v>
      </c>
      <c r="B537" s="3">
        <v>1</v>
      </c>
      <c r="C537" s="3">
        <v>80.3</v>
      </c>
    </row>
    <row r="538" spans="1:3">
      <c r="A538" s="3">
        <v>1</v>
      </c>
      <c r="B538" s="3">
        <v>0</v>
      </c>
      <c r="C538" s="3">
        <v>80.3</v>
      </c>
    </row>
    <row r="539" spans="1:3">
      <c r="A539" s="3">
        <v>1</v>
      </c>
      <c r="B539" s="3">
        <v>0</v>
      </c>
      <c r="C539" s="3">
        <v>80.3</v>
      </c>
    </row>
    <row r="540" spans="1:3">
      <c r="A540" s="3">
        <v>2</v>
      </c>
      <c r="B540" s="3">
        <v>1</v>
      </c>
      <c r="C540" s="3">
        <v>80.400000000000006</v>
      </c>
    </row>
    <row r="541" spans="1:3">
      <c r="A541" s="3">
        <v>1</v>
      </c>
      <c r="B541" s="3">
        <v>1</v>
      </c>
      <c r="C541" s="3">
        <v>80.400000000000006</v>
      </c>
    </row>
    <row r="542" spans="1:3">
      <c r="A542" s="3">
        <v>3</v>
      </c>
      <c r="B542" s="3">
        <v>0</v>
      </c>
      <c r="C542" s="3">
        <v>80.5</v>
      </c>
    </row>
    <row r="543" spans="1:3">
      <c r="A543" s="3">
        <v>3</v>
      </c>
      <c r="B543" s="3">
        <v>1</v>
      </c>
      <c r="C543" s="3">
        <v>80.599999999999994</v>
      </c>
    </row>
    <row r="544" spans="1:3">
      <c r="A544" s="3">
        <v>2</v>
      </c>
      <c r="B544" s="3">
        <v>0</v>
      </c>
      <c r="C544" s="3">
        <v>80.599999999999994</v>
      </c>
    </row>
    <row r="545" spans="1:3">
      <c r="A545" s="3">
        <v>2</v>
      </c>
      <c r="B545" s="3">
        <v>0</v>
      </c>
      <c r="C545" s="3">
        <v>80.599999999999994</v>
      </c>
    </row>
    <row r="546" spans="1:3">
      <c r="A546" s="3">
        <v>2</v>
      </c>
      <c r="B546" s="3">
        <v>0</v>
      </c>
      <c r="C546" s="3">
        <v>80.599999999999994</v>
      </c>
    </row>
    <row r="547" spans="1:3">
      <c r="A547" s="3">
        <v>2</v>
      </c>
      <c r="B547" s="3">
        <v>1</v>
      </c>
      <c r="C547" s="3">
        <v>80.7</v>
      </c>
    </row>
    <row r="548" spans="1:3">
      <c r="A548" s="3">
        <v>3</v>
      </c>
      <c r="B548" s="3">
        <v>1</v>
      </c>
      <c r="C548" s="3">
        <v>80.7</v>
      </c>
    </row>
    <row r="549" spans="1:3">
      <c r="A549" s="3">
        <v>3</v>
      </c>
      <c r="B549" s="3">
        <v>1</v>
      </c>
      <c r="C549" s="3">
        <v>80.8</v>
      </c>
    </row>
    <row r="550" spans="1:3">
      <c r="A550" s="3">
        <v>3</v>
      </c>
      <c r="B550" s="3">
        <v>0</v>
      </c>
      <c r="C550" s="3">
        <v>80.8</v>
      </c>
    </row>
    <row r="551" spans="1:3">
      <c r="A551" s="3">
        <v>3</v>
      </c>
      <c r="B551" s="3">
        <v>0</v>
      </c>
      <c r="C551" s="3">
        <v>80.8</v>
      </c>
    </row>
    <row r="552" spans="1:3">
      <c r="A552" s="3">
        <v>2</v>
      </c>
      <c r="B552" s="3">
        <v>0</v>
      </c>
      <c r="C552" s="3">
        <v>81</v>
      </c>
    </row>
    <row r="553" spans="1:3">
      <c r="A553" s="3">
        <v>2</v>
      </c>
      <c r="B553" s="3">
        <v>0</v>
      </c>
      <c r="C553" s="3">
        <v>81</v>
      </c>
    </row>
    <row r="554" spans="1:3">
      <c r="A554" s="3">
        <v>3</v>
      </c>
      <c r="B554" s="3">
        <v>1</v>
      </c>
      <c r="C554" s="3">
        <v>81</v>
      </c>
    </row>
    <row r="555" spans="1:3">
      <c r="A555" s="3">
        <v>3</v>
      </c>
      <c r="B555" s="3">
        <v>1</v>
      </c>
      <c r="C555" s="3">
        <v>81</v>
      </c>
    </row>
    <row r="556" spans="1:3">
      <c r="A556" s="3">
        <v>3</v>
      </c>
      <c r="B556" s="3">
        <v>0</v>
      </c>
      <c r="C556" s="3">
        <v>81</v>
      </c>
    </row>
    <row r="557" spans="1:3">
      <c r="A557" s="3">
        <v>1</v>
      </c>
      <c r="B557" s="3">
        <v>0</v>
      </c>
      <c r="C557" s="3">
        <v>81</v>
      </c>
    </row>
    <row r="558" spans="1:3">
      <c r="A558" s="3">
        <v>3</v>
      </c>
      <c r="B558" s="3">
        <v>0</v>
      </c>
      <c r="C558" s="3">
        <v>81</v>
      </c>
    </row>
    <row r="559" spans="1:3">
      <c r="A559" s="3">
        <v>1</v>
      </c>
      <c r="B559" s="3">
        <v>0</v>
      </c>
      <c r="C559" s="3">
        <v>81.099999999999994</v>
      </c>
    </row>
    <row r="560" spans="1:3">
      <c r="A560" s="3">
        <v>3</v>
      </c>
      <c r="B560" s="3">
        <v>0</v>
      </c>
      <c r="C560" s="3">
        <v>81.099999999999994</v>
      </c>
    </row>
    <row r="561" spans="1:3">
      <c r="A561" s="3">
        <v>2</v>
      </c>
      <c r="B561" s="3">
        <v>0</v>
      </c>
      <c r="C561" s="3">
        <v>81.2</v>
      </c>
    </row>
    <row r="562" spans="1:3">
      <c r="A562" s="3">
        <v>3</v>
      </c>
      <c r="B562" s="3">
        <v>0</v>
      </c>
      <c r="C562" s="3">
        <v>81.2</v>
      </c>
    </row>
    <row r="563" spans="1:3">
      <c r="A563" s="3">
        <v>2</v>
      </c>
      <c r="B563" s="3">
        <v>1</v>
      </c>
      <c r="C563" s="3">
        <v>81.2</v>
      </c>
    </row>
    <row r="564" spans="1:3">
      <c r="A564" s="3">
        <v>1</v>
      </c>
      <c r="B564" s="3">
        <v>1</v>
      </c>
      <c r="C564" s="3">
        <v>81.2</v>
      </c>
    </row>
    <row r="565" spans="1:3">
      <c r="A565" s="3">
        <v>1</v>
      </c>
      <c r="B565" s="3">
        <v>0</v>
      </c>
      <c r="C565" s="3">
        <v>81.3</v>
      </c>
    </row>
    <row r="566" spans="1:3">
      <c r="A566" s="3">
        <v>1</v>
      </c>
      <c r="B566" s="3">
        <v>0</v>
      </c>
      <c r="C566" s="3">
        <v>81.400000000000006</v>
      </c>
    </row>
    <row r="567" spans="1:3">
      <c r="A567" s="3">
        <v>2</v>
      </c>
      <c r="B567" s="3">
        <v>1</v>
      </c>
      <c r="C567" s="3">
        <v>81.400000000000006</v>
      </c>
    </row>
    <row r="568" spans="1:3">
      <c r="A568" s="3">
        <v>3</v>
      </c>
      <c r="B568" s="3">
        <v>1</v>
      </c>
      <c r="C568" s="3">
        <v>81.400000000000006</v>
      </c>
    </row>
    <row r="569" spans="1:3">
      <c r="A569" s="3">
        <v>1</v>
      </c>
      <c r="B569" s="3">
        <v>0</v>
      </c>
      <c r="C569" s="3">
        <v>81.5</v>
      </c>
    </row>
    <row r="570" spans="1:3">
      <c r="A570" s="3">
        <v>3</v>
      </c>
      <c r="B570" s="3">
        <v>0</v>
      </c>
      <c r="C570" s="3">
        <v>81.5</v>
      </c>
    </row>
    <row r="571" spans="1:3">
      <c r="A571" s="3">
        <v>3</v>
      </c>
      <c r="B571" s="3">
        <v>0</v>
      </c>
      <c r="C571" s="3">
        <v>81.5</v>
      </c>
    </row>
    <row r="572" spans="1:3">
      <c r="A572" s="3">
        <v>1</v>
      </c>
      <c r="B572" s="3">
        <v>0</v>
      </c>
      <c r="C572" s="3">
        <v>81.5</v>
      </c>
    </row>
    <row r="573" spans="1:3">
      <c r="A573" s="3">
        <v>1</v>
      </c>
      <c r="B573" s="3">
        <v>0</v>
      </c>
      <c r="C573" s="3">
        <v>81.599999999999994</v>
      </c>
    </row>
    <row r="574" spans="1:3">
      <c r="A574" s="3">
        <v>1</v>
      </c>
      <c r="B574" s="3">
        <v>1</v>
      </c>
      <c r="C574" s="3">
        <v>81.599999999999994</v>
      </c>
    </row>
    <row r="575" spans="1:3">
      <c r="A575" s="3">
        <v>3</v>
      </c>
      <c r="B575" s="3">
        <v>0</v>
      </c>
      <c r="C575" s="3">
        <v>81.7</v>
      </c>
    </row>
    <row r="576" spans="1:3">
      <c r="A576" s="3">
        <v>2</v>
      </c>
      <c r="B576" s="3">
        <v>0</v>
      </c>
      <c r="C576" s="3">
        <v>81.7</v>
      </c>
    </row>
    <row r="577" spans="1:3">
      <c r="A577" s="3">
        <v>2</v>
      </c>
      <c r="B577" s="3">
        <v>1</v>
      </c>
      <c r="C577" s="3">
        <v>81.900000000000006</v>
      </c>
    </row>
    <row r="578" spans="1:3">
      <c r="A578" s="3">
        <v>2</v>
      </c>
      <c r="B578" s="3">
        <v>0</v>
      </c>
      <c r="C578" s="3">
        <v>81.900000000000006</v>
      </c>
    </row>
    <row r="579" spans="1:3">
      <c r="A579" s="3">
        <v>1</v>
      </c>
      <c r="B579" s="3">
        <v>0</v>
      </c>
      <c r="C579" s="3">
        <v>82</v>
      </c>
    </row>
    <row r="580" spans="1:3">
      <c r="A580" s="3">
        <v>1</v>
      </c>
      <c r="B580" s="3">
        <v>0</v>
      </c>
      <c r="C580" s="3">
        <v>82</v>
      </c>
    </row>
    <row r="581" spans="1:3">
      <c r="A581" s="3">
        <v>3</v>
      </c>
      <c r="B581" s="3">
        <v>0</v>
      </c>
      <c r="C581" s="3">
        <v>82</v>
      </c>
    </row>
    <row r="582" spans="1:3">
      <c r="A582" s="3">
        <v>2</v>
      </c>
      <c r="B582" s="3">
        <v>1</v>
      </c>
      <c r="C582" s="3">
        <v>82.1</v>
      </c>
    </row>
    <row r="583" spans="1:3">
      <c r="A583" s="3">
        <v>3</v>
      </c>
      <c r="B583" s="3">
        <v>0</v>
      </c>
      <c r="C583" s="3">
        <v>82.1</v>
      </c>
    </row>
    <row r="584" spans="1:3">
      <c r="A584" s="3">
        <v>3</v>
      </c>
      <c r="B584" s="3">
        <v>0</v>
      </c>
      <c r="C584" s="3">
        <v>82.2</v>
      </c>
    </row>
    <row r="585" spans="1:3">
      <c r="A585" s="3">
        <v>2</v>
      </c>
      <c r="B585" s="3">
        <v>0</v>
      </c>
      <c r="C585" s="3">
        <v>82.2</v>
      </c>
    </row>
    <row r="586" spans="1:3">
      <c r="A586" s="3">
        <v>2</v>
      </c>
      <c r="B586" s="3">
        <v>0</v>
      </c>
      <c r="C586" s="3">
        <v>82.2</v>
      </c>
    </row>
    <row r="587" spans="1:3">
      <c r="A587" s="3">
        <v>3</v>
      </c>
      <c r="B587" s="3">
        <v>1</v>
      </c>
      <c r="C587" s="3">
        <v>82.2</v>
      </c>
    </row>
    <row r="588" spans="1:3">
      <c r="A588" s="3">
        <v>3</v>
      </c>
      <c r="B588" s="3">
        <v>0</v>
      </c>
      <c r="C588" s="3">
        <v>82.2</v>
      </c>
    </row>
    <row r="589" spans="1:3">
      <c r="A589" s="3">
        <v>3</v>
      </c>
      <c r="B589" s="3">
        <v>0</v>
      </c>
      <c r="C589" s="3">
        <v>82.2</v>
      </c>
    </row>
    <row r="590" spans="1:3">
      <c r="A590" s="3">
        <v>3</v>
      </c>
      <c r="B590" s="3">
        <v>0</v>
      </c>
      <c r="C590" s="3">
        <v>82.2</v>
      </c>
    </row>
    <row r="591" spans="1:3">
      <c r="A591" s="3">
        <v>1</v>
      </c>
      <c r="B591" s="3">
        <v>0</v>
      </c>
      <c r="C591" s="3">
        <v>82.2</v>
      </c>
    </row>
    <row r="592" spans="1:3">
      <c r="A592" s="3">
        <v>1</v>
      </c>
      <c r="B592" s="3">
        <v>0</v>
      </c>
      <c r="C592" s="3">
        <v>82.3</v>
      </c>
    </row>
    <row r="593" spans="1:3">
      <c r="A593" s="3">
        <v>3</v>
      </c>
      <c r="B593" s="3">
        <v>0</v>
      </c>
      <c r="C593" s="3">
        <v>82.3</v>
      </c>
    </row>
    <row r="594" spans="1:3">
      <c r="A594" s="3">
        <v>3</v>
      </c>
      <c r="B594" s="3">
        <v>1</v>
      </c>
      <c r="C594" s="3">
        <v>82.3</v>
      </c>
    </row>
    <row r="595" spans="1:3">
      <c r="A595" s="3">
        <v>2</v>
      </c>
      <c r="B595" s="3">
        <v>0</v>
      </c>
      <c r="C595" s="3">
        <v>82.4</v>
      </c>
    </row>
    <row r="596" spans="1:3">
      <c r="A596" s="3">
        <v>1</v>
      </c>
      <c r="B596" s="3">
        <v>1</v>
      </c>
      <c r="C596" s="3">
        <v>82.4</v>
      </c>
    </row>
    <row r="597" spans="1:3">
      <c r="A597" s="3">
        <v>3</v>
      </c>
      <c r="B597" s="3">
        <v>0</v>
      </c>
      <c r="C597" s="3">
        <v>82.5</v>
      </c>
    </row>
    <row r="598" spans="1:3">
      <c r="A598" s="3">
        <v>3</v>
      </c>
      <c r="B598" s="3">
        <v>1</v>
      </c>
      <c r="C598" s="3">
        <v>82.5</v>
      </c>
    </row>
    <row r="599" spans="1:3">
      <c r="A599" s="3">
        <v>3</v>
      </c>
      <c r="B599" s="3">
        <v>1</v>
      </c>
      <c r="C599" s="3">
        <v>82.5</v>
      </c>
    </row>
    <row r="600" spans="1:3">
      <c r="A600" s="3">
        <v>3</v>
      </c>
      <c r="B600" s="3">
        <v>0</v>
      </c>
      <c r="C600" s="3">
        <v>82.5</v>
      </c>
    </row>
    <row r="601" spans="1:3">
      <c r="A601" s="3">
        <v>1</v>
      </c>
      <c r="B601" s="3">
        <v>0</v>
      </c>
      <c r="C601" s="3">
        <v>82.5</v>
      </c>
    </row>
    <row r="602" spans="1:3">
      <c r="A602" s="3">
        <v>1</v>
      </c>
      <c r="B602" s="3">
        <v>0</v>
      </c>
      <c r="C602" s="3">
        <v>82.6</v>
      </c>
    </row>
    <row r="603" spans="1:3">
      <c r="A603" s="3">
        <v>2</v>
      </c>
      <c r="B603" s="3">
        <v>1</v>
      </c>
      <c r="C603" s="3">
        <v>82.6</v>
      </c>
    </row>
    <row r="604" spans="1:3">
      <c r="A604" s="3">
        <v>2</v>
      </c>
      <c r="B604" s="3">
        <v>1</v>
      </c>
      <c r="C604" s="3">
        <v>82.6</v>
      </c>
    </row>
    <row r="605" spans="1:3">
      <c r="A605" s="3">
        <v>2</v>
      </c>
      <c r="B605" s="3">
        <v>0</v>
      </c>
      <c r="C605" s="3">
        <v>82.7</v>
      </c>
    </row>
    <row r="606" spans="1:3">
      <c r="A606" s="3">
        <v>1</v>
      </c>
      <c r="B606" s="3">
        <v>0</v>
      </c>
      <c r="C606" s="3">
        <v>82.8</v>
      </c>
    </row>
    <row r="607" spans="1:3">
      <c r="A607" s="3">
        <v>2</v>
      </c>
      <c r="B607" s="3">
        <v>0</v>
      </c>
      <c r="C607" s="3">
        <v>82.8</v>
      </c>
    </row>
    <row r="608" spans="1:3">
      <c r="A608" s="3">
        <v>3</v>
      </c>
      <c r="B608" s="3">
        <v>0</v>
      </c>
      <c r="C608" s="3">
        <v>82.8</v>
      </c>
    </row>
    <row r="609" spans="1:3">
      <c r="A609" s="3">
        <v>3</v>
      </c>
      <c r="B609" s="3">
        <v>0</v>
      </c>
      <c r="C609" s="3">
        <v>82.8</v>
      </c>
    </row>
    <row r="610" spans="1:3">
      <c r="A610" s="3">
        <v>1</v>
      </c>
      <c r="B610" s="3">
        <v>0</v>
      </c>
      <c r="C610" s="3">
        <v>82.8</v>
      </c>
    </row>
    <row r="611" spans="1:3">
      <c r="A611" s="3">
        <v>2</v>
      </c>
      <c r="B611" s="3">
        <v>0</v>
      </c>
      <c r="C611" s="3">
        <v>82.9</v>
      </c>
    </row>
    <row r="612" spans="1:3">
      <c r="A612" s="3">
        <v>2</v>
      </c>
      <c r="B612" s="3">
        <v>0</v>
      </c>
      <c r="C612" s="3">
        <v>82.9</v>
      </c>
    </row>
    <row r="613" spans="1:3">
      <c r="A613" s="3">
        <v>3</v>
      </c>
      <c r="B613" s="3">
        <v>1</v>
      </c>
      <c r="C613" s="3">
        <v>82.9</v>
      </c>
    </row>
    <row r="614" spans="1:3">
      <c r="A614" s="3">
        <v>3</v>
      </c>
      <c r="B614" s="3">
        <v>0</v>
      </c>
      <c r="C614" s="3">
        <v>82.9</v>
      </c>
    </row>
    <row r="615" spans="1:3">
      <c r="A615" s="3">
        <v>3</v>
      </c>
      <c r="B615" s="3">
        <v>0</v>
      </c>
      <c r="C615" s="3">
        <v>82.9</v>
      </c>
    </row>
    <row r="616" spans="1:3">
      <c r="A616" s="3">
        <v>2</v>
      </c>
      <c r="B616" s="3">
        <v>0</v>
      </c>
      <c r="C616" s="3">
        <v>83</v>
      </c>
    </row>
    <row r="617" spans="1:3">
      <c r="A617" s="3">
        <v>1</v>
      </c>
      <c r="B617" s="3">
        <v>0</v>
      </c>
      <c r="C617" s="3">
        <v>83</v>
      </c>
    </row>
    <row r="618" spans="1:3">
      <c r="A618" s="3">
        <v>2</v>
      </c>
      <c r="B618" s="3">
        <v>0</v>
      </c>
      <c r="C618" s="3">
        <v>83</v>
      </c>
    </row>
    <row r="619" spans="1:3">
      <c r="A619" s="3">
        <v>1</v>
      </c>
      <c r="B619" s="3">
        <v>0</v>
      </c>
      <c r="C619" s="3">
        <v>83</v>
      </c>
    </row>
    <row r="620" spans="1:3">
      <c r="A620" s="3">
        <v>1</v>
      </c>
      <c r="B620" s="3">
        <v>0</v>
      </c>
      <c r="C620" s="3">
        <v>83</v>
      </c>
    </row>
    <row r="621" spans="1:3">
      <c r="A621" s="3">
        <v>1</v>
      </c>
      <c r="B621" s="3">
        <v>0</v>
      </c>
      <c r="C621" s="3">
        <v>83</v>
      </c>
    </row>
    <row r="622" spans="1:3">
      <c r="A622" s="3">
        <v>3</v>
      </c>
      <c r="B622" s="3">
        <v>1</v>
      </c>
      <c r="C622" s="3">
        <v>83</v>
      </c>
    </row>
    <row r="623" spans="1:3">
      <c r="A623" s="3">
        <v>1</v>
      </c>
      <c r="B623" s="3">
        <v>0</v>
      </c>
      <c r="C623" s="3">
        <v>83.1</v>
      </c>
    </row>
    <row r="624" spans="1:3">
      <c r="A624" s="3">
        <v>3</v>
      </c>
      <c r="B624" s="3">
        <v>0</v>
      </c>
      <c r="C624" s="3">
        <v>83.1</v>
      </c>
    </row>
    <row r="625" spans="1:3">
      <c r="A625" s="3">
        <v>1</v>
      </c>
      <c r="B625" s="3">
        <v>0</v>
      </c>
      <c r="C625" s="3">
        <v>83.1</v>
      </c>
    </row>
    <row r="626" spans="1:3">
      <c r="A626" s="3">
        <v>2</v>
      </c>
      <c r="B626" s="3">
        <v>1</v>
      </c>
      <c r="C626" s="3">
        <v>83.2</v>
      </c>
    </row>
    <row r="627" spans="1:3">
      <c r="A627" s="3">
        <v>3</v>
      </c>
      <c r="B627" s="3">
        <v>0</v>
      </c>
      <c r="C627" s="3">
        <v>83.2</v>
      </c>
    </row>
    <row r="628" spans="1:3">
      <c r="A628" s="3">
        <v>1</v>
      </c>
      <c r="B628" s="3">
        <v>0</v>
      </c>
      <c r="C628" s="3">
        <v>83.2</v>
      </c>
    </row>
    <row r="629" spans="1:3">
      <c r="A629" s="3">
        <v>2</v>
      </c>
      <c r="B629" s="3">
        <v>0</v>
      </c>
      <c r="C629" s="3">
        <v>83.2</v>
      </c>
    </row>
    <row r="630" spans="1:3">
      <c r="A630" s="3">
        <v>3</v>
      </c>
      <c r="B630" s="3">
        <v>0</v>
      </c>
      <c r="C630" s="3">
        <v>83.3</v>
      </c>
    </row>
    <row r="631" spans="1:3">
      <c r="A631" s="3">
        <v>3</v>
      </c>
      <c r="B631" s="3">
        <v>1</v>
      </c>
      <c r="C631" s="3">
        <v>83.3</v>
      </c>
    </row>
    <row r="632" spans="1:3">
      <c r="A632" s="3">
        <v>2</v>
      </c>
      <c r="B632" s="3">
        <v>1</v>
      </c>
      <c r="C632" s="3">
        <v>83.3</v>
      </c>
    </row>
    <row r="633" spans="1:3">
      <c r="A633" s="3">
        <v>2</v>
      </c>
      <c r="B633" s="3">
        <v>1</v>
      </c>
      <c r="C633" s="3">
        <v>83.4</v>
      </c>
    </row>
    <row r="634" spans="1:3">
      <c r="A634" s="3">
        <v>3</v>
      </c>
      <c r="B634" s="3">
        <v>1</v>
      </c>
      <c r="C634" s="3">
        <v>83.4</v>
      </c>
    </row>
    <row r="635" spans="1:3">
      <c r="A635" s="3">
        <v>1</v>
      </c>
      <c r="B635" s="3">
        <v>0</v>
      </c>
      <c r="C635" s="3">
        <v>83.5</v>
      </c>
    </row>
    <row r="636" spans="1:3">
      <c r="A636" s="3">
        <v>3</v>
      </c>
      <c r="B636" s="3">
        <v>1</v>
      </c>
      <c r="C636" s="3">
        <v>83.5</v>
      </c>
    </row>
    <row r="637" spans="1:3">
      <c r="A637" s="3">
        <v>3</v>
      </c>
      <c r="B637" s="3">
        <v>0</v>
      </c>
      <c r="C637" s="3">
        <v>83.5</v>
      </c>
    </row>
    <row r="638" spans="1:3">
      <c r="A638" s="3">
        <v>3</v>
      </c>
      <c r="B638" s="3">
        <v>0</v>
      </c>
      <c r="C638" s="3">
        <v>83.5</v>
      </c>
    </row>
    <row r="639" spans="1:3">
      <c r="A639" s="3">
        <v>3</v>
      </c>
      <c r="B639" s="3">
        <v>0</v>
      </c>
      <c r="C639" s="3">
        <v>83.5</v>
      </c>
    </row>
    <row r="640" spans="1:3">
      <c r="A640" s="3">
        <v>1</v>
      </c>
      <c r="B640" s="3">
        <v>1</v>
      </c>
      <c r="C640" s="3">
        <v>83.6</v>
      </c>
    </row>
    <row r="641" spans="1:3">
      <c r="A641" s="3">
        <v>3</v>
      </c>
      <c r="B641" s="3">
        <v>0</v>
      </c>
      <c r="C641" s="3">
        <v>83.6</v>
      </c>
    </row>
    <row r="642" spans="1:3">
      <c r="A642" s="3">
        <v>2</v>
      </c>
      <c r="B642" s="3">
        <v>0</v>
      </c>
      <c r="C642" s="3">
        <v>83.6</v>
      </c>
    </row>
    <row r="643" spans="1:3">
      <c r="A643" s="3">
        <v>3</v>
      </c>
      <c r="B643" s="3">
        <v>0</v>
      </c>
      <c r="C643" s="3">
        <v>83.6</v>
      </c>
    </row>
    <row r="644" spans="1:3">
      <c r="A644" s="3">
        <v>3</v>
      </c>
      <c r="B644" s="3">
        <v>0</v>
      </c>
      <c r="C644" s="3">
        <v>83.7</v>
      </c>
    </row>
    <row r="645" spans="1:3">
      <c r="A645" s="3">
        <v>3</v>
      </c>
      <c r="B645" s="3">
        <v>1</v>
      </c>
      <c r="C645" s="3">
        <v>83.7</v>
      </c>
    </row>
    <row r="646" spans="1:3">
      <c r="A646" s="3">
        <v>1</v>
      </c>
      <c r="B646" s="3">
        <v>1</v>
      </c>
      <c r="C646" s="3">
        <v>83.7</v>
      </c>
    </row>
    <row r="647" spans="1:3">
      <c r="A647" s="3">
        <v>1</v>
      </c>
      <c r="B647" s="3">
        <v>0</v>
      </c>
      <c r="C647" s="3">
        <v>83.8</v>
      </c>
    </row>
    <row r="648" spans="1:3">
      <c r="A648" s="3">
        <v>2</v>
      </c>
      <c r="B648" s="3">
        <v>0</v>
      </c>
      <c r="C648" s="3">
        <v>83.9</v>
      </c>
    </row>
    <row r="649" spans="1:3">
      <c r="A649" s="3">
        <v>3</v>
      </c>
      <c r="B649" s="3">
        <v>0</v>
      </c>
      <c r="C649" s="3">
        <v>83.9</v>
      </c>
    </row>
    <row r="650" spans="1:3">
      <c r="A650" s="3">
        <v>2</v>
      </c>
      <c r="B650" s="3">
        <v>0</v>
      </c>
      <c r="C650" s="3">
        <v>83.9</v>
      </c>
    </row>
    <row r="651" spans="1:3">
      <c r="A651" s="3">
        <v>2</v>
      </c>
      <c r="B651" s="3">
        <v>0</v>
      </c>
      <c r="C651" s="3">
        <v>84</v>
      </c>
    </row>
    <row r="652" spans="1:3">
      <c r="A652" s="3">
        <v>3</v>
      </c>
      <c r="B652" s="3">
        <v>0</v>
      </c>
      <c r="C652" s="3">
        <v>84</v>
      </c>
    </row>
    <row r="653" spans="1:3">
      <c r="A653" s="3">
        <v>2</v>
      </c>
      <c r="B653" s="3">
        <v>0</v>
      </c>
      <c r="C653" s="3">
        <v>84</v>
      </c>
    </row>
    <row r="654" spans="1:3">
      <c r="A654" s="3">
        <v>1</v>
      </c>
      <c r="B654" s="3">
        <v>0</v>
      </c>
      <c r="C654" s="3">
        <v>84.1</v>
      </c>
    </row>
    <row r="655" spans="1:3">
      <c r="A655" s="3">
        <v>3</v>
      </c>
      <c r="B655" s="3">
        <v>1</v>
      </c>
      <c r="C655" s="3">
        <v>84.1</v>
      </c>
    </row>
    <row r="656" spans="1:3">
      <c r="A656" s="3">
        <v>1</v>
      </c>
      <c r="B656" s="3">
        <v>0</v>
      </c>
      <c r="C656" s="3">
        <v>84.2</v>
      </c>
    </row>
    <row r="657" spans="1:3">
      <c r="A657" s="3">
        <v>3</v>
      </c>
      <c r="B657" s="3">
        <v>0</v>
      </c>
      <c r="C657" s="3">
        <v>84.2</v>
      </c>
    </row>
    <row r="658" spans="1:3">
      <c r="A658" s="3">
        <v>1</v>
      </c>
      <c r="B658" s="3">
        <v>0</v>
      </c>
      <c r="C658" s="3">
        <v>84.2</v>
      </c>
    </row>
    <row r="659" spans="1:3">
      <c r="A659" s="3">
        <v>1</v>
      </c>
      <c r="B659" s="3">
        <v>0</v>
      </c>
      <c r="C659" s="3">
        <v>84.3</v>
      </c>
    </row>
    <row r="660" spans="1:3">
      <c r="A660" s="3">
        <v>3</v>
      </c>
      <c r="B660" s="3">
        <v>0</v>
      </c>
      <c r="C660" s="3">
        <v>84.3</v>
      </c>
    </row>
    <row r="661" spans="1:3">
      <c r="A661" s="3">
        <v>1</v>
      </c>
      <c r="B661" s="3">
        <v>0</v>
      </c>
      <c r="C661" s="3">
        <v>84.3</v>
      </c>
    </row>
    <row r="662" spans="1:3">
      <c r="A662" s="3">
        <v>2</v>
      </c>
      <c r="B662" s="3">
        <v>0</v>
      </c>
      <c r="C662" s="3">
        <v>84.3</v>
      </c>
    </row>
    <row r="663" spans="1:3">
      <c r="A663" s="3">
        <v>3</v>
      </c>
      <c r="B663" s="3">
        <v>0</v>
      </c>
      <c r="C663" s="3">
        <v>84.4</v>
      </c>
    </row>
    <row r="664" spans="1:3">
      <c r="A664" s="3">
        <v>1</v>
      </c>
      <c r="B664" s="3">
        <v>0</v>
      </c>
      <c r="C664" s="3">
        <v>84.5</v>
      </c>
    </row>
    <row r="665" spans="1:3">
      <c r="A665" s="3">
        <v>2</v>
      </c>
      <c r="B665" s="3">
        <v>0</v>
      </c>
      <c r="C665" s="3">
        <v>84.5</v>
      </c>
    </row>
    <row r="666" spans="1:3">
      <c r="A666" s="3">
        <v>2</v>
      </c>
      <c r="B666" s="3">
        <v>0</v>
      </c>
      <c r="C666" s="3">
        <v>84.5</v>
      </c>
    </row>
    <row r="667" spans="1:3">
      <c r="A667" s="3">
        <v>3</v>
      </c>
      <c r="B667" s="3">
        <v>1</v>
      </c>
      <c r="C667" s="3">
        <v>84.5</v>
      </c>
    </row>
    <row r="668" spans="1:3">
      <c r="A668" s="3">
        <v>1</v>
      </c>
      <c r="B668" s="3">
        <v>0</v>
      </c>
      <c r="C668" s="3">
        <v>84.5</v>
      </c>
    </row>
    <row r="669" spans="1:3">
      <c r="A669" s="3">
        <v>2</v>
      </c>
      <c r="B669" s="3">
        <v>1</v>
      </c>
      <c r="C669" s="3">
        <v>84.6</v>
      </c>
    </row>
    <row r="670" spans="1:3">
      <c r="A670" s="3">
        <v>1</v>
      </c>
      <c r="B670" s="3">
        <v>0</v>
      </c>
      <c r="C670" s="3">
        <v>84.6</v>
      </c>
    </row>
    <row r="671" spans="1:3">
      <c r="A671" s="3">
        <v>2</v>
      </c>
      <c r="B671" s="3">
        <v>0</v>
      </c>
      <c r="C671" s="3">
        <v>84.7</v>
      </c>
    </row>
    <row r="672" spans="1:3">
      <c r="A672" s="3">
        <v>3</v>
      </c>
      <c r="B672" s="3">
        <v>0</v>
      </c>
      <c r="C672" s="3">
        <v>84.7</v>
      </c>
    </row>
    <row r="673" spans="1:3">
      <c r="A673" s="3">
        <v>2</v>
      </c>
      <c r="B673" s="3">
        <v>0</v>
      </c>
      <c r="C673" s="3">
        <v>84.7</v>
      </c>
    </row>
    <row r="674" spans="1:3">
      <c r="A674" s="3">
        <v>2</v>
      </c>
      <c r="B674" s="3">
        <v>0</v>
      </c>
      <c r="C674" s="3">
        <v>84.8</v>
      </c>
    </row>
    <row r="675" spans="1:3">
      <c r="A675" s="3">
        <v>1</v>
      </c>
      <c r="B675" s="3">
        <v>0</v>
      </c>
      <c r="C675" s="3">
        <v>84.8</v>
      </c>
    </row>
    <row r="676" spans="1:3">
      <c r="A676" s="3">
        <v>2</v>
      </c>
      <c r="B676" s="3">
        <v>0</v>
      </c>
      <c r="C676" s="3">
        <v>85</v>
      </c>
    </row>
    <row r="677" spans="1:3">
      <c r="A677" s="3">
        <v>3</v>
      </c>
      <c r="B677" s="3">
        <v>0</v>
      </c>
      <c r="C677" s="3">
        <v>85</v>
      </c>
    </row>
    <row r="678" spans="1:3">
      <c r="A678" s="3">
        <v>1</v>
      </c>
      <c r="B678" s="3">
        <v>0</v>
      </c>
      <c r="C678" s="3">
        <v>85</v>
      </c>
    </row>
    <row r="679" spans="1:3">
      <c r="A679" s="3">
        <v>1</v>
      </c>
      <c r="B679" s="3">
        <v>0</v>
      </c>
      <c r="C679" s="3">
        <v>85</v>
      </c>
    </row>
    <row r="680" spans="1:3">
      <c r="A680" s="3">
        <v>2</v>
      </c>
      <c r="B680" s="3">
        <v>0</v>
      </c>
      <c r="C680" s="3">
        <v>85</v>
      </c>
    </row>
    <row r="681" spans="1:3">
      <c r="A681" s="3">
        <v>1</v>
      </c>
      <c r="B681" s="3">
        <v>0</v>
      </c>
      <c r="C681" s="3">
        <v>85.1</v>
      </c>
    </row>
    <row r="682" spans="1:3">
      <c r="A682" s="3">
        <v>2</v>
      </c>
      <c r="B682" s="3">
        <v>1</v>
      </c>
      <c r="C682" s="3">
        <v>85.1</v>
      </c>
    </row>
    <row r="683" spans="1:3">
      <c r="A683" s="3">
        <v>3</v>
      </c>
      <c r="B683" s="3">
        <v>0</v>
      </c>
      <c r="C683" s="3">
        <v>85.1</v>
      </c>
    </row>
    <row r="684" spans="1:3">
      <c r="A684" s="3">
        <v>1</v>
      </c>
      <c r="B684" s="3">
        <v>0</v>
      </c>
      <c r="C684" s="3">
        <v>85.1</v>
      </c>
    </row>
    <row r="685" spans="1:3">
      <c r="A685" s="3">
        <v>1</v>
      </c>
      <c r="B685" s="3">
        <v>0</v>
      </c>
      <c r="C685" s="3">
        <v>85.2</v>
      </c>
    </row>
    <row r="686" spans="1:3">
      <c r="A686" s="3">
        <v>1</v>
      </c>
      <c r="B686" s="3">
        <v>0</v>
      </c>
      <c r="C686" s="3">
        <v>85.2</v>
      </c>
    </row>
    <row r="687" spans="1:3">
      <c r="A687" s="3">
        <v>2</v>
      </c>
      <c r="B687" s="3">
        <v>1</v>
      </c>
      <c r="C687" s="3">
        <v>85.2</v>
      </c>
    </row>
    <row r="688" spans="1:3">
      <c r="A688" s="3">
        <v>1</v>
      </c>
      <c r="B688" s="3">
        <v>0</v>
      </c>
      <c r="C688" s="3">
        <v>85.3</v>
      </c>
    </row>
    <row r="689" spans="1:3">
      <c r="A689" s="3">
        <v>3</v>
      </c>
      <c r="B689" s="3">
        <v>0</v>
      </c>
      <c r="C689" s="3">
        <v>85.4</v>
      </c>
    </row>
    <row r="690" spans="1:3">
      <c r="A690" s="3">
        <v>2</v>
      </c>
      <c r="B690" s="3">
        <v>0</v>
      </c>
      <c r="C690" s="3">
        <v>85.4</v>
      </c>
    </row>
    <row r="691" spans="1:3">
      <c r="A691" s="3">
        <v>3</v>
      </c>
      <c r="B691" s="3">
        <v>0</v>
      </c>
      <c r="C691" s="3">
        <v>85.4</v>
      </c>
    </row>
    <row r="692" spans="1:3">
      <c r="A692" s="3">
        <v>1</v>
      </c>
      <c r="B692" s="3">
        <v>0</v>
      </c>
      <c r="C692" s="3">
        <v>85.5</v>
      </c>
    </row>
    <row r="693" spans="1:3">
      <c r="A693" s="3">
        <v>1</v>
      </c>
      <c r="B693" s="3">
        <v>0</v>
      </c>
      <c r="C693" s="3">
        <v>85.5</v>
      </c>
    </row>
    <row r="694" spans="1:3">
      <c r="A694" s="3">
        <v>2</v>
      </c>
      <c r="B694" s="3">
        <v>1</v>
      </c>
      <c r="C694" s="3">
        <v>85.5</v>
      </c>
    </row>
    <row r="695" spans="1:3">
      <c r="A695" s="3">
        <v>1</v>
      </c>
      <c r="B695" s="3">
        <v>0</v>
      </c>
      <c r="C695" s="3">
        <v>85.5</v>
      </c>
    </row>
    <row r="696" spans="1:3">
      <c r="A696" s="3">
        <v>1</v>
      </c>
      <c r="B696" s="3">
        <v>0</v>
      </c>
      <c r="C696" s="3">
        <v>85.6</v>
      </c>
    </row>
    <row r="697" spans="1:3">
      <c r="A697" s="3">
        <v>3</v>
      </c>
      <c r="B697" s="3">
        <v>0</v>
      </c>
      <c r="C697" s="3">
        <v>85.6</v>
      </c>
    </row>
    <row r="698" spans="1:3">
      <c r="A698" s="3">
        <v>3</v>
      </c>
      <c r="B698" s="3">
        <v>1</v>
      </c>
      <c r="C698" s="3">
        <v>85.6</v>
      </c>
    </row>
    <row r="699" spans="1:3">
      <c r="A699" s="3">
        <v>3</v>
      </c>
      <c r="B699" s="3">
        <v>0</v>
      </c>
      <c r="C699" s="3">
        <v>85.6</v>
      </c>
    </row>
    <row r="700" spans="1:3">
      <c r="A700" s="3">
        <v>2</v>
      </c>
      <c r="B700" s="3">
        <v>1</v>
      </c>
      <c r="C700" s="3">
        <v>85.7</v>
      </c>
    </row>
    <row r="701" spans="1:3">
      <c r="A701" s="3">
        <v>2</v>
      </c>
      <c r="B701" s="3">
        <v>1</v>
      </c>
      <c r="C701" s="3">
        <v>85.7</v>
      </c>
    </row>
    <row r="702" spans="1:3">
      <c r="A702" s="3">
        <v>3</v>
      </c>
      <c r="B702" s="3">
        <v>1</v>
      </c>
      <c r="C702" s="3">
        <v>85.7</v>
      </c>
    </row>
    <row r="703" spans="1:3">
      <c r="A703" s="3">
        <v>1</v>
      </c>
      <c r="B703" s="3">
        <v>0</v>
      </c>
      <c r="C703" s="3">
        <v>85.7</v>
      </c>
    </row>
    <row r="704" spans="1:3">
      <c r="A704" s="3">
        <v>2</v>
      </c>
      <c r="B704" s="3">
        <v>0</v>
      </c>
      <c r="C704" s="3">
        <v>85.8</v>
      </c>
    </row>
    <row r="705" spans="1:3">
      <c r="A705" s="3">
        <v>2</v>
      </c>
      <c r="B705" s="3">
        <v>0</v>
      </c>
      <c r="C705" s="3">
        <v>85.9</v>
      </c>
    </row>
    <row r="706" spans="1:3">
      <c r="A706" s="3">
        <v>2</v>
      </c>
      <c r="B706" s="3">
        <v>0</v>
      </c>
      <c r="C706" s="3">
        <v>85.9</v>
      </c>
    </row>
    <row r="707" spans="1:3">
      <c r="A707" s="3">
        <v>1</v>
      </c>
      <c r="B707" s="3">
        <v>0</v>
      </c>
      <c r="C707" s="3">
        <v>86</v>
      </c>
    </row>
    <row r="708" spans="1:3">
      <c r="A708" s="3">
        <v>1</v>
      </c>
      <c r="B708" s="3">
        <v>0</v>
      </c>
      <c r="C708" s="3">
        <v>86</v>
      </c>
    </row>
    <row r="709" spans="1:3">
      <c r="A709" s="3">
        <v>2</v>
      </c>
      <c r="B709" s="3">
        <v>1</v>
      </c>
      <c r="C709" s="3">
        <v>86</v>
      </c>
    </row>
    <row r="710" spans="1:3">
      <c r="A710" s="3">
        <v>3</v>
      </c>
      <c r="B710" s="3">
        <v>0</v>
      </c>
      <c r="C710" s="3">
        <v>86</v>
      </c>
    </row>
    <row r="711" spans="1:3">
      <c r="A711" s="3">
        <v>1</v>
      </c>
      <c r="B711" s="3">
        <v>1</v>
      </c>
      <c r="C711" s="3">
        <v>86</v>
      </c>
    </row>
    <row r="712" spans="1:3">
      <c r="A712" s="3">
        <v>2</v>
      </c>
      <c r="B712" s="3">
        <v>1</v>
      </c>
      <c r="C712" s="3">
        <v>86</v>
      </c>
    </row>
    <row r="713" spans="1:3">
      <c r="A713" s="3">
        <v>1</v>
      </c>
      <c r="B713" s="3">
        <v>0</v>
      </c>
      <c r="C713" s="3">
        <v>86</v>
      </c>
    </row>
    <row r="714" spans="1:3">
      <c r="A714" s="3">
        <v>3</v>
      </c>
      <c r="B714" s="3">
        <v>0</v>
      </c>
      <c r="C714" s="3">
        <v>86.1</v>
      </c>
    </row>
    <row r="715" spans="1:3">
      <c r="A715" s="3">
        <v>3</v>
      </c>
      <c r="B715" s="3">
        <v>0</v>
      </c>
      <c r="C715" s="3">
        <v>86.1</v>
      </c>
    </row>
    <row r="716" spans="1:3">
      <c r="A716" s="3">
        <v>2</v>
      </c>
      <c r="B716" s="3">
        <v>0</v>
      </c>
      <c r="C716" s="3">
        <v>86.2</v>
      </c>
    </row>
    <row r="717" spans="1:3">
      <c r="A717" s="3">
        <v>2</v>
      </c>
      <c r="B717" s="3">
        <v>0</v>
      </c>
      <c r="C717" s="3">
        <v>86.2</v>
      </c>
    </row>
    <row r="718" spans="1:3">
      <c r="A718" s="3">
        <v>2</v>
      </c>
      <c r="B718" s="3">
        <v>0</v>
      </c>
      <c r="C718" s="3">
        <v>86.2</v>
      </c>
    </row>
    <row r="719" spans="1:3">
      <c r="A719" s="3">
        <v>2</v>
      </c>
      <c r="B719" s="3">
        <v>0</v>
      </c>
      <c r="C719" s="3">
        <v>86.3</v>
      </c>
    </row>
    <row r="720" spans="1:3">
      <c r="A720" s="3">
        <v>2</v>
      </c>
      <c r="B720" s="3">
        <v>0</v>
      </c>
      <c r="C720" s="3">
        <v>86.4</v>
      </c>
    </row>
    <row r="721" spans="1:3">
      <c r="A721" s="3">
        <v>3</v>
      </c>
      <c r="B721" s="3">
        <v>0</v>
      </c>
      <c r="C721" s="3">
        <v>86.6</v>
      </c>
    </row>
    <row r="722" spans="1:3">
      <c r="A722" s="3">
        <v>2</v>
      </c>
      <c r="B722" s="3">
        <v>0</v>
      </c>
      <c r="C722" s="3">
        <v>86.6</v>
      </c>
    </row>
    <row r="723" spans="1:3">
      <c r="A723" s="3">
        <v>1</v>
      </c>
      <c r="B723" s="3">
        <v>0</v>
      </c>
      <c r="C723" s="3">
        <v>86.6</v>
      </c>
    </row>
    <row r="724" spans="1:3">
      <c r="A724" s="3">
        <v>1</v>
      </c>
      <c r="B724" s="3">
        <v>0</v>
      </c>
      <c r="C724" s="3">
        <v>86.7</v>
      </c>
    </row>
    <row r="725" spans="1:3">
      <c r="A725" s="3">
        <v>1</v>
      </c>
      <c r="B725" s="3">
        <v>0</v>
      </c>
      <c r="C725" s="3">
        <v>86.7</v>
      </c>
    </row>
    <row r="726" spans="1:3">
      <c r="A726" s="3">
        <v>3</v>
      </c>
      <c r="B726" s="3">
        <v>0</v>
      </c>
      <c r="C726" s="3">
        <v>86.7</v>
      </c>
    </row>
    <row r="727" spans="1:3">
      <c r="A727" s="3">
        <v>1</v>
      </c>
      <c r="B727" s="3">
        <v>0</v>
      </c>
      <c r="C727" s="3">
        <v>86.7</v>
      </c>
    </row>
    <row r="728" spans="1:3">
      <c r="A728" s="3">
        <v>2</v>
      </c>
      <c r="B728" s="3">
        <v>0</v>
      </c>
      <c r="C728" s="3">
        <v>86.8</v>
      </c>
    </row>
    <row r="729" spans="1:3">
      <c r="A729" s="3">
        <v>2</v>
      </c>
      <c r="B729" s="3">
        <v>0</v>
      </c>
      <c r="C729" s="3">
        <v>86.8</v>
      </c>
    </row>
    <row r="730" spans="1:3">
      <c r="A730" s="3">
        <v>3</v>
      </c>
      <c r="B730" s="3">
        <v>0</v>
      </c>
      <c r="C730" s="3">
        <v>86.8</v>
      </c>
    </row>
    <row r="731" spans="1:3">
      <c r="A731" s="3">
        <v>3</v>
      </c>
      <c r="B731" s="3">
        <v>0</v>
      </c>
      <c r="C731" s="3">
        <v>86.8</v>
      </c>
    </row>
    <row r="732" spans="1:3">
      <c r="A732" s="3">
        <v>3</v>
      </c>
      <c r="B732" s="3">
        <v>1</v>
      </c>
      <c r="C732" s="3">
        <v>86.8</v>
      </c>
    </row>
    <row r="733" spans="1:3">
      <c r="A733" s="3">
        <v>3</v>
      </c>
      <c r="B733" s="3">
        <v>1</v>
      </c>
      <c r="C733" s="3">
        <v>86.9</v>
      </c>
    </row>
    <row r="734" spans="1:3">
      <c r="A734" s="3">
        <v>3</v>
      </c>
      <c r="B734" s="3">
        <v>0</v>
      </c>
      <c r="C734" s="3">
        <v>86.9</v>
      </c>
    </row>
    <row r="735" spans="1:3">
      <c r="A735" s="3">
        <v>1</v>
      </c>
      <c r="B735" s="3">
        <v>0</v>
      </c>
      <c r="C735" s="3">
        <v>87</v>
      </c>
    </row>
    <row r="736" spans="1:3">
      <c r="A736" s="3">
        <v>2</v>
      </c>
      <c r="B736" s="3">
        <v>0</v>
      </c>
      <c r="C736" s="3">
        <v>87</v>
      </c>
    </row>
    <row r="737" spans="1:3">
      <c r="A737" s="3">
        <v>3</v>
      </c>
      <c r="B737" s="3">
        <v>0</v>
      </c>
      <c r="C737" s="3">
        <v>87</v>
      </c>
    </row>
    <row r="738" spans="1:3">
      <c r="A738" s="3">
        <v>2</v>
      </c>
      <c r="B738" s="3">
        <v>0</v>
      </c>
      <c r="C738" s="3">
        <v>87</v>
      </c>
    </row>
    <row r="739" spans="1:3">
      <c r="A739" s="3">
        <v>1</v>
      </c>
      <c r="B739" s="3">
        <v>0</v>
      </c>
      <c r="C739" s="3">
        <v>87</v>
      </c>
    </row>
    <row r="740" spans="1:3">
      <c r="A740" s="3">
        <v>2</v>
      </c>
      <c r="B740" s="3">
        <v>0</v>
      </c>
      <c r="C740" s="3">
        <v>87</v>
      </c>
    </row>
    <row r="741" spans="1:3">
      <c r="A741" s="3">
        <v>3</v>
      </c>
      <c r="B741" s="3">
        <v>0</v>
      </c>
      <c r="C741" s="3">
        <v>87.1</v>
      </c>
    </row>
    <row r="742" spans="1:3">
      <c r="A742" s="3">
        <v>3</v>
      </c>
      <c r="B742" s="3">
        <v>0</v>
      </c>
      <c r="C742" s="3">
        <v>87.1</v>
      </c>
    </row>
    <row r="743" spans="1:3">
      <c r="A743" s="3">
        <v>3</v>
      </c>
      <c r="B743" s="3">
        <v>1</v>
      </c>
      <c r="C743" s="3">
        <v>87.2</v>
      </c>
    </row>
    <row r="744" spans="1:3">
      <c r="A744" s="3">
        <v>2</v>
      </c>
      <c r="B744" s="3">
        <v>0</v>
      </c>
      <c r="C744" s="3">
        <v>87.3</v>
      </c>
    </row>
    <row r="745" spans="1:3">
      <c r="A745" s="3">
        <v>2</v>
      </c>
      <c r="B745" s="3">
        <v>0</v>
      </c>
      <c r="C745" s="3">
        <v>87.3</v>
      </c>
    </row>
    <row r="746" spans="1:3">
      <c r="A746" s="3">
        <v>2</v>
      </c>
      <c r="B746" s="3">
        <v>0</v>
      </c>
      <c r="C746" s="3">
        <v>87.3</v>
      </c>
    </row>
    <row r="747" spans="1:3">
      <c r="A747" s="3">
        <v>1</v>
      </c>
      <c r="B747" s="3">
        <v>0</v>
      </c>
      <c r="C747" s="3">
        <v>87.3</v>
      </c>
    </row>
    <row r="748" spans="1:3">
      <c r="A748" s="3">
        <v>1</v>
      </c>
      <c r="B748" s="3">
        <v>0</v>
      </c>
      <c r="C748" s="3">
        <v>87.3</v>
      </c>
    </row>
    <row r="749" spans="1:3">
      <c r="A749" s="3">
        <v>2</v>
      </c>
      <c r="B749" s="3">
        <v>0</v>
      </c>
      <c r="C749" s="3">
        <v>87.4</v>
      </c>
    </row>
    <row r="750" spans="1:3">
      <c r="A750" s="3">
        <v>2</v>
      </c>
      <c r="B750" s="3">
        <v>0</v>
      </c>
      <c r="C750" s="3">
        <v>87.4</v>
      </c>
    </row>
    <row r="751" spans="1:3">
      <c r="A751" s="3">
        <v>3</v>
      </c>
      <c r="B751" s="3">
        <v>0</v>
      </c>
      <c r="C751" s="3">
        <v>87.4</v>
      </c>
    </row>
    <row r="752" spans="1:3">
      <c r="A752" s="3">
        <v>3</v>
      </c>
      <c r="B752" s="3">
        <v>0</v>
      </c>
      <c r="C752" s="3">
        <v>87.5</v>
      </c>
    </row>
    <row r="753" spans="1:3">
      <c r="A753" s="3">
        <v>2</v>
      </c>
      <c r="B753" s="3">
        <v>0</v>
      </c>
      <c r="C753" s="3">
        <v>87.5</v>
      </c>
    </row>
    <row r="754" spans="1:3">
      <c r="A754" s="3">
        <v>3</v>
      </c>
      <c r="B754" s="3">
        <v>1</v>
      </c>
      <c r="C754" s="3">
        <v>87.6</v>
      </c>
    </row>
    <row r="755" spans="1:3">
      <c r="A755" s="3">
        <v>3</v>
      </c>
      <c r="B755" s="3">
        <v>0</v>
      </c>
      <c r="C755" s="3">
        <v>87.6</v>
      </c>
    </row>
    <row r="756" spans="1:3">
      <c r="A756" s="3">
        <v>2</v>
      </c>
      <c r="B756" s="3">
        <v>0</v>
      </c>
      <c r="C756" s="3">
        <v>87.7</v>
      </c>
    </row>
    <row r="757" spans="1:3">
      <c r="A757" s="3">
        <v>3</v>
      </c>
      <c r="B757" s="3">
        <v>0</v>
      </c>
      <c r="C757" s="3">
        <v>87.7</v>
      </c>
    </row>
    <row r="758" spans="1:3">
      <c r="A758" s="3">
        <v>3</v>
      </c>
      <c r="B758" s="3">
        <v>0</v>
      </c>
      <c r="C758" s="3">
        <v>87.7</v>
      </c>
    </row>
    <row r="759" spans="1:3">
      <c r="A759" s="3">
        <v>3</v>
      </c>
      <c r="B759" s="3">
        <v>0</v>
      </c>
      <c r="C759" s="3">
        <v>87.7</v>
      </c>
    </row>
    <row r="760" spans="1:3">
      <c r="A760" s="3">
        <v>2</v>
      </c>
      <c r="B760" s="3">
        <v>0</v>
      </c>
      <c r="C760" s="3">
        <v>87.7</v>
      </c>
    </row>
    <row r="761" spans="1:3">
      <c r="A761" s="3">
        <v>3</v>
      </c>
      <c r="B761" s="3">
        <v>0</v>
      </c>
      <c r="C761" s="3">
        <v>87.8</v>
      </c>
    </row>
    <row r="762" spans="1:3">
      <c r="A762" s="3">
        <v>3</v>
      </c>
      <c r="B762" s="3">
        <v>1</v>
      </c>
      <c r="C762" s="3">
        <v>87.8</v>
      </c>
    </row>
    <row r="763" spans="1:3">
      <c r="A763" s="3">
        <v>3</v>
      </c>
      <c r="B763" s="3">
        <v>0</v>
      </c>
      <c r="C763" s="3">
        <v>88</v>
      </c>
    </row>
    <row r="764" spans="1:3">
      <c r="A764" s="3">
        <v>1</v>
      </c>
      <c r="B764" s="3">
        <v>0</v>
      </c>
      <c r="C764" s="3">
        <v>88</v>
      </c>
    </row>
    <row r="765" spans="1:3">
      <c r="A765" s="3">
        <v>1</v>
      </c>
      <c r="B765" s="3">
        <v>0</v>
      </c>
      <c r="C765" s="3">
        <v>88.1</v>
      </c>
    </row>
    <row r="766" spans="1:3">
      <c r="A766" s="3">
        <v>2</v>
      </c>
      <c r="B766" s="3">
        <v>0</v>
      </c>
      <c r="C766" s="3">
        <v>88.2</v>
      </c>
    </row>
    <row r="767" spans="1:3">
      <c r="A767" s="3">
        <v>1</v>
      </c>
      <c r="B767" s="3">
        <v>0</v>
      </c>
      <c r="C767" s="3">
        <v>88.2</v>
      </c>
    </row>
    <row r="768" spans="1:3">
      <c r="A768" s="3">
        <v>1</v>
      </c>
      <c r="B768" s="3">
        <v>0</v>
      </c>
      <c r="C768" s="3">
        <v>88.2</v>
      </c>
    </row>
    <row r="769" spans="1:3">
      <c r="A769" s="3">
        <v>3</v>
      </c>
      <c r="B769" s="3">
        <v>0</v>
      </c>
      <c r="C769" s="3">
        <v>88.2</v>
      </c>
    </row>
    <row r="770" spans="1:3">
      <c r="A770" s="3">
        <v>1</v>
      </c>
      <c r="B770" s="3">
        <v>0</v>
      </c>
      <c r="C770" s="3">
        <v>88.3</v>
      </c>
    </row>
    <row r="771" spans="1:3">
      <c r="A771" s="3">
        <v>2</v>
      </c>
      <c r="B771" s="3">
        <v>0</v>
      </c>
      <c r="C771" s="3">
        <v>88.4</v>
      </c>
    </row>
    <row r="772" spans="1:3">
      <c r="A772" s="3">
        <v>3</v>
      </c>
      <c r="B772" s="3">
        <v>0</v>
      </c>
      <c r="C772" s="3">
        <v>88.4</v>
      </c>
    </row>
    <row r="773" spans="1:3">
      <c r="A773" s="3">
        <v>1</v>
      </c>
      <c r="B773" s="3">
        <v>0</v>
      </c>
      <c r="C773" s="3">
        <v>88.5</v>
      </c>
    </row>
    <row r="774" spans="1:3">
      <c r="A774" s="3">
        <v>2</v>
      </c>
      <c r="B774" s="3">
        <v>1</v>
      </c>
      <c r="C774" s="3">
        <v>88.5</v>
      </c>
    </row>
    <row r="775" spans="1:3">
      <c r="A775" s="3">
        <v>3</v>
      </c>
      <c r="B775" s="3">
        <v>1</v>
      </c>
      <c r="C775" s="3">
        <v>88.5</v>
      </c>
    </row>
    <row r="776" spans="1:3">
      <c r="A776" s="3">
        <v>2</v>
      </c>
      <c r="B776" s="3">
        <v>0</v>
      </c>
      <c r="C776" s="3">
        <v>88.5</v>
      </c>
    </row>
    <row r="777" spans="1:3">
      <c r="A777" s="3">
        <v>3</v>
      </c>
      <c r="B777" s="3">
        <v>0</v>
      </c>
      <c r="C777" s="3">
        <v>88.5</v>
      </c>
    </row>
    <row r="778" spans="1:3">
      <c r="A778" s="3">
        <v>1</v>
      </c>
      <c r="B778" s="3">
        <v>0</v>
      </c>
      <c r="C778" s="3">
        <v>88.6</v>
      </c>
    </row>
    <row r="779" spans="1:3">
      <c r="A779" s="3">
        <v>1</v>
      </c>
      <c r="B779" s="3">
        <v>0</v>
      </c>
      <c r="C779" s="3">
        <v>88.6</v>
      </c>
    </row>
    <row r="780" spans="1:3">
      <c r="A780" s="3">
        <v>2</v>
      </c>
      <c r="B780" s="3">
        <v>0</v>
      </c>
      <c r="C780" s="3">
        <v>88.6</v>
      </c>
    </row>
    <row r="781" spans="1:3">
      <c r="A781" s="3">
        <v>3</v>
      </c>
      <c r="B781" s="3">
        <v>0</v>
      </c>
      <c r="C781" s="3">
        <v>88.6</v>
      </c>
    </row>
    <row r="782" spans="1:3">
      <c r="A782" s="3">
        <v>3</v>
      </c>
      <c r="B782" s="3">
        <v>0</v>
      </c>
      <c r="C782" s="3">
        <v>88.6</v>
      </c>
    </row>
    <row r="783" spans="1:3">
      <c r="A783" s="3">
        <v>2</v>
      </c>
      <c r="B783" s="3">
        <v>0</v>
      </c>
      <c r="C783" s="3">
        <v>88.6</v>
      </c>
    </row>
    <row r="784" spans="1:3">
      <c r="A784" s="3">
        <v>2</v>
      </c>
      <c r="B784" s="3">
        <v>0</v>
      </c>
      <c r="C784" s="3">
        <v>88.7</v>
      </c>
    </row>
    <row r="785" spans="1:3">
      <c r="A785" s="3">
        <v>3</v>
      </c>
      <c r="B785" s="3">
        <v>0</v>
      </c>
      <c r="C785" s="3">
        <v>88.7</v>
      </c>
    </row>
    <row r="786" spans="1:3">
      <c r="A786" s="3">
        <v>2</v>
      </c>
      <c r="B786" s="3">
        <v>0</v>
      </c>
      <c r="C786" s="3">
        <v>88.7</v>
      </c>
    </row>
    <row r="787" spans="1:3">
      <c r="A787" s="3">
        <v>2</v>
      </c>
      <c r="B787" s="3">
        <v>0</v>
      </c>
      <c r="C787" s="3">
        <v>88.8</v>
      </c>
    </row>
    <row r="788" spans="1:3">
      <c r="A788" s="3">
        <v>3</v>
      </c>
      <c r="B788" s="3">
        <v>0</v>
      </c>
      <c r="C788" s="3">
        <v>88.8</v>
      </c>
    </row>
    <row r="789" spans="1:3">
      <c r="A789" s="3">
        <v>2</v>
      </c>
      <c r="B789" s="3">
        <v>0</v>
      </c>
      <c r="C789" s="3">
        <v>88.9</v>
      </c>
    </row>
    <row r="790" spans="1:3">
      <c r="A790" s="3">
        <v>1</v>
      </c>
      <c r="B790" s="3">
        <v>0</v>
      </c>
      <c r="C790" s="3">
        <v>88.9</v>
      </c>
    </row>
    <row r="791" spans="1:3">
      <c r="A791" s="3">
        <v>2</v>
      </c>
      <c r="B791" s="3">
        <v>1</v>
      </c>
      <c r="C791" s="3">
        <v>88.9</v>
      </c>
    </row>
    <row r="792" spans="1:3">
      <c r="A792" s="3">
        <v>2</v>
      </c>
      <c r="B792" s="3">
        <v>0</v>
      </c>
      <c r="C792" s="3">
        <v>88.9</v>
      </c>
    </row>
    <row r="793" spans="1:3">
      <c r="A793" s="3">
        <v>2</v>
      </c>
      <c r="B793" s="3">
        <v>0</v>
      </c>
      <c r="C793" s="3">
        <v>89</v>
      </c>
    </row>
    <row r="794" spans="1:3">
      <c r="A794" s="3">
        <v>3</v>
      </c>
      <c r="B794" s="3">
        <v>0</v>
      </c>
      <c r="C794" s="3">
        <v>89</v>
      </c>
    </row>
    <row r="795" spans="1:3">
      <c r="A795" s="3">
        <v>2</v>
      </c>
      <c r="B795" s="3">
        <v>1</v>
      </c>
      <c r="C795" s="3">
        <v>89</v>
      </c>
    </row>
    <row r="796" spans="1:3">
      <c r="A796" s="3">
        <v>1</v>
      </c>
      <c r="B796" s="3">
        <v>0</v>
      </c>
      <c r="C796" s="3">
        <v>89</v>
      </c>
    </row>
    <row r="797" spans="1:3">
      <c r="A797" s="3">
        <v>3</v>
      </c>
      <c r="B797" s="3">
        <v>0</v>
      </c>
      <c r="C797" s="3">
        <v>89</v>
      </c>
    </row>
    <row r="798" spans="1:3">
      <c r="A798" s="3">
        <v>2</v>
      </c>
      <c r="B798" s="3">
        <v>0</v>
      </c>
      <c r="C798" s="3">
        <v>89</v>
      </c>
    </row>
    <row r="799" spans="1:3">
      <c r="A799" s="3">
        <v>3</v>
      </c>
      <c r="B799" s="3">
        <v>0</v>
      </c>
      <c r="C799" s="3">
        <v>89.1</v>
      </c>
    </row>
    <row r="800" spans="1:3">
      <c r="A800" s="3">
        <v>1</v>
      </c>
      <c r="B800" s="3">
        <v>0</v>
      </c>
      <c r="C800" s="3">
        <v>89.1</v>
      </c>
    </row>
    <row r="801" spans="1:3">
      <c r="A801" s="3">
        <v>1</v>
      </c>
      <c r="B801" s="3">
        <v>0</v>
      </c>
      <c r="C801" s="3">
        <v>89.2</v>
      </c>
    </row>
    <row r="802" spans="1:3">
      <c r="A802" s="3">
        <v>2</v>
      </c>
      <c r="B802" s="3">
        <v>0</v>
      </c>
      <c r="C802" s="3">
        <v>89.2</v>
      </c>
    </row>
    <row r="803" spans="1:3">
      <c r="A803" s="3">
        <v>2</v>
      </c>
      <c r="B803" s="3">
        <v>0</v>
      </c>
      <c r="C803" s="3">
        <v>89.4</v>
      </c>
    </row>
    <row r="804" spans="1:3">
      <c r="A804" s="3">
        <v>2</v>
      </c>
      <c r="B804" s="3">
        <v>0</v>
      </c>
      <c r="C804" s="3">
        <v>89.4</v>
      </c>
    </row>
    <row r="805" spans="1:3">
      <c r="A805" s="3">
        <v>2</v>
      </c>
      <c r="B805" s="3">
        <v>0</v>
      </c>
      <c r="C805" s="3">
        <v>89.4</v>
      </c>
    </row>
    <row r="806" spans="1:3">
      <c r="A806" s="3">
        <v>1</v>
      </c>
      <c r="B806" s="3">
        <v>0</v>
      </c>
      <c r="C806" s="3">
        <v>89.5</v>
      </c>
    </row>
    <row r="807" spans="1:3">
      <c r="A807" s="3">
        <v>3</v>
      </c>
      <c r="B807" s="3">
        <v>0</v>
      </c>
      <c r="C807" s="3">
        <v>89.5</v>
      </c>
    </row>
    <row r="808" spans="1:3">
      <c r="A808" s="3">
        <v>1</v>
      </c>
      <c r="B808" s="3">
        <v>0</v>
      </c>
      <c r="C808" s="3">
        <v>89.6</v>
      </c>
    </row>
    <row r="809" spans="1:3">
      <c r="A809" s="3">
        <v>2</v>
      </c>
      <c r="B809" s="3">
        <v>0</v>
      </c>
      <c r="C809" s="3">
        <v>89.6</v>
      </c>
    </row>
    <row r="810" spans="1:3">
      <c r="A810" s="3">
        <v>3</v>
      </c>
      <c r="B810" s="3">
        <v>0</v>
      </c>
      <c r="C810" s="3">
        <v>89.6</v>
      </c>
    </row>
    <row r="811" spans="1:3">
      <c r="A811" s="3">
        <v>1</v>
      </c>
      <c r="B811" s="3">
        <v>0</v>
      </c>
      <c r="C811" s="3">
        <v>89.6</v>
      </c>
    </row>
    <row r="812" spans="1:3">
      <c r="A812" s="3">
        <v>3</v>
      </c>
      <c r="B812" s="3">
        <v>0</v>
      </c>
      <c r="C812" s="3">
        <v>89.8</v>
      </c>
    </row>
    <row r="813" spans="1:3">
      <c r="A813" s="3">
        <v>2</v>
      </c>
      <c r="B813" s="3">
        <v>0</v>
      </c>
      <c r="C813" s="3">
        <v>89.8</v>
      </c>
    </row>
    <row r="814" spans="1:3">
      <c r="A814" s="3">
        <v>2</v>
      </c>
      <c r="B814" s="3">
        <v>0</v>
      </c>
      <c r="C814" s="3">
        <v>89.8</v>
      </c>
    </row>
    <row r="815" spans="1:3">
      <c r="A815" s="3">
        <v>3</v>
      </c>
      <c r="B815" s="3">
        <v>0</v>
      </c>
      <c r="C815" s="3">
        <v>89.9</v>
      </c>
    </row>
    <row r="816" spans="1:3">
      <c r="A816" s="3">
        <v>2</v>
      </c>
      <c r="B816" s="3">
        <v>0</v>
      </c>
      <c r="C816" s="3">
        <v>89.9</v>
      </c>
    </row>
    <row r="817" spans="1:3">
      <c r="A817" s="3">
        <v>1</v>
      </c>
      <c r="B817" s="3">
        <v>0</v>
      </c>
      <c r="C817" s="3">
        <v>89.9</v>
      </c>
    </row>
    <row r="818" spans="1:3">
      <c r="A818" s="3">
        <v>2</v>
      </c>
      <c r="B818" s="3">
        <v>0</v>
      </c>
      <c r="C818" s="3">
        <v>90</v>
      </c>
    </row>
    <row r="819" spans="1:3">
      <c r="A819" s="3">
        <v>2</v>
      </c>
      <c r="B819" s="3">
        <v>0</v>
      </c>
      <c r="C819" s="3">
        <v>90.1</v>
      </c>
    </row>
    <row r="820" spans="1:3">
      <c r="A820" s="3">
        <v>1</v>
      </c>
      <c r="B820" s="3">
        <v>0</v>
      </c>
      <c r="C820" s="3">
        <v>90.1</v>
      </c>
    </row>
    <row r="821" spans="1:3">
      <c r="A821" s="3">
        <v>1</v>
      </c>
      <c r="B821" s="3">
        <v>0</v>
      </c>
      <c r="C821" s="3">
        <v>90.2</v>
      </c>
    </row>
    <row r="822" spans="1:3">
      <c r="A822" s="3">
        <v>1</v>
      </c>
      <c r="B822" s="3">
        <v>0</v>
      </c>
      <c r="C822" s="3">
        <v>90.2</v>
      </c>
    </row>
    <row r="823" spans="1:3">
      <c r="A823" s="3">
        <v>1</v>
      </c>
      <c r="B823" s="3">
        <v>0</v>
      </c>
      <c r="C823" s="3">
        <v>90.2</v>
      </c>
    </row>
    <row r="824" spans="1:3">
      <c r="A824" s="3">
        <v>3</v>
      </c>
      <c r="B824" s="3">
        <v>0</v>
      </c>
      <c r="C824" s="3">
        <v>90.3</v>
      </c>
    </row>
    <row r="825" spans="1:3">
      <c r="A825" s="3">
        <v>1</v>
      </c>
      <c r="B825" s="3">
        <v>0</v>
      </c>
      <c r="C825" s="3">
        <v>90.3</v>
      </c>
    </row>
    <row r="826" spans="1:3">
      <c r="A826" s="3">
        <v>2</v>
      </c>
      <c r="B826" s="3">
        <v>0</v>
      </c>
      <c r="C826" s="3">
        <v>90.4</v>
      </c>
    </row>
    <row r="827" spans="1:3">
      <c r="A827" s="3">
        <v>3</v>
      </c>
      <c r="B827" s="3">
        <v>1</v>
      </c>
      <c r="C827" s="3">
        <v>90.4</v>
      </c>
    </row>
    <row r="828" spans="1:3">
      <c r="A828" s="3">
        <v>1</v>
      </c>
      <c r="B828" s="3">
        <v>0</v>
      </c>
      <c r="C828" s="3">
        <v>90.5</v>
      </c>
    </row>
    <row r="829" spans="1:3">
      <c r="A829" s="3">
        <v>3</v>
      </c>
      <c r="B829" s="3">
        <v>0</v>
      </c>
      <c r="C829" s="3">
        <v>90.6</v>
      </c>
    </row>
    <row r="830" spans="1:3">
      <c r="A830" s="3">
        <v>1</v>
      </c>
      <c r="B830" s="3">
        <v>0</v>
      </c>
      <c r="C830" s="3">
        <v>90.7</v>
      </c>
    </row>
    <row r="831" spans="1:3">
      <c r="A831" s="3">
        <v>3</v>
      </c>
      <c r="B831" s="3">
        <v>0</v>
      </c>
      <c r="C831" s="3">
        <v>90.9</v>
      </c>
    </row>
    <row r="832" spans="1:3">
      <c r="A832" s="3">
        <v>3</v>
      </c>
      <c r="B832" s="3">
        <v>0</v>
      </c>
      <c r="C832" s="3">
        <v>90.9</v>
      </c>
    </row>
    <row r="833" spans="1:3">
      <c r="A833" s="3">
        <v>1</v>
      </c>
      <c r="B833" s="3">
        <v>0</v>
      </c>
      <c r="C833" s="3">
        <v>91</v>
      </c>
    </row>
    <row r="834" spans="1:3">
      <c r="A834" s="3">
        <v>3</v>
      </c>
      <c r="B834" s="3">
        <v>0</v>
      </c>
      <c r="C834" s="3">
        <v>91</v>
      </c>
    </row>
    <row r="835" spans="1:3">
      <c r="A835" s="3">
        <v>1</v>
      </c>
      <c r="B835" s="3">
        <v>0</v>
      </c>
      <c r="C835" s="3">
        <v>91</v>
      </c>
    </row>
    <row r="836" spans="1:3">
      <c r="A836" s="3">
        <v>2</v>
      </c>
      <c r="B836" s="3">
        <v>0</v>
      </c>
      <c r="C836" s="3">
        <v>91.1</v>
      </c>
    </row>
    <row r="837" spans="1:3">
      <c r="A837" s="3">
        <v>1</v>
      </c>
      <c r="B837" s="3">
        <v>0</v>
      </c>
      <c r="C837" s="3">
        <v>91.2</v>
      </c>
    </row>
    <row r="838" spans="1:3">
      <c r="A838" s="3">
        <v>2</v>
      </c>
      <c r="B838" s="3">
        <v>0</v>
      </c>
      <c r="C838" s="3">
        <v>91.2</v>
      </c>
    </row>
    <row r="839" spans="1:3">
      <c r="A839" s="3">
        <v>3</v>
      </c>
      <c r="B839" s="3">
        <v>0</v>
      </c>
      <c r="C839" s="3">
        <v>91.2</v>
      </c>
    </row>
    <row r="840" spans="1:3">
      <c r="A840" s="3">
        <v>3</v>
      </c>
      <c r="B840" s="3">
        <v>0</v>
      </c>
      <c r="C840" s="3">
        <v>91.2</v>
      </c>
    </row>
    <row r="841" spans="1:3">
      <c r="A841" s="3">
        <v>2</v>
      </c>
      <c r="B841" s="3">
        <v>0</v>
      </c>
      <c r="C841" s="3">
        <v>91.2</v>
      </c>
    </row>
    <row r="842" spans="1:3">
      <c r="A842" s="3">
        <v>3</v>
      </c>
      <c r="B842" s="3">
        <v>0</v>
      </c>
      <c r="C842" s="3">
        <v>91.2</v>
      </c>
    </row>
    <row r="843" spans="1:3">
      <c r="A843" s="3">
        <v>1</v>
      </c>
      <c r="B843" s="3">
        <v>0</v>
      </c>
      <c r="C843" s="3">
        <v>91.3</v>
      </c>
    </row>
    <row r="844" spans="1:3">
      <c r="A844" s="3">
        <v>1</v>
      </c>
      <c r="B844" s="3">
        <v>0</v>
      </c>
      <c r="C844" s="3">
        <v>91.4</v>
      </c>
    </row>
    <row r="845" spans="1:3">
      <c r="A845" s="3">
        <v>2</v>
      </c>
      <c r="B845" s="3">
        <v>0</v>
      </c>
      <c r="C845" s="3">
        <v>91.5</v>
      </c>
    </row>
    <row r="846" spans="1:3">
      <c r="A846" s="3">
        <v>1</v>
      </c>
      <c r="B846" s="3">
        <v>0</v>
      </c>
      <c r="C846" s="3">
        <v>91.5</v>
      </c>
    </row>
    <row r="847" spans="1:3">
      <c r="A847" s="3">
        <v>2</v>
      </c>
      <c r="B847" s="3">
        <v>0</v>
      </c>
      <c r="C847" s="3">
        <v>91.6</v>
      </c>
    </row>
    <row r="848" spans="1:3">
      <c r="A848" s="3">
        <v>2</v>
      </c>
      <c r="B848" s="3">
        <v>0</v>
      </c>
      <c r="C848" s="3">
        <v>91.6</v>
      </c>
    </row>
    <row r="849" spans="1:3">
      <c r="A849" s="3">
        <v>3</v>
      </c>
      <c r="B849" s="3">
        <v>0</v>
      </c>
      <c r="C849" s="3">
        <v>91.6</v>
      </c>
    </row>
    <row r="850" spans="1:3">
      <c r="A850" s="3">
        <v>3</v>
      </c>
      <c r="B850" s="3">
        <v>0</v>
      </c>
      <c r="C850" s="3">
        <v>91.6</v>
      </c>
    </row>
    <row r="851" spans="1:3">
      <c r="A851" s="3">
        <v>1</v>
      </c>
      <c r="B851" s="3">
        <v>0</v>
      </c>
      <c r="C851" s="3">
        <v>91.7</v>
      </c>
    </row>
    <row r="852" spans="1:3">
      <c r="A852" s="3">
        <v>3</v>
      </c>
      <c r="B852" s="3">
        <v>0</v>
      </c>
      <c r="C852" s="3">
        <v>91.7</v>
      </c>
    </row>
    <row r="853" spans="1:3">
      <c r="A853" s="3">
        <v>3</v>
      </c>
      <c r="B853" s="3">
        <v>0</v>
      </c>
      <c r="C853" s="3">
        <v>91.7</v>
      </c>
    </row>
    <row r="854" spans="1:3">
      <c r="A854" s="3">
        <v>3</v>
      </c>
      <c r="B854" s="3">
        <v>0</v>
      </c>
      <c r="C854" s="3">
        <v>91.8</v>
      </c>
    </row>
    <row r="855" spans="1:3">
      <c r="A855" s="3">
        <v>3</v>
      </c>
      <c r="B855" s="3">
        <v>0</v>
      </c>
      <c r="C855" s="3">
        <v>91.8</v>
      </c>
    </row>
    <row r="856" spans="1:3">
      <c r="A856" s="3">
        <v>2</v>
      </c>
      <c r="B856" s="3">
        <v>0</v>
      </c>
      <c r="C856" s="3">
        <v>91.9</v>
      </c>
    </row>
    <row r="857" spans="1:3">
      <c r="A857" s="3">
        <v>3</v>
      </c>
      <c r="B857" s="3">
        <v>0</v>
      </c>
      <c r="C857" s="3">
        <v>91.9</v>
      </c>
    </row>
    <row r="858" spans="1:3">
      <c r="A858" s="3">
        <v>2</v>
      </c>
      <c r="B858" s="3">
        <v>0</v>
      </c>
      <c r="C858" s="3">
        <v>91.9</v>
      </c>
    </row>
    <row r="859" spans="1:3">
      <c r="A859" s="3">
        <v>3</v>
      </c>
      <c r="B859" s="3">
        <v>0</v>
      </c>
      <c r="C859" s="3">
        <v>91.9</v>
      </c>
    </row>
    <row r="860" spans="1:3">
      <c r="A860" s="3">
        <v>2</v>
      </c>
      <c r="B860" s="3">
        <v>0</v>
      </c>
      <c r="C860" s="3">
        <v>92</v>
      </c>
    </row>
    <row r="861" spans="1:3">
      <c r="A861" s="3">
        <v>1</v>
      </c>
      <c r="B861" s="3">
        <v>0</v>
      </c>
      <c r="C861" s="3">
        <v>92</v>
      </c>
    </row>
    <row r="862" spans="1:3">
      <c r="A862" s="3">
        <v>2</v>
      </c>
      <c r="B862" s="3">
        <v>0</v>
      </c>
      <c r="C862" s="3">
        <v>92.1</v>
      </c>
    </row>
    <row r="863" spans="1:3">
      <c r="A863" s="3">
        <v>2</v>
      </c>
      <c r="B863" s="3">
        <v>1</v>
      </c>
      <c r="C863" s="3">
        <v>92.1</v>
      </c>
    </row>
    <row r="864" spans="1:3">
      <c r="A864" s="3">
        <v>2</v>
      </c>
      <c r="B864" s="3">
        <v>0</v>
      </c>
      <c r="C864" s="3">
        <v>92.1</v>
      </c>
    </row>
    <row r="865" spans="1:3">
      <c r="A865" s="3">
        <v>1</v>
      </c>
      <c r="B865" s="3">
        <v>0</v>
      </c>
      <c r="C865" s="3">
        <v>92.1</v>
      </c>
    </row>
    <row r="866" spans="1:3">
      <c r="A866" s="3">
        <v>3</v>
      </c>
      <c r="B866" s="3">
        <v>0</v>
      </c>
      <c r="C866" s="3">
        <v>92.2</v>
      </c>
    </row>
    <row r="867" spans="1:3">
      <c r="A867" s="3">
        <v>2</v>
      </c>
      <c r="B867" s="3">
        <v>0</v>
      </c>
      <c r="C867" s="3">
        <v>92.2</v>
      </c>
    </row>
    <row r="868" spans="1:3">
      <c r="A868" s="3">
        <v>3</v>
      </c>
      <c r="B868" s="3">
        <v>0</v>
      </c>
      <c r="C868" s="3">
        <v>92.2</v>
      </c>
    </row>
    <row r="869" spans="1:3">
      <c r="A869" s="3">
        <v>3</v>
      </c>
      <c r="B869" s="3">
        <v>0</v>
      </c>
      <c r="C869" s="3">
        <v>92.3</v>
      </c>
    </row>
    <row r="870" spans="1:3">
      <c r="A870" s="3">
        <v>2</v>
      </c>
      <c r="B870" s="3">
        <v>0</v>
      </c>
      <c r="C870" s="3">
        <v>92.3</v>
      </c>
    </row>
    <row r="871" spans="1:3">
      <c r="A871" s="3">
        <v>3</v>
      </c>
      <c r="B871" s="3">
        <v>0</v>
      </c>
      <c r="C871" s="3">
        <v>92.3</v>
      </c>
    </row>
    <row r="872" spans="1:3">
      <c r="A872" s="3">
        <v>1</v>
      </c>
      <c r="B872" s="3">
        <v>0</v>
      </c>
      <c r="C872" s="3">
        <v>92.3</v>
      </c>
    </row>
    <row r="873" spans="1:3">
      <c r="A873" s="3">
        <v>3</v>
      </c>
      <c r="B873" s="3">
        <v>0</v>
      </c>
      <c r="C873" s="3">
        <v>92.4</v>
      </c>
    </row>
    <row r="874" spans="1:3">
      <c r="A874" s="3">
        <v>3</v>
      </c>
      <c r="B874" s="3">
        <v>0</v>
      </c>
      <c r="C874" s="3">
        <v>92.4</v>
      </c>
    </row>
    <row r="875" spans="1:3">
      <c r="A875" s="3">
        <v>3</v>
      </c>
      <c r="B875" s="3">
        <v>0</v>
      </c>
      <c r="C875" s="3">
        <v>92.4</v>
      </c>
    </row>
    <row r="876" spans="1:3">
      <c r="A876" s="3">
        <v>1</v>
      </c>
      <c r="B876" s="3">
        <v>0</v>
      </c>
      <c r="C876" s="3">
        <v>92.4</v>
      </c>
    </row>
    <row r="877" spans="1:3">
      <c r="A877" s="3">
        <v>1</v>
      </c>
      <c r="B877" s="3">
        <v>0</v>
      </c>
      <c r="C877" s="3">
        <v>92.4</v>
      </c>
    </row>
    <row r="878" spans="1:3">
      <c r="A878" s="3">
        <v>2</v>
      </c>
      <c r="B878" s="3">
        <v>1</v>
      </c>
      <c r="C878" s="3">
        <v>92.5</v>
      </c>
    </row>
    <row r="879" spans="1:3">
      <c r="A879" s="3">
        <v>3</v>
      </c>
      <c r="B879" s="3">
        <v>0</v>
      </c>
      <c r="C879" s="3">
        <v>92.5</v>
      </c>
    </row>
    <row r="880" spans="1:3">
      <c r="A880" s="3">
        <v>2</v>
      </c>
      <c r="B880" s="3">
        <v>0</v>
      </c>
      <c r="C880" s="3">
        <v>92.5</v>
      </c>
    </row>
    <row r="881" spans="1:3">
      <c r="A881" s="3">
        <v>1</v>
      </c>
      <c r="B881" s="3">
        <v>0</v>
      </c>
      <c r="C881" s="3">
        <v>92.5</v>
      </c>
    </row>
    <row r="882" spans="1:3">
      <c r="A882" s="3">
        <v>3</v>
      </c>
      <c r="B882" s="3">
        <v>0</v>
      </c>
      <c r="C882" s="3">
        <v>92.6</v>
      </c>
    </row>
    <row r="883" spans="1:3">
      <c r="A883" s="3">
        <v>2</v>
      </c>
      <c r="B883" s="3">
        <v>0</v>
      </c>
      <c r="C883" s="3">
        <v>92.6</v>
      </c>
    </row>
    <row r="884" spans="1:3">
      <c r="A884" s="3">
        <v>3</v>
      </c>
      <c r="B884" s="3">
        <v>0</v>
      </c>
      <c r="C884" s="3">
        <v>92.6</v>
      </c>
    </row>
    <row r="885" spans="1:3">
      <c r="A885" s="3">
        <v>3</v>
      </c>
      <c r="B885" s="3">
        <v>0</v>
      </c>
      <c r="C885" s="3">
        <v>92.6</v>
      </c>
    </row>
    <row r="886" spans="1:3">
      <c r="A886" s="3">
        <v>1</v>
      </c>
      <c r="B886" s="3">
        <v>0</v>
      </c>
      <c r="C886" s="3">
        <v>92.6</v>
      </c>
    </row>
    <row r="887" spans="1:3">
      <c r="A887" s="3">
        <v>1</v>
      </c>
      <c r="B887" s="3">
        <v>0</v>
      </c>
      <c r="C887" s="3">
        <v>92.7</v>
      </c>
    </row>
    <row r="888" spans="1:3">
      <c r="A888" s="3">
        <v>2</v>
      </c>
      <c r="B888" s="3">
        <v>1</v>
      </c>
      <c r="C888" s="3">
        <v>92.7</v>
      </c>
    </row>
    <row r="889" spans="1:3">
      <c r="A889" s="3">
        <v>3</v>
      </c>
      <c r="B889" s="3">
        <v>0</v>
      </c>
      <c r="C889" s="3">
        <v>92.7</v>
      </c>
    </row>
    <row r="890" spans="1:3">
      <c r="A890" s="3">
        <v>1</v>
      </c>
      <c r="B890" s="3">
        <v>0</v>
      </c>
      <c r="C890" s="3">
        <v>92.7</v>
      </c>
    </row>
    <row r="891" spans="1:3">
      <c r="A891" s="3">
        <v>2</v>
      </c>
      <c r="B891" s="3">
        <v>0</v>
      </c>
      <c r="C891" s="3">
        <v>92.7</v>
      </c>
    </row>
    <row r="892" spans="1:3">
      <c r="A892" s="3">
        <v>2</v>
      </c>
      <c r="B892" s="3">
        <v>0</v>
      </c>
      <c r="C892" s="3">
        <v>92.9</v>
      </c>
    </row>
    <row r="893" spans="1:3">
      <c r="A893" s="3">
        <v>1</v>
      </c>
      <c r="B893" s="3">
        <v>0</v>
      </c>
      <c r="C893" s="3">
        <v>93</v>
      </c>
    </row>
    <row r="894" spans="1:3">
      <c r="A894" s="3">
        <v>3</v>
      </c>
      <c r="B894" s="3">
        <v>0</v>
      </c>
      <c r="C894" s="3">
        <v>93</v>
      </c>
    </row>
    <row r="895" spans="1:3">
      <c r="A895" s="3">
        <v>1</v>
      </c>
      <c r="B895" s="3">
        <v>0</v>
      </c>
      <c r="C895" s="3">
        <v>93</v>
      </c>
    </row>
    <row r="896" spans="1:3">
      <c r="A896" s="3">
        <v>1</v>
      </c>
      <c r="B896" s="3">
        <v>0</v>
      </c>
      <c r="C896" s="3">
        <v>93.1</v>
      </c>
    </row>
    <row r="897" spans="1:3">
      <c r="A897" s="3">
        <v>3</v>
      </c>
      <c r="B897" s="3">
        <v>0</v>
      </c>
      <c r="C897" s="3">
        <v>93.1</v>
      </c>
    </row>
    <row r="898" spans="1:3">
      <c r="A898" s="3">
        <v>1</v>
      </c>
      <c r="B898" s="3">
        <v>0</v>
      </c>
      <c r="C898" s="3">
        <v>93.1</v>
      </c>
    </row>
    <row r="899" spans="1:3">
      <c r="A899" s="3">
        <v>1</v>
      </c>
      <c r="B899" s="3">
        <v>0</v>
      </c>
      <c r="C899" s="3">
        <v>93.2</v>
      </c>
    </row>
    <row r="900" spans="1:3">
      <c r="A900" s="3">
        <v>1</v>
      </c>
      <c r="B900" s="3">
        <v>0</v>
      </c>
      <c r="C900" s="3">
        <v>93.3</v>
      </c>
    </row>
    <row r="901" spans="1:3">
      <c r="A901" s="3">
        <v>3</v>
      </c>
      <c r="B901" s="3">
        <v>0</v>
      </c>
      <c r="C901" s="3">
        <v>93.3</v>
      </c>
    </row>
    <row r="902" spans="1:3">
      <c r="A902" s="3">
        <v>3</v>
      </c>
      <c r="B902" s="3">
        <v>0</v>
      </c>
      <c r="C902" s="3">
        <v>93.3</v>
      </c>
    </row>
    <row r="903" spans="1:3">
      <c r="A903" s="3">
        <v>3</v>
      </c>
      <c r="B903" s="3">
        <v>0</v>
      </c>
      <c r="C903" s="3">
        <v>93.3</v>
      </c>
    </row>
    <row r="904" spans="1:3">
      <c r="A904" s="3">
        <v>2</v>
      </c>
      <c r="B904" s="3">
        <v>0</v>
      </c>
      <c r="C904" s="3">
        <v>93.3</v>
      </c>
    </row>
    <row r="905" spans="1:3">
      <c r="A905" s="3">
        <v>1</v>
      </c>
      <c r="B905" s="3">
        <v>0</v>
      </c>
      <c r="C905" s="3">
        <v>93.4</v>
      </c>
    </row>
    <row r="906" spans="1:3">
      <c r="A906" s="3">
        <v>3</v>
      </c>
      <c r="B906" s="3">
        <v>0</v>
      </c>
      <c r="C906" s="3">
        <v>93.4</v>
      </c>
    </row>
    <row r="907" spans="1:3">
      <c r="A907" s="3">
        <v>3</v>
      </c>
      <c r="B907" s="3">
        <v>0</v>
      </c>
      <c r="C907" s="3">
        <v>93.4</v>
      </c>
    </row>
    <row r="908" spans="1:3">
      <c r="A908" s="3">
        <v>1</v>
      </c>
      <c r="B908" s="3">
        <v>0</v>
      </c>
      <c r="C908" s="3">
        <v>93.4</v>
      </c>
    </row>
    <row r="909" spans="1:3">
      <c r="A909" s="3">
        <v>2</v>
      </c>
      <c r="B909" s="3">
        <v>0</v>
      </c>
      <c r="C909" s="3">
        <v>93.5</v>
      </c>
    </row>
    <row r="910" spans="1:3">
      <c r="A910" s="3">
        <v>1</v>
      </c>
      <c r="B910" s="3">
        <v>0</v>
      </c>
      <c r="C910" s="3">
        <v>93.5</v>
      </c>
    </row>
    <row r="911" spans="1:3">
      <c r="A911" s="3">
        <v>3</v>
      </c>
      <c r="B911" s="3">
        <v>0</v>
      </c>
      <c r="C911" s="3">
        <v>93.6</v>
      </c>
    </row>
    <row r="912" spans="1:3">
      <c r="A912" s="3">
        <v>2</v>
      </c>
      <c r="B912" s="3">
        <v>1</v>
      </c>
      <c r="C912" s="3">
        <v>93.6</v>
      </c>
    </row>
    <row r="913" spans="1:3">
      <c r="A913" s="3">
        <v>3</v>
      </c>
      <c r="B913" s="3">
        <v>0</v>
      </c>
      <c r="C913" s="3">
        <v>93.6</v>
      </c>
    </row>
    <row r="914" spans="1:3">
      <c r="A914" s="3">
        <v>2</v>
      </c>
      <c r="B914" s="3">
        <v>0</v>
      </c>
      <c r="C914" s="3">
        <v>93.7</v>
      </c>
    </row>
    <row r="915" spans="1:3">
      <c r="A915" s="3">
        <v>3</v>
      </c>
      <c r="B915" s="3">
        <v>0</v>
      </c>
      <c r="C915" s="3">
        <v>93.8</v>
      </c>
    </row>
    <row r="916" spans="1:3">
      <c r="A916" s="3">
        <v>1</v>
      </c>
      <c r="B916" s="3">
        <v>0</v>
      </c>
      <c r="C916" s="3">
        <v>93.8</v>
      </c>
    </row>
    <row r="917" spans="1:3">
      <c r="A917" s="3">
        <v>1</v>
      </c>
      <c r="B917" s="3">
        <v>0</v>
      </c>
      <c r="C917" s="3">
        <v>93.8</v>
      </c>
    </row>
    <row r="918" spans="1:3">
      <c r="A918" s="3">
        <v>1</v>
      </c>
      <c r="B918" s="3">
        <v>0</v>
      </c>
      <c r="C918" s="3">
        <v>93.9</v>
      </c>
    </row>
    <row r="919" spans="1:3">
      <c r="A919" s="3">
        <v>3</v>
      </c>
      <c r="B919" s="3">
        <v>0</v>
      </c>
      <c r="C919" s="3">
        <v>93.9</v>
      </c>
    </row>
    <row r="920" spans="1:3">
      <c r="A920" s="3">
        <v>3</v>
      </c>
      <c r="B920" s="3">
        <v>0</v>
      </c>
      <c r="C920" s="3">
        <v>94</v>
      </c>
    </row>
    <row r="921" spans="1:3">
      <c r="A921" s="3">
        <v>3</v>
      </c>
      <c r="B921" s="3">
        <v>0</v>
      </c>
      <c r="C921" s="3">
        <v>94</v>
      </c>
    </row>
    <row r="922" spans="1:3">
      <c r="A922" s="3">
        <v>1</v>
      </c>
      <c r="B922" s="3">
        <v>1</v>
      </c>
      <c r="C922" s="3">
        <v>94</v>
      </c>
    </row>
    <row r="923" spans="1:3">
      <c r="A923" s="3">
        <v>2</v>
      </c>
      <c r="B923" s="3">
        <v>0</v>
      </c>
      <c r="C923" s="3">
        <v>94.1</v>
      </c>
    </row>
    <row r="924" spans="1:3">
      <c r="A924" s="3">
        <v>3</v>
      </c>
      <c r="B924" s="3">
        <v>0</v>
      </c>
      <c r="C924" s="3">
        <v>94.2</v>
      </c>
    </row>
    <row r="925" spans="1:3">
      <c r="A925" s="3">
        <v>1</v>
      </c>
      <c r="B925" s="3">
        <v>0</v>
      </c>
      <c r="C925" s="3">
        <v>94.3</v>
      </c>
    </row>
    <row r="926" spans="1:3">
      <c r="A926" s="3">
        <v>1</v>
      </c>
      <c r="B926" s="3">
        <v>0</v>
      </c>
      <c r="C926" s="3">
        <v>94.3</v>
      </c>
    </row>
    <row r="927" spans="1:3">
      <c r="A927" s="3">
        <v>2</v>
      </c>
      <c r="B927" s="3">
        <v>0</v>
      </c>
      <c r="C927" s="3">
        <v>94.4</v>
      </c>
    </row>
    <row r="928" spans="1:3">
      <c r="A928" s="3">
        <v>2</v>
      </c>
      <c r="B928" s="3">
        <v>0</v>
      </c>
      <c r="C928" s="3">
        <v>94.4</v>
      </c>
    </row>
    <row r="929" spans="1:3">
      <c r="A929" s="3">
        <v>1</v>
      </c>
      <c r="B929" s="3">
        <v>0</v>
      </c>
      <c r="C929" s="3">
        <v>94.4</v>
      </c>
    </row>
    <row r="930" spans="1:3">
      <c r="A930" s="3">
        <v>3</v>
      </c>
      <c r="B930" s="3">
        <v>0</v>
      </c>
      <c r="C930" s="3">
        <v>94.4</v>
      </c>
    </row>
    <row r="931" spans="1:3">
      <c r="A931" s="3">
        <v>3</v>
      </c>
      <c r="B931" s="3">
        <v>0</v>
      </c>
      <c r="C931" s="3">
        <v>94.5</v>
      </c>
    </row>
    <row r="932" spans="1:3">
      <c r="A932" s="3">
        <v>1</v>
      </c>
      <c r="B932" s="3">
        <v>0</v>
      </c>
      <c r="C932" s="3">
        <v>94.5</v>
      </c>
    </row>
    <row r="933" spans="1:3">
      <c r="A933" s="3">
        <v>1</v>
      </c>
      <c r="B933" s="3">
        <v>0</v>
      </c>
      <c r="C933" s="3">
        <v>94.5</v>
      </c>
    </row>
    <row r="934" spans="1:3">
      <c r="A934" s="3">
        <v>2</v>
      </c>
      <c r="B934" s="3">
        <v>0</v>
      </c>
      <c r="C934" s="3">
        <v>94.5</v>
      </c>
    </row>
    <row r="935" spans="1:3">
      <c r="A935" s="3">
        <v>1</v>
      </c>
      <c r="B935" s="3">
        <v>0</v>
      </c>
      <c r="C935" s="3">
        <v>94.6</v>
      </c>
    </row>
    <row r="936" spans="1:3">
      <c r="A936" s="3">
        <v>3</v>
      </c>
      <c r="B936" s="3">
        <v>0</v>
      </c>
      <c r="C936" s="3">
        <v>94.6</v>
      </c>
    </row>
    <row r="937" spans="1:3">
      <c r="A937" s="3">
        <v>3</v>
      </c>
      <c r="B937" s="3">
        <v>0</v>
      </c>
      <c r="C937" s="3">
        <v>94.6</v>
      </c>
    </row>
    <row r="938" spans="1:3">
      <c r="A938" s="3">
        <v>2</v>
      </c>
      <c r="B938" s="3">
        <v>0</v>
      </c>
      <c r="C938" s="3">
        <v>94.6</v>
      </c>
    </row>
    <row r="939" spans="1:3">
      <c r="A939" s="3">
        <v>2</v>
      </c>
      <c r="B939" s="3">
        <v>0</v>
      </c>
      <c r="C939" s="3">
        <v>94.7</v>
      </c>
    </row>
    <row r="940" spans="1:3">
      <c r="A940" s="3">
        <v>3</v>
      </c>
      <c r="B940" s="3">
        <v>0</v>
      </c>
      <c r="C940" s="3">
        <v>94.7</v>
      </c>
    </row>
    <row r="941" spans="1:3">
      <c r="A941" s="3">
        <v>3</v>
      </c>
      <c r="B941" s="3">
        <v>0</v>
      </c>
      <c r="C941" s="3">
        <v>94.8</v>
      </c>
    </row>
    <row r="942" spans="1:3">
      <c r="A942" s="3">
        <v>3</v>
      </c>
      <c r="B942" s="3">
        <v>0</v>
      </c>
      <c r="C942" s="3">
        <v>94.8</v>
      </c>
    </row>
    <row r="943" spans="1:3">
      <c r="A943" s="3">
        <v>3</v>
      </c>
      <c r="B943" s="3">
        <v>0</v>
      </c>
      <c r="C943" s="3">
        <v>94.8</v>
      </c>
    </row>
    <row r="944" spans="1:3">
      <c r="A944" s="3">
        <v>3</v>
      </c>
      <c r="B944" s="3">
        <v>0</v>
      </c>
      <c r="C944" s="3">
        <v>94.9</v>
      </c>
    </row>
    <row r="945" spans="1:3">
      <c r="A945" s="3">
        <v>1</v>
      </c>
      <c r="B945" s="3">
        <v>0</v>
      </c>
      <c r="C945" s="3">
        <v>95</v>
      </c>
    </row>
    <row r="946" spans="1:3">
      <c r="A946" s="3">
        <v>1</v>
      </c>
      <c r="B946" s="3">
        <v>0</v>
      </c>
      <c r="C946" s="3">
        <v>95</v>
      </c>
    </row>
    <row r="947" spans="1:3">
      <c r="A947" s="3">
        <v>2</v>
      </c>
      <c r="B947" s="3">
        <v>0</v>
      </c>
      <c r="C947" s="3">
        <v>95</v>
      </c>
    </row>
    <row r="948" spans="1:3">
      <c r="A948" s="3">
        <v>1</v>
      </c>
      <c r="B948" s="3">
        <v>0</v>
      </c>
      <c r="C948" s="3">
        <v>95</v>
      </c>
    </row>
    <row r="949" spans="1:3">
      <c r="A949" s="3">
        <v>1</v>
      </c>
      <c r="B949" s="3">
        <v>0</v>
      </c>
      <c r="C949" s="3">
        <v>95.1</v>
      </c>
    </row>
    <row r="950" spans="1:3">
      <c r="A950" s="3">
        <v>1</v>
      </c>
      <c r="B950" s="3">
        <v>0</v>
      </c>
      <c r="C950" s="3">
        <v>95.1</v>
      </c>
    </row>
    <row r="951" spans="1:3">
      <c r="A951" s="3">
        <v>3</v>
      </c>
      <c r="B951" s="3">
        <v>0</v>
      </c>
      <c r="C951" s="3">
        <v>95.1</v>
      </c>
    </row>
    <row r="952" spans="1:3">
      <c r="A952" s="3">
        <v>1</v>
      </c>
      <c r="B952" s="3">
        <v>0</v>
      </c>
      <c r="C952" s="3">
        <v>95.2</v>
      </c>
    </row>
    <row r="953" spans="1:3">
      <c r="A953" s="3">
        <v>1</v>
      </c>
      <c r="B953" s="3">
        <v>0</v>
      </c>
      <c r="C953" s="3">
        <v>95.2</v>
      </c>
    </row>
    <row r="954" spans="1:3">
      <c r="A954" s="3">
        <v>2</v>
      </c>
      <c r="B954" s="3">
        <v>0</v>
      </c>
      <c r="C954" s="3">
        <v>95.2</v>
      </c>
    </row>
    <row r="955" spans="1:3">
      <c r="A955" s="3">
        <v>2</v>
      </c>
      <c r="B955" s="3">
        <v>0</v>
      </c>
      <c r="C955" s="3">
        <v>95.2</v>
      </c>
    </row>
    <row r="956" spans="1:3">
      <c r="A956" s="3">
        <v>1</v>
      </c>
      <c r="B956" s="3">
        <v>0</v>
      </c>
      <c r="C956" s="3">
        <v>95.2</v>
      </c>
    </row>
    <row r="957" spans="1:3">
      <c r="A957" s="3">
        <v>2</v>
      </c>
      <c r="B957" s="3">
        <v>0</v>
      </c>
      <c r="C957" s="3">
        <v>95.2</v>
      </c>
    </row>
    <row r="958" spans="1:3">
      <c r="A958" s="3">
        <v>2</v>
      </c>
      <c r="B958" s="3">
        <v>0</v>
      </c>
      <c r="C958" s="3">
        <v>95.3</v>
      </c>
    </row>
    <row r="959" spans="1:3">
      <c r="A959" s="3">
        <v>2</v>
      </c>
      <c r="B959" s="3">
        <v>1</v>
      </c>
      <c r="C959" s="3">
        <v>95.3</v>
      </c>
    </row>
    <row r="960" spans="1:3">
      <c r="A960" s="3">
        <v>3</v>
      </c>
      <c r="B960" s="3">
        <v>0</v>
      </c>
      <c r="C960" s="3">
        <v>95.4</v>
      </c>
    </row>
    <row r="961" spans="1:3">
      <c r="A961" s="3">
        <v>3</v>
      </c>
      <c r="B961" s="3">
        <v>0</v>
      </c>
      <c r="C961" s="3">
        <v>95.4</v>
      </c>
    </row>
    <row r="962" spans="1:3">
      <c r="A962" s="3">
        <v>1</v>
      </c>
      <c r="B962" s="3">
        <v>0</v>
      </c>
      <c r="C962" s="3">
        <v>95.5</v>
      </c>
    </row>
    <row r="963" spans="1:3">
      <c r="A963" s="3">
        <v>3</v>
      </c>
      <c r="B963" s="3">
        <v>0</v>
      </c>
      <c r="C963" s="3">
        <v>95.5</v>
      </c>
    </row>
    <row r="964" spans="1:3">
      <c r="A964" s="3">
        <v>3</v>
      </c>
      <c r="B964" s="3">
        <v>0</v>
      </c>
      <c r="C964" s="3">
        <v>95.5</v>
      </c>
    </row>
    <row r="965" spans="1:3">
      <c r="A965" s="3">
        <v>1</v>
      </c>
      <c r="B965" s="3">
        <v>0</v>
      </c>
      <c r="C965" s="3">
        <v>95.6</v>
      </c>
    </row>
    <row r="966" spans="1:3">
      <c r="A966" s="3">
        <v>2</v>
      </c>
      <c r="B966" s="3">
        <v>0</v>
      </c>
      <c r="C966" s="3">
        <v>95.6</v>
      </c>
    </row>
    <row r="967" spans="1:3">
      <c r="A967" s="3">
        <v>2</v>
      </c>
      <c r="B967" s="3">
        <v>0</v>
      </c>
      <c r="C967" s="3">
        <v>95.6</v>
      </c>
    </row>
    <row r="968" spans="1:3">
      <c r="A968" s="3">
        <v>1</v>
      </c>
      <c r="B968" s="3">
        <v>0</v>
      </c>
      <c r="C968" s="3">
        <v>95.7</v>
      </c>
    </row>
    <row r="969" spans="1:3">
      <c r="A969" s="3">
        <v>3</v>
      </c>
      <c r="B969" s="3">
        <v>0</v>
      </c>
      <c r="C969" s="3">
        <v>95.8</v>
      </c>
    </row>
    <row r="970" spans="1:3">
      <c r="A970" s="3">
        <v>1</v>
      </c>
      <c r="B970" s="3">
        <v>0</v>
      </c>
      <c r="C970" s="3">
        <v>95.9</v>
      </c>
    </row>
    <row r="971" spans="1:3">
      <c r="A971" s="3">
        <v>2</v>
      </c>
      <c r="B971" s="3">
        <v>0</v>
      </c>
      <c r="C971" s="3">
        <v>96</v>
      </c>
    </row>
    <row r="972" spans="1:3">
      <c r="A972" s="3">
        <v>2</v>
      </c>
      <c r="B972" s="3">
        <v>0</v>
      </c>
      <c r="C972" s="3">
        <v>96</v>
      </c>
    </row>
    <row r="973" spans="1:3">
      <c r="A973" s="3">
        <v>1</v>
      </c>
      <c r="B973" s="3">
        <v>0</v>
      </c>
      <c r="C973" s="3">
        <v>96.1</v>
      </c>
    </row>
    <row r="974" spans="1:3">
      <c r="A974" s="3">
        <v>2</v>
      </c>
      <c r="B974" s="3">
        <v>0</v>
      </c>
      <c r="C974" s="3">
        <v>96.1</v>
      </c>
    </row>
    <row r="975" spans="1:3">
      <c r="A975" s="3">
        <v>2</v>
      </c>
      <c r="B975" s="3">
        <v>0</v>
      </c>
      <c r="C975" s="3">
        <v>96.1</v>
      </c>
    </row>
    <row r="976" spans="1:3">
      <c r="A976" s="3">
        <v>2</v>
      </c>
      <c r="B976" s="3">
        <v>0</v>
      </c>
      <c r="C976" s="3">
        <v>96.2</v>
      </c>
    </row>
    <row r="977" spans="1:3">
      <c r="A977" s="3">
        <v>3</v>
      </c>
      <c r="B977" s="3">
        <v>0</v>
      </c>
      <c r="C977" s="3">
        <v>96.3</v>
      </c>
    </row>
    <row r="978" spans="1:3">
      <c r="A978" s="3">
        <v>1</v>
      </c>
      <c r="B978" s="3">
        <v>0</v>
      </c>
      <c r="C978" s="3">
        <v>96.3</v>
      </c>
    </row>
    <row r="979" spans="1:3">
      <c r="A979" s="3">
        <v>2</v>
      </c>
      <c r="B979" s="3">
        <v>0</v>
      </c>
      <c r="C979" s="3">
        <v>96.4</v>
      </c>
    </row>
    <row r="980" spans="1:3">
      <c r="A980" s="3">
        <v>3</v>
      </c>
      <c r="B980" s="3">
        <v>0</v>
      </c>
      <c r="C980" s="3">
        <v>96.4</v>
      </c>
    </row>
    <row r="981" spans="1:3">
      <c r="A981" s="3">
        <v>1</v>
      </c>
      <c r="B981" s="3">
        <v>0</v>
      </c>
      <c r="C981" s="3">
        <v>96.5</v>
      </c>
    </row>
    <row r="982" spans="1:3">
      <c r="A982" s="3">
        <v>1</v>
      </c>
      <c r="B982" s="3">
        <v>0</v>
      </c>
      <c r="C982" s="3">
        <v>96.6</v>
      </c>
    </row>
    <row r="983" spans="1:3">
      <c r="A983" s="3">
        <v>3</v>
      </c>
      <c r="B983" s="3">
        <v>0</v>
      </c>
      <c r="C983" s="3">
        <v>96.6</v>
      </c>
    </row>
    <row r="984" spans="1:3">
      <c r="A984" s="3">
        <v>1</v>
      </c>
      <c r="B984" s="3">
        <v>0</v>
      </c>
      <c r="C984" s="3">
        <v>96.6</v>
      </c>
    </row>
    <row r="985" spans="1:3">
      <c r="A985" s="3">
        <v>1</v>
      </c>
      <c r="B985" s="3">
        <v>0</v>
      </c>
      <c r="C985" s="3">
        <v>96.6</v>
      </c>
    </row>
    <row r="986" spans="1:3">
      <c r="A986" s="3">
        <v>1</v>
      </c>
      <c r="B986" s="3">
        <v>0</v>
      </c>
      <c r="C986" s="3">
        <v>96.7</v>
      </c>
    </row>
    <row r="987" spans="1:3">
      <c r="A987" s="3">
        <v>1</v>
      </c>
      <c r="B987" s="3">
        <v>0</v>
      </c>
      <c r="C987" s="3">
        <v>96.7</v>
      </c>
    </row>
    <row r="988" spans="1:3">
      <c r="A988" s="3">
        <v>2</v>
      </c>
      <c r="B988" s="3">
        <v>1</v>
      </c>
      <c r="C988" s="3">
        <v>96.7</v>
      </c>
    </row>
    <row r="989" spans="1:3">
      <c r="A989" s="3">
        <v>2</v>
      </c>
      <c r="B989" s="3">
        <v>0</v>
      </c>
      <c r="C989" s="3">
        <v>96.7</v>
      </c>
    </row>
    <row r="990" spans="1:3">
      <c r="A990" s="3">
        <v>2</v>
      </c>
      <c r="B990" s="3">
        <v>0</v>
      </c>
      <c r="C990" s="3">
        <v>96.8</v>
      </c>
    </row>
    <row r="991" spans="1:3">
      <c r="A991" s="3">
        <v>2</v>
      </c>
      <c r="B991" s="3">
        <v>0</v>
      </c>
      <c r="C991" s="3">
        <v>96.8</v>
      </c>
    </row>
    <row r="992" spans="1:3">
      <c r="A992" s="3">
        <v>1</v>
      </c>
      <c r="B992" s="3">
        <v>0</v>
      </c>
      <c r="C992" s="3">
        <v>97</v>
      </c>
    </row>
    <row r="993" spans="1:3">
      <c r="A993" s="3">
        <v>3</v>
      </c>
      <c r="B993" s="3">
        <v>0</v>
      </c>
      <c r="C993" s="3">
        <v>97</v>
      </c>
    </row>
    <row r="994" spans="1:3">
      <c r="A994" s="3">
        <v>3</v>
      </c>
      <c r="B994" s="3">
        <v>0</v>
      </c>
      <c r="C994" s="3">
        <v>97.1</v>
      </c>
    </row>
    <row r="995" spans="1:3">
      <c r="A995" s="3">
        <v>1</v>
      </c>
      <c r="B995" s="3">
        <v>0</v>
      </c>
      <c r="C995" s="3">
        <v>97.2</v>
      </c>
    </row>
    <row r="996" spans="1:3">
      <c r="A996" s="3">
        <v>1</v>
      </c>
      <c r="B996" s="3">
        <v>0</v>
      </c>
      <c r="C996" s="3">
        <v>97.3</v>
      </c>
    </row>
    <row r="997" spans="1:3">
      <c r="A997" s="3">
        <v>1</v>
      </c>
      <c r="B997" s="3">
        <v>0</v>
      </c>
      <c r="C997" s="3">
        <v>97.3</v>
      </c>
    </row>
    <row r="998" spans="1:3">
      <c r="A998" s="3">
        <v>1</v>
      </c>
      <c r="B998" s="3">
        <v>0</v>
      </c>
      <c r="C998" s="3">
        <v>97.3</v>
      </c>
    </row>
    <row r="999" spans="1:3">
      <c r="A999" s="3">
        <v>3</v>
      </c>
      <c r="B999" s="3">
        <v>0</v>
      </c>
      <c r="C999" s="3">
        <v>97.3</v>
      </c>
    </row>
    <row r="1000" spans="1:3">
      <c r="A1000" s="3">
        <v>1</v>
      </c>
      <c r="B1000" s="3">
        <v>0</v>
      </c>
      <c r="C1000" s="3">
        <v>97.4</v>
      </c>
    </row>
    <row r="1001" spans="1:3">
      <c r="A1001" s="3">
        <v>2</v>
      </c>
      <c r="B1001" s="3">
        <v>0</v>
      </c>
      <c r="C1001" s="3">
        <v>97.6</v>
      </c>
    </row>
    <row r="1002" spans="1:3">
      <c r="A1002" s="3">
        <v>2</v>
      </c>
      <c r="B1002" s="3">
        <v>0</v>
      </c>
      <c r="C1002" s="3">
        <v>97.6</v>
      </c>
    </row>
    <row r="1003" spans="1:3">
      <c r="A1003" s="3">
        <v>3</v>
      </c>
      <c r="B1003" s="3">
        <v>0</v>
      </c>
      <c r="C1003" s="3">
        <v>97.6</v>
      </c>
    </row>
    <row r="1004" spans="1:3">
      <c r="A1004" s="3">
        <v>3</v>
      </c>
      <c r="B1004" s="3">
        <v>0</v>
      </c>
      <c r="C1004" s="3">
        <v>97.7</v>
      </c>
    </row>
    <row r="1005" spans="1:3">
      <c r="A1005" s="3">
        <v>2</v>
      </c>
      <c r="B1005" s="3">
        <v>0</v>
      </c>
      <c r="C1005" s="3">
        <v>97.7</v>
      </c>
    </row>
    <row r="1006" spans="1:3">
      <c r="A1006" s="3">
        <v>1</v>
      </c>
      <c r="B1006" s="3">
        <v>0</v>
      </c>
      <c r="C1006" s="3">
        <v>97.8</v>
      </c>
    </row>
    <row r="1007" spans="1:3">
      <c r="A1007" s="3">
        <v>2</v>
      </c>
      <c r="B1007" s="3">
        <v>0</v>
      </c>
      <c r="C1007" s="3">
        <v>97.8</v>
      </c>
    </row>
    <row r="1008" spans="1:3">
      <c r="A1008" s="3">
        <v>2</v>
      </c>
      <c r="B1008" s="3">
        <v>0</v>
      </c>
      <c r="C1008" s="3">
        <v>97.9</v>
      </c>
    </row>
    <row r="1009" spans="1:3">
      <c r="A1009" s="3">
        <v>3</v>
      </c>
      <c r="B1009" s="3">
        <v>0</v>
      </c>
      <c r="C1009" s="3">
        <v>98</v>
      </c>
    </row>
    <row r="1010" spans="1:3">
      <c r="A1010" s="3">
        <v>1</v>
      </c>
      <c r="B1010" s="3">
        <v>0</v>
      </c>
      <c r="C1010" s="3">
        <v>98</v>
      </c>
    </row>
    <row r="1011" spans="1:3">
      <c r="A1011" s="3">
        <v>2</v>
      </c>
      <c r="B1011" s="3">
        <v>0</v>
      </c>
      <c r="C1011" s="3">
        <v>98</v>
      </c>
    </row>
    <row r="1012" spans="1:3">
      <c r="A1012" s="3">
        <v>2</v>
      </c>
      <c r="B1012" s="3">
        <v>0</v>
      </c>
      <c r="C1012" s="3">
        <v>98.1</v>
      </c>
    </row>
    <row r="1013" spans="1:3">
      <c r="A1013" s="3">
        <v>2</v>
      </c>
      <c r="B1013" s="3">
        <v>0</v>
      </c>
      <c r="C1013" s="3">
        <v>98.1</v>
      </c>
    </row>
    <row r="1014" spans="1:3">
      <c r="A1014" s="3">
        <v>3</v>
      </c>
      <c r="B1014" s="3">
        <v>0</v>
      </c>
      <c r="C1014" s="3">
        <v>98.3</v>
      </c>
    </row>
    <row r="1015" spans="1:3">
      <c r="A1015" s="3">
        <v>3</v>
      </c>
      <c r="B1015" s="3">
        <v>0</v>
      </c>
      <c r="C1015" s="3">
        <v>98.3</v>
      </c>
    </row>
    <row r="1016" spans="1:3">
      <c r="A1016" s="3">
        <v>3</v>
      </c>
      <c r="B1016" s="3">
        <v>0</v>
      </c>
      <c r="C1016" s="3">
        <v>98.3</v>
      </c>
    </row>
    <row r="1017" spans="1:3">
      <c r="A1017" s="3">
        <v>3</v>
      </c>
      <c r="B1017" s="3">
        <v>0</v>
      </c>
      <c r="C1017" s="3">
        <v>98.4</v>
      </c>
    </row>
    <row r="1018" spans="1:3">
      <c r="A1018" s="3">
        <v>3</v>
      </c>
      <c r="B1018" s="3">
        <v>0</v>
      </c>
      <c r="C1018" s="3">
        <v>98.4</v>
      </c>
    </row>
    <row r="1019" spans="1:3">
      <c r="A1019" s="3">
        <v>1</v>
      </c>
      <c r="B1019" s="3">
        <v>0</v>
      </c>
      <c r="C1019" s="3">
        <v>98.5</v>
      </c>
    </row>
    <row r="1020" spans="1:3">
      <c r="A1020" s="3">
        <v>1</v>
      </c>
      <c r="B1020" s="3">
        <v>0</v>
      </c>
      <c r="C1020" s="3">
        <v>98.5</v>
      </c>
    </row>
    <row r="1021" spans="1:3">
      <c r="A1021" s="3">
        <v>1</v>
      </c>
      <c r="B1021" s="3">
        <v>0</v>
      </c>
      <c r="C1021" s="3">
        <v>98.5</v>
      </c>
    </row>
    <row r="1022" spans="1:3">
      <c r="A1022" s="3">
        <v>1</v>
      </c>
      <c r="B1022" s="3">
        <v>0</v>
      </c>
      <c r="C1022" s="3">
        <v>98.5</v>
      </c>
    </row>
    <row r="1023" spans="1:3">
      <c r="A1023" s="3">
        <v>3</v>
      </c>
      <c r="B1023" s="3">
        <v>0</v>
      </c>
      <c r="C1023" s="3">
        <v>98.6</v>
      </c>
    </row>
    <row r="1024" spans="1:3">
      <c r="A1024" s="3">
        <v>2</v>
      </c>
      <c r="B1024" s="3">
        <v>0</v>
      </c>
      <c r="C1024" s="3">
        <v>98.7</v>
      </c>
    </row>
    <row r="1025" spans="1:3">
      <c r="A1025" s="3">
        <v>3</v>
      </c>
      <c r="B1025" s="3">
        <v>0</v>
      </c>
      <c r="C1025" s="3">
        <v>98.8</v>
      </c>
    </row>
    <row r="1026" spans="1:3">
      <c r="A1026" s="3">
        <v>2</v>
      </c>
      <c r="B1026" s="3">
        <v>0</v>
      </c>
      <c r="C1026" s="3">
        <v>98.8</v>
      </c>
    </row>
    <row r="1027" spans="1:3">
      <c r="A1027" s="3">
        <v>1</v>
      </c>
      <c r="B1027" s="3">
        <v>0</v>
      </c>
      <c r="C1027" s="3">
        <v>98.8</v>
      </c>
    </row>
    <row r="1028" spans="1:3">
      <c r="A1028" s="3">
        <v>1</v>
      </c>
      <c r="B1028" s="3">
        <v>0</v>
      </c>
      <c r="C1028" s="3">
        <v>99</v>
      </c>
    </row>
    <row r="1029" spans="1:3">
      <c r="A1029" s="3">
        <v>1</v>
      </c>
      <c r="B1029" s="3">
        <v>0</v>
      </c>
      <c r="C1029" s="3">
        <v>99</v>
      </c>
    </row>
    <row r="1030" spans="1:3">
      <c r="A1030" s="3">
        <v>2</v>
      </c>
      <c r="B1030" s="3">
        <v>0</v>
      </c>
      <c r="C1030" s="3">
        <v>99.1</v>
      </c>
    </row>
    <row r="1031" spans="1:3">
      <c r="A1031" s="3">
        <v>2</v>
      </c>
      <c r="B1031" s="3">
        <v>0</v>
      </c>
      <c r="C1031" s="3">
        <v>99.2</v>
      </c>
    </row>
    <row r="1032" spans="1:3">
      <c r="A1032" s="3">
        <v>3</v>
      </c>
      <c r="B1032" s="3">
        <v>0</v>
      </c>
      <c r="C1032" s="3">
        <v>99.2</v>
      </c>
    </row>
    <row r="1033" spans="1:3">
      <c r="A1033" s="3">
        <v>2</v>
      </c>
      <c r="B1033" s="3">
        <v>0</v>
      </c>
      <c r="C1033" s="3">
        <v>99.2</v>
      </c>
    </row>
    <row r="1034" spans="1:3">
      <c r="A1034" s="3">
        <v>2</v>
      </c>
      <c r="B1034" s="3">
        <v>1</v>
      </c>
      <c r="C1034" s="3">
        <v>99.3</v>
      </c>
    </row>
    <row r="1035" spans="1:3">
      <c r="A1035" s="3">
        <v>1</v>
      </c>
      <c r="B1035" s="3">
        <v>0</v>
      </c>
      <c r="C1035" s="3">
        <v>99.3</v>
      </c>
    </row>
    <row r="1036" spans="1:3">
      <c r="A1036" s="3">
        <v>3</v>
      </c>
      <c r="B1036" s="3">
        <v>0</v>
      </c>
      <c r="C1036" s="3">
        <v>99.3</v>
      </c>
    </row>
    <row r="1037" spans="1:3">
      <c r="A1037" s="3">
        <v>1</v>
      </c>
      <c r="B1037" s="3">
        <v>0</v>
      </c>
      <c r="C1037" s="3">
        <v>99.3</v>
      </c>
    </row>
    <row r="1038" spans="1:3">
      <c r="A1038" s="3">
        <v>3</v>
      </c>
      <c r="B1038" s="3">
        <v>0</v>
      </c>
      <c r="C1038" s="3">
        <v>99.4</v>
      </c>
    </row>
    <row r="1039" spans="1:3">
      <c r="A1039" s="3">
        <v>2</v>
      </c>
      <c r="B1039" s="3">
        <v>0</v>
      </c>
      <c r="C1039" s="3">
        <v>99.4</v>
      </c>
    </row>
    <row r="1040" spans="1:3">
      <c r="A1040" s="3">
        <v>2</v>
      </c>
      <c r="B1040" s="3">
        <v>0</v>
      </c>
      <c r="C1040" s="3">
        <v>99.5</v>
      </c>
    </row>
    <row r="1041" spans="1:3">
      <c r="A1041" s="3">
        <v>3</v>
      </c>
      <c r="B1041" s="3">
        <v>0</v>
      </c>
      <c r="C1041" s="3">
        <v>99.5</v>
      </c>
    </row>
    <row r="1042" spans="1:3">
      <c r="A1042" s="3">
        <v>3</v>
      </c>
      <c r="B1042" s="3">
        <v>0</v>
      </c>
      <c r="C1042" s="3">
        <v>99.5</v>
      </c>
    </row>
    <row r="1043" spans="1:3">
      <c r="A1043" s="3">
        <v>1</v>
      </c>
      <c r="B1043" s="3">
        <v>0</v>
      </c>
      <c r="C1043" s="3">
        <v>99.5</v>
      </c>
    </row>
    <row r="1044" spans="1:3">
      <c r="A1044" s="3">
        <v>3</v>
      </c>
      <c r="B1044" s="3">
        <v>0</v>
      </c>
      <c r="C1044" s="3">
        <v>99.6</v>
      </c>
    </row>
    <row r="1045" spans="1:3">
      <c r="A1045" s="3">
        <v>2</v>
      </c>
      <c r="B1045" s="3">
        <v>0</v>
      </c>
      <c r="C1045" s="3">
        <v>99.7</v>
      </c>
    </row>
    <row r="1046" spans="1:3">
      <c r="A1046" s="3">
        <v>3</v>
      </c>
      <c r="B1046" s="3">
        <v>0</v>
      </c>
      <c r="C1046" s="3">
        <v>99.7</v>
      </c>
    </row>
    <row r="1047" spans="1:3">
      <c r="A1047" s="3">
        <v>2</v>
      </c>
      <c r="B1047" s="3">
        <v>0</v>
      </c>
      <c r="C1047" s="3">
        <v>99.7</v>
      </c>
    </row>
    <row r="1048" spans="1:3">
      <c r="A1048" s="3">
        <v>1</v>
      </c>
      <c r="B1048" s="3">
        <v>0</v>
      </c>
      <c r="C1048" s="3">
        <v>99.8</v>
      </c>
    </row>
    <row r="1049" spans="1:3">
      <c r="A1049" s="3">
        <v>3</v>
      </c>
      <c r="B1049" s="3">
        <v>0</v>
      </c>
      <c r="C1049" s="3">
        <v>99.8</v>
      </c>
    </row>
    <row r="1050" spans="1:3">
      <c r="A1050" s="3">
        <v>1</v>
      </c>
      <c r="B1050" s="3">
        <v>0</v>
      </c>
      <c r="C1050" s="3">
        <v>99.8</v>
      </c>
    </row>
    <row r="1051" spans="1:3">
      <c r="A1051" s="3">
        <v>2</v>
      </c>
      <c r="B1051" s="3">
        <v>0</v>
      </c>
      <c r="C1051" s="3">
        <v>100.1</v>
      </c>
    </row>
    <row r="1052" spans="1:3">
      <c r="A1052" s="3">
        <v>3</v>
      </c>
      <c r="B1052" s="3">
        <v>0</v>
      </c>
      <c r="C1052" s="3">
        <v>100.4</v>
      </c>
    </row>
    <row r="1053" spans="1:3">
      <c r="A1053" s="3">
        <v>2</v>
      </c>
      <c r="B1053" s="3">
        <v>0</v>
      </c>
      <c r="C1053" s="3">
        <v>100.5</v>
      </c>
    </row>
    <row r="1054" spans="1:3">
      <c r="A1054" s="3">
        <v>2</v>
      </c>
      <c r="B1054" s="3">
        <v>0</v>
      </c>
      <c r="C1054" s="3">
        <v>100.7</v>
      </c>
    </row>
    <row r="1055" spans="1:3">
      <c r="A1055" s="3">
        <v>3</v>
      </c>
      <c r="B1055" s="3">
        <v>0</v>
      </c>
      <c r="C1055" s="3">
        <v>100.7</v>
      </c>
    </row>
    <row r="1056" spans="1:3">
      <c r="A1056" s="3">
        <v>1</v>
      </c>
      <c r="B1056" s="3">
        <v>0</v>
      </c>
      <c r="C1056" s="3">
        <v>101</v>
      </c>
    </row>
    <row r="1057" spans="1:3">
      <c r="A1057" s="3">
        <v>3</v>
      </c>
      <c r="B1057" s="3">
        <v>0</v>
      </c>
      <c r="C1057" s="3">
        <v>101</v>
      </c>
    </row>
    <row r="1058" spans="1:3">
      <c r="A1058" s="3">
        <v>1</v>
      </c>
      <c r="B1058" s="3">
        <v>0</v>
      </c>
      <c r="C1058" s="3">
        <v>101.1</v>
      </c>
    </row>
    <row r="1059" spans="1:3">
      <c r="A1059" s="3">
        <v>1</v>
      </c>
      <c r="B1059" s="3">
        <v>0</v>
      </c>
      <c r="C1059" s="3">
        <v>101.2</v>
      </c>
    </row>
    <row r="1060" spans="1:3">
      <c r="A1060" s="3">
        <v>2</v>
      </c>
      <c r="B1060" s="3">
        <v>0</v>
      </c>
      <c r="C1060" s="3">
        <v>101.4</v>
      </c>
    </row>
    <row r="1061" spans="1:3">
      <c r="A1061" s="3">
        <v>1</v>
      </c>
      <c r="B1061" s="3">
        <v>0</v>
      </c>
      <c r="C1061" s="3">
        <v>101.5</v>
      </c>
    </row>
    <row r="1062" spans="1:3">
      <c r="A1062" s="3">
        <v>2</v>
      </c>
      <c r="B1062" s="3">
        <v>0</v>
      </c>
      <c r="C1062" s="3">
        <v>101.8</v>
      </c>
    </row>
    <row r="1063" spans="1:3">
      <c r="A1063" s="3">
        <v>3</v>
      </c>
      <c r="B1063" s="3">
        <v>0</v>
      </c>
      <c r="C1063" s="3">
        <v>102</v>
      </c>
    </row>
    <row r="1064" spans="1:3">
      <c r="A1064" s="3">
        <v>1</v>
      </c>
      <c r="B1064" s="3">
        <v>0</v>
      </c>
      <c r="C1064" s="3">
        <v>102</v>
      </c>
    </row>
    <row r="1065" spans="1:3">
      <c r="A1065" s="3">
        <v>3</v>
      </c>
      <c r="B1065" s="3">
        <v>0</v>
      </c>
      <c r="C1065" s="3">
        <v>102</v>
      </c>
    </row>
    <row r="1066" spans="1:3">
      <c r="A1066" s="3">
        <v>3</v>
      </c>
      <c r="B1066" s="3">
        <v>0</v>
      </c>
      <c r="C1066" s="3">
        <v>102.3</v>
      </c>
    </row>
    <row r="1067" spans="1:3">
      <c r="A1067" s="3">
        <v>3</v>
      </c>
      <c r="B1067" s="3">
        <v>0</v>
      </c>
      <c r="C1067" s="3">
        <v>102.3</v>
      </c>
    </row>
    <row r="1068" spans="1:3">
      <c r="A1068" s="3">
        <v>1</v>
      </c>
      <c r="B1068" s="3">
        <v>0</v>
      </c>
      <c r="C1068" s="3">
        <v>102.5</v>
      </c>
    </row>
    <row r="1069" spans="1:3">
      <c r="A1069" s="3">
        <v>2</v>
      </c>
      <c r="B1069" s="3">
        <v>0</v>
      </c>
      <c r="C1069" s="3">
        <v>102.5</v>
      </c>
    </row>
    <row r="1070" spans="1:3">
      <c r="A1070" s="3">
        <v>3</v>
      </c>
      <c r="B1070" s="3">
        <v>0</v>
      </c>
      <c r="C1070" s="3">
        <v>103.3</v>
      </c>
    </row>
    <row r="1071" spans="1:3">
      <c r="A1071" s="3">
        <v>1</v>
      </c>
      <c r="B1071" s="3">
        <v>0</v>
      </c>
      <c r="C1071" s="3">
        <v>103.5</v>
      </c>
    </row>
    <row r="1072" spans="1:3">
      <c r="A1072" s="3">
        <v>1</v>
      </c>
      <c r="B1072" s="3">
        <v>0</v>
      </c>
      <c r="C1072" s="3">
        <v>103.6</v>
      </c>
    </row>
    <row r="1073" spans="1:3">
      <c r="A1073" s="3">
        <v>1</v>
      </c>
      <c r="B1073" s="3">
        <v>0</v>
      </c>
      <c r="C1073" s="3">
        <v>103.6</v>
      </c>
    </row>
    <row r="1074" spans="1:3">
      <c r="A1074" s="3">
        <v>3</v>
      </c>
      <c r="B1074" s="3">
        <v>0</v>
      </c>
      <c r="C1074" s="3">
        <v>104</v>
      </c>
    </row>
    <row r="1075" spans="1:3">
      <c r="A1075" s="3">
        <v>2</v>
      </c>
      <c r="B1075" s="3">
        <v>0</v>
      </c>
      <c r="C1075" s="3">
        <v>105</v>
      </c>
    </row>
    <row r="1076" spans="1:3">
      <c r="A1076" s="3">
        <v>2</v>
      </c>
      <c r="B1076" s="3">
        <v>0</v>
      </c>
      <c r="C1076" s="3">
        <v>105.2</v>
      </c>
    </row>
    <row r="1077" spans="1:3">
      <c r="A1077" s="3">
        <v>3</v>
      </c>
      <c r="B1077" s="3">
        <v>0</v>
      </c>
      <c r="C1077" s="3">
        <v>105.3</v>
      </c>
    </row>
    <row r="1078" spans="1:3">
      <c r="A1078" s="3">
        <v>3</v>
      </c>
      <c r="B1078" s="3">
        <v>0</v>
      </c>
      <c r="C1078" s="3">
        <v>105.5</v>
      </c>
    </row>
    <row r="1079" spans="1:3">
      <c r="A1079" s="3">
        <v>3</v>
      </c>
      <c r="B1079" s="3">
        <v>0</v>
      </c>
      <c r="C1079" s="3">
        <v>105.8</v>
      </c>
    </row>
    <row r="1080" spans="1:3">
      <c r="A1080" s="3">
        <v>3</v>
      </c>
      <c r="B1080" s="3">
        <v>0</v>
      </c>
      <c r="C1080" s="3">
        <v>106.2</v>
      </c>
    </row>
    <row r="1081" spans="1:3">
      <c r="A1081" s="3">
        <v>2</v>
      </c>
      <c r="B1081" s="3">
        <v>0</v>
      </c>
      <c r="C1081" s="3">
        <v>110.1</v>
      </c>
    </row>
  </sheetData>
  <mergeCells count="2">
    <mergeCell ref="I4:L4"/>
    <mergeCell ref="I30:L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BAE6-47CE-4F7C-9E0B-0FB3245EC8BF}">
  <dimension ref="A1:O1081"/>
  <sheetViews>
    <sheetView tabSelected="1" topLeftCell="A12" workbookViewId="0">
      <selection activeCell="N30" sqref="N30"/>
    </sheetView>
  </sheetViews>
  <sheetFormatPr defaultRowHeight="14.4"/>
  <cols>
    <col min="5" max="5" width="17.77734375" style="2" bestFit="1" customWidth="1"/>
    <col min="9" max="9" width="11.6640625" customWidth="1"/>
    <col min="10" max="10" width="12.44140625" customWidth="1"/>
    <col min="11" max="11" width="10.5546875" bestFit="1" customWidth="1"/>
  </cols>
  <sheetData>
    <row r="1" spans="1:15" ht="15.6">
      <c r="A1" s="27" t="s">
        <v>17</v>
      </c>
      <c r="B1" s="27" t="s">
        <v>18</v>
      </c>
      <c r="C1" t="s">
        <v>1264</v>
      </c>
      <c r="D1" t="s">
        <v>1265</v>
      </c>
      <c r="E1" s="2" t="s">
        <v>1266</v>
      </c>
      <c r="G1" t="s">
        <v>1256</v>
      </c>
    </row>
    <row r="2" spans="1:15">
      <c r="A2" s="3">
        <v>54.8</v>
      </c>
      <c r="B2" s="2">
        <v>4.3</v>
      </c>
      <c r="C2">
        <f>$K$4*A2+$K$5</f>
        <v>4.8072704336172123</v>
      </c>
      <c r="D2" s="2">
        <f>C2-B2</f>
        <v>0.50727043361721247</v>
      </c>
      <c r="E2" s="2">
        <f>D2^2</f>
        <v>0.25732329282219474</v>
      </c>
      <c r="G2" t="s">
        <v>1257</v>
      </c>
    </row>
    <row r="3" spans="1:15">
      <c r="A3" s="3">
        <v>60.6</v>
      </c>
      <c r="B3" s="2">
        <v>5.7</v>
      </c>
      <c r="C3">
        <f t="shared" ref="C3:C66" si="0">$K$4*A3+$K$5</f>
        <v>6.0230629530902604</v>
      </c>
      <c r="D3" s="2">
        <f t="shared" ref="D3:D66" si="1">C3-B3</f>
        <v>0.32306295309026023</v>
      </c>
      <c r="E3" s="2">
        <f t="shared" ref="E3:E66" si="2">D3^2</f>
        <v>0.10436967165939968</v>
      </c>
    </row>
    <row r="4" spans="1:15">
      <c r="A4" s="3">
        <v>65</v>
      </c>
      <c r="B4" s="2">
        <v>6.5</v>
      </c>
      <c r="C4">
        <f t="shared" si="0"/>
        <v>6.9453883126905041</v>
      </c>
      <c r="D4" s="2">
        <f t="shared" si="1"/>
        <v>0.44538831269050405</v>
      </c>
      <c r="E4" s="2">
        <f t="shared" si="2"/>
        <v>0.19837074908129421</v>
      </c>
      <c r="G4" t="s">
        <v>1258</v>
      </c>
      <c r="J4" s="24" t="s">
        <v>1261</v>
      </c>
      <c r="K4">
        <f>SLOPE(B:B,A:A)</f>
        <v>0.2096193999091463</v>
      </c>
    </row>
    <row r="5" spans="1:15">
      <c r="A5" s="3">
        <v>65.599999999999994</v>
      </c>
      <c r="B5" s="2">
        <v>8.4</v>
      </c>
      <c r="C5">
        <f t="shared" si="0"/>
        <v>7.0711599526359912</v>
      </c>
      <c r="D5" s="2">
        <f t="shared" si="1"/>
        <v>-1.3288400473640092</v>
      </c>
      <c r="E5" s="2">
        <f t="shared" si="2"/>
        <v>1.7658158714783823</v>
      </c>
      <c r="G5" t="s">
        <v>1259</v>
      </c>
      <c r="J5" s="24" t="s">
        <v>1262</v>
      </c>
      <c r="K5">
        <f>INTERCEPT(B:B,A:A)</f>
        <v>-6.6798726814040048</v>
      </c>
    </row>
    <row r="6" spans="1:15" ht="15" thickBot="1">
      <c r="A6" s="3">
        <v>66.5</v>
      </c>
      <c r="B6" s="2">
        <v>8.1</v>
      </c>
      <c r="C6">
        <f t="shared" si="0"/>
        <v>7.2598174125542236</v>
      </c>
      <c r="D6" s="2">
        <f t="shared" si="1"/>
        <v>-0.84018258744577601</v>
      </c>
      <c r="E6" s="2">
        <f t="shared" si="2"/>
        <v>0.70590678024707909</v>
      </c>
      <c r="G6" t="s">
        <v>1260</v>
      </c>
    </row>
    <row r="7" spans="1:15">
      <c r="A7" s="3">
        <v>66.5</v>
      </c>
      <c r="B7" s="2">
        <v>7.3</v>
      </c>
      <c r="C7">
        <f t="shared" si="0"/>
        <v>7.2598174125542236</v>
      </c>
      <c r="D7" s="2">
        <f t="shared" si="1"/>
        <v>-4.0182587445776186E-2</v>
      </c>
      <c r="E7" s="2">
        <f t="shared" si="2"/>
        <v>1.61464033383745E-3</v>
      </c>
      <c r="H7" s="17"/>
      <c r="I7" s="17"/>
      <c r="J7" s="26" t="s">
        <v>1263</v>
      </c>
      <c r="K7" s="26"/>
      <c r="L7" s="26"/>
    </row>
    <row r="8" spans="1:15">
      <c r="A8" s="3">
        <v>67.7</v>
      </c>
      <c r="B8" s="2">
        <v>8.6</v>
      </c>
      <c r="C8">
        <f t="shared" si="0"/>
        <v>7.5113606924451997</v>
      </c>
      <c r="D8" s="2">
        <f t="shared" si="1"/>
        <v>-1.0886393075548</v>
      </c>
      <c r="E8" s="2">
        <f t="shared" si="2"/>
        <v>1.1851355419533944</v>
      </c>
      <c r="G8" t="s">
        <v>1282</v>
      </c>
      <c r="O8" t="s">
        <v>1288</v>
      </c>
    </row>
    <row r="9" spans="1:15">
      <c r="A9" s="3">
        <v>67.8</v>
      </c>
      <c r="B9" s="2">
        <v>7.2</v>
      </c>
      <c r="C9">
        <f t="shared" si="0"/>
        <v>7.532322632436113</v>
      </c>
      <c r="D9" s="2">
        <f t="shared" si="1"/>
        <v>0.33232263243611282</v>
      </c>
      <c r="E9" s="2">
        <f t="shared" si="2"/>
        <v>0.11043833202926774</v>
      </c>
      <c r="G9" t="s">
        <v>1267</v>
      </c>
      <c r="J9" s="24" t="s">
        <v>1268</v>
      </c>
      <c r="K9">
        <f>CORREL(B:B,C:C)</f>
        <v>0.93262928414202895</v>
      </c>
    </row>
    <row r="10" spans="1:15">
      <c r="A10" s="3">
        <v>67.8</v>
      </c>
      <c r="B10" s="2">
        <v>6.7</v>
      </c>
      <c r="C10">
        <f t="shared" si="0"/>
        <v>7.532322632436113</v>
      </c>
      <c r="D10" s="2">
        <f t="shared" si="1"/>
        <v>0.83232263243611282</v>
      </c>
      <c r="E10" s="2">
        <f t="shared" si="2"/>
        <v>0.6927609644653806</v>
      </c>
      <c r="G10" t="s">
        <v>1269</v>
      </c>
      <c r="J10" s="24" t="s">
        <v>1270</v>
      </c>
      <c r="K10">
        <f>K9^2</f>
        <v>0.86979738163927334</v>
      </c>
    </row>
    <row r="11" spans="1:15">
      <c r="A11" s="3">
        <v>68.099999999999994</v>
      </c>
      <c r="B11" s="2">
        <v>5.9</v>
      </c>
      <c r="C11">
        <f t="shared" si="0"/>
        <v>7.5952084524088566</v>
      </c>
      <c r="D11" s="2">
        <f t="shared" si="1"/>
        <v>1.6952084524088562</v>
      </c>
      <c r="E11" s="2">
        <f t="shared" si="2"/>
        <v>2.8737316971184295</v>
      </c>
    </row>
    <row r="12" spans="1:15">
      <c r="A12" s="3">
        <v>68.3</v>
      </c>
      <c r="B12" s="2">
        <v>8</v>
      </c>
      <c r="C12">
        <f t="shared" si="0"/>
        <v>7.6371323323906868</v>
      </c>
      <c r="D12" s="2">
        <f t="shared" si="1"/>
        <v>-0.36286766760931322</v>
      </c>
      <c r="E12" s="2">
        <f t="shared" si="2"/>
        <v>0.13167294419622302</v>
      </c>
      <c r="G12" t="s">
        <v>1284</v>
      </c>
      <c r="L12" t="s">
        <v>1283</v>
      </c>
    </row>
    <row r="13" spans="1:15">
      <c r="A13" s="3">
        <v>69.5</v>
      </c>
      <c r="B13" s="2">
        <v>8</v>
      </c>
      <c r="C13">
        <f t="shared" si="0"/>
        <v>7.8886756122816628</v>
      </c>
      <c r="D13" s="2">
        <f t="shared" si="1"/>
        <v>-0.11132438771833719</v>
      </c>
      <c r="E13" s="2">
        <f t="shared" si="2"/>
        <v>1.2393119300862664E-2</v>
      </c>
      <c r="G13" t="s">
        <v>1285</v>
      </c>
    </row>
    <row r="14" spans="1:15">
      <c r="A14" s="3">
        <v>70.400000000000006</v>
      </c>
      <c r="B14" s="2">
        <v>8.5</v>
      </c>
      <c r="C14">
        <f t="shared" si="0"/>
        <v>8.0773330721998953</v>
      </c>
      <c r="D14" s="2">
        <f t="shared" si="1"/>
        <v>-0.42266692780010473</v>
      </c>
      <c r="E14" s="2">
        <f t="shared" si="2"/>
        <v>0.17864733185597895</v>
      </c>
    </row>
    <row r="15" spans="1:15">
      <c r="A15" s="3">
        <v>71.3</v>
      </c>
      <c r="B15" s="2">
        <v>8.4</v>
      </c>
      <c r="C15">
        <f t="shared" si="0"/>
        <v>8.265990532118126</v>
      </c>
      <c r="D15" s="2">
        <f t="shared" si="1"/>
        <v>-0.1340094678818744</v>
      </c>
      <c r="E15" s="2">
        <f t="shared" si="2"/>
        <v>1.7958537481983127E-2</v>
      </c>
      <c r="G15" t="s">
        <v>1271</v>
      </c>
    </row>
    <row r="16" spans="1:15">
      <c r="A16" s="3">
        <v>71.8</v>
      </c>
      <c r="B16" s="2">
        <v>8.1</v>
      </c>
      <c r="C16">
        <f t="shared" si="0"/>
        <v>8.370800232072698</v>
      </c>
      <c r="D16" s="2">
        <f t="shared" si="1"/>
        <v>0.27080023207269832</v>
      </c>
      <c r="E16" s="2">
        <f t="shared" si="2"/>
        <v>7.3332765690627272E-2</v>
      </c>
      <c r="G16" t="s">
        <v>1272</v>
      </c>
    </row>
    <row r="17" spans="1:12">
      <c r="A17" s="3">
        <v>72.3</v>
      </c>
      <c r="B17" s="2">
        <v>8.1</v>
      </c>
      <c r="C17">
        <f t="shared" si="0"/>
        <v>8.4756099320272718</v>
      </c>
      <c r="D17" s="2">
        <f t="shared" si="1"/>
        <v>0.37560993202727211</v>
      </c>
      <c r="E17" s="2">
        <f t="shared" si="2"/>
        <v>0.14108282103753197</v>
      </c>
    </row>
    <row r="18" spans="1:12">
      <c r="A18" s="3">
        <v>74.3</v>
      </c>
      <c r="B18" s="2">
        <v>8.1</v>
      </c>
      <c r="C18">
        <f t="shared" si="0"/>
        <v>8.8948487318455651</v>
      </c>
      <c r="D18" s="2">
        <f t="shared" si="1"/>
        <v>0.79484873184556548</v>
      </c>
      <c r="E18" s="2">
        <f t="shared" si="2"/>
        <v>0.63178450651650364</v>
      </c>
      <c r="G18" t="s">
        <v>1273</v>
      </c>
    </row>
    <row r="19" spans="1:12">
      <c r="A19" s="3">
        <v>74.5</v>
      </c>
      <c r="B19" s="2">
        <v>9.9</v>
      </c>
      <c r="C19">
        <f t="shared" si="0"/>
        <v>8.9367726118273936</v>
      </c>
      <c r="D19" s="2">
        <f t="shared" si="1"/>
        <v>-0.96322738817260678</v>
      </c>
      <c r="E19" s="2">
        <f t="shared" si="2"/>
        <v>0.92780700132582172</v>
      </c>
    </row>
    <row r="20" spans="1:12">
      <c r="A20" s="3">
        <v>74.5</v>
      </c>
      <c r="B20" s="2">
        <v>8.9</v>
      </c>
      <c r="C20">
        <f t="shared" si="0"/>
        <v>8.9367726118273936</v>
      </c>
      <c r="D20" s="2">
        <f t="shared" si="1"/>
        <v>3.677261182739322E-2</v>
      </c>
      <c r="E20" s="2">
        <f t="shared" si="2"/>
        <v>1.3522249806081398E-3</v>
      </c>
      <c r="G20" t="s">
        <v>1274</v>
      </c>
      <c r="J20">
        <f>COUNT(A:A)</f>
        <v>1080</v>
      </c>
      <c r="K20">
        <f>COUNT(B:B)</f>
        <v>1080</v>
      </c>
      <c r="L20">
        <f>COUNT(C:C)</f>
        <v>1080</v>
      </c>
    </row>
    <row r="21" spans="1:12">
      <c r="A21" s="3">
        <v>74.7</v>
      </c>
      <c r="B21" s="2">
        <v>8.9</v>
      </c>
      <c r="C21">
        <f t="shared" si="0"/>
        <v>8.9786964918092238</v>
      </c>
      <c r="D21" s="2">
        <f t="shared" si="1"/>
        <v>7.8696491809223446E-2</v>
      </c>
      <c r="E21" s="2">
        <f t="shared" si="2"/>
        <v>6.193137823079173E-3</v>
      </c>
      <c r="G21" t="s">
        <v>1275</v>
      </c>
      <c r="K21">
        <f>K10/((1-K10)/(K20-2))</f>
        <v>7201.4033912082969</v>
      </c>
    </row>
    <row r="22" spans="1:12">
      <c r="A22" s="3">
        <v>75.5</v>
      </c>
      <c r="B22" s="2">
        <v>9.9</v>
      </c>
      <c r="C22">
        <f t="shared" si="0"/>
        <v>9.1463920117365411</v>
      </c>
      <c r="D22" s="2">
        <f t="shared" si="1"/>
        <v>-0.75360798826345921</v>
      </c>
      <c r="E22" s="2">
        <f t="shared" si="2"/>
        <v>0.56792499997449808</v>
      </c>
      <c r="G22" t="s">
        <v>1276</v>
      </c>
      <c r="K22">
        <f>FINV(5%,1,K20-2)</f>
        <v>3.8500994852845598</v>
      </c>
    </row>
    <row r="23" spans="1:12">
      <c r="A23" s="3">
        <v>76.400000000000006</v>
      </c>
      <c r="B23" s="2">
        <v>9.1</v>
      </c>
      <c r="C23">
        <f t="shared" si="0"/>
        <v>9.3350494716547718</v>
      </c>
      <c r="D23" s="2">
        <f t="shared" si="1"/>
        <v>0.23504947165477219</v>
      </c>
      <c r="E23" s="2">
        <f t="shared" si="2"/>
        <v>5.5248254125187558E-2</v>
      </c>
    </row>
    <row r="24" spans="1:12">
      <c r="A24" s="3">
        <v>77.5</v>
      </c>
      <c r="B24" s="2">
        <v>9.6</v>
      </c>
      <c r="C24">
        <f t="shared" si="0"/>
        <v>9.5656308115548345</v>
      </c>
      <c r="D24" s="2">
        <f t="shared" si="1"/>
        <v>-3.4369188445165122E-2</v>
      </c>
      <c r="E24" s="2">
        <f t="shared" si="2"/>
        <v>1.1812411143792717E-3</v>
      </c>
      <c r="G24" t="s">
        <v>1277</v>
      </c>
    </row>
    <row r="25" spans="1:12">
      <c r="A25" s="3">
        <v>77.7</v>
      </c>
      <c r="B25" s="2">
        <v>7.4</v>
      </c>
      <c r="C25">
        <f t="shared" si="0"/>
        <v>9.6075546915366647</v>
      </c>
      <c r="D25" s="2">
        <f t="shared" si="1"/>
        <v>2.2075546915366644</v>
      </c>
      <c r="E25" s="2">
        <f t="shared" si="2"/>
        <v>4.8732977161255375</v>
      </c>
      <c r="G25" t="s">
        <v>1286</v>
      </c>
    </row>
    <row r="26" spans="1:12">
      <c r="A26" s="3">
        <v>79</v>
      </c>
      <c r="B26" s="2">
        <v>9.6</v>
      </c>
      <c r="C26">
        <f t="shared" si="0"/>
        <v>9.8800599114185541</v>
      </c>
      <c r="D26" s="2">
        <f t="shared" si="1"/>
        <v>0.28005991141855446</v>
      </c>
      <c r="E26" s="2">
        <f t="shared" si="2"/>
        <v>7.843355398376857E-2</v>
      </c>
      <c r="G26" t="s">
        <v>1278</v>
      </c>
    </row>
    <row r="27" spans="1:12">
      <c r="A27" s="3">
        <v>80.099999999999994</v>
      </c>
      <c r="B27" s="2">
        <v>8.6999999999999993</v>
      </c>
      <c r="C27">
        <f t="shared" si="0"/>
        <v>10.110641251318613</v>
      </c>
      <c r="D27" s="2">
        <f t="shared" si="1"/>
        <v>1.410641251318614</v>
      </c>
      <c r="E27" s="2">
        <f t="shared" si="2"/>
        <v>1.989908739921745</v>
      </c>
      <c r="G27" t="s">
        <v>1279</v>
      </c>
    </row>
    <row r="28" spans="1:12">
      <c r="A28" s="3">
        <v>83</v>
      </c>
      <c r="B28" s="2">
        <v>9.8000000000000007</v>
      </c>
      <c r="C28">
        <f t="shared" si="0"/>
        <v>10.718537511055137</v>
      </c>
      <c r="D28" s="2">
        <f t="shared" si="1"/>
        <v>0.91853751105513659</v>
      </c>
      <c r="E28" s="2">
        <f t="shared" si="2"/>
        <v>0.84371115921536521</v>
      </c>
    </row>
    <row r="29" spans="1:12">
      <c r="A29" s="3">
        <v>85</v>
      </c>
      <c r="B29" s="2">
        <v>11.1</v>
      </c>
      <c r="C29">
        <f t="shared" si="0"/>
        <v>11.137776310873429</v>
      </c>
      <c r="D29" s="2">
        <f t="shared" si="1"/>
        <v>3.7776310873429253E-2</v>
      </c>
      <c r="E29" s="2">
        <f t="shared" si="2"/>
        <v>1.4270496632059692E-3</v>
      </c>
      <c r="G29" t="s">
        <v>1280</v>
      </c>
      <c r="K29" s="25">
        <f>FDIST(K21,1,K20-2)</f>
        <v>0</v>
      </c>
    </row>
    <row r="30" spans="1:12">
      <c r="A30" s="3">
        <v>85.3</v>
      </c>
      <c r="B30" s="2">
        <v>11.1</v>
      </c>
      <c r="C30">
        <f t="shared" si="0"/>
        <v>11.200662130846174</v>
      </c>
      <c r="D30" s="2">
        <f t="shared" si="1"/>
        <v>0.10066213084617459</v>
      </c>
      <c r="E30" s="2">
        <f t="shared" si="2"/>
        <v>1.0132864586492374E-2</v>
      </c>
      <c r="G30" t="s">
        <v>1281</v>
      </c>
      <c r="I30" t="s">
        <v>1287</v>
      </c>
    </row>
    <row r="31" spans="1:12">
      <c r="A31" s="3">
        <v>89.1</v>
      </c>
      <c r="B31" s="2">
        <v>12.8</v>
      </c>
      <c r="C31">
        <f t="shared" si="0"/>
        <v>11.997215850500931</v>
      </c>
      <c r="D31" s="2">
        <f t="shared" si="1"/>
        <v>-0.80278414949906995</v>
      </c>
      <c r="E31" s="2">
        <f t="shared" si="2"/>
        <v>0.64446239068694511</v>
      </c>
      <c r="G31" t="s">
        <v>1278</v>
      </c>
    </row>
    <row r="32" spans="1:12">
      <c r="A32" s="3">
        <v>89.6</v>
      </c>
      <c r="B32" s="2">
        <v>11.6</v>
      </c>
      <c r="C32">
        <f t="shared" si="0"/>
        <v>12.102025550455503</v>
      </c>
      <c r="D32" s="2">
        <f t="shared" si="1"/>
        <v>0.50202555045550312</v>
      </c>
      <c r="E32" s="2">
        <f t="shared" si="2"/>
        <v>0.25202965331015093</v>
      </c>
      <c r="G32" t="s">
        <v>1279</v>
      </c>
    </row>
    <row r="33" spans="1:5">
      <c r="A33" s="3">
        <v>90.8</v>
      </c>
      <c r="B33" s="2">
        <v>14.1</v>
      </c>
      <c r="C33">
        <f t="shared" si="0"/>
        <v>12.353568830346477</v>
      </c>
      <c r="D33" s="2">
        <f t="shared" si="1"/>
        <v>-1.7464311696535226</v>
      </c>
      <c r="E33" s="2">
        <f t="shared" si="2"/>
        <v>3.050021830337371</v>
      </c>
    </row>
    <row r="34" spans="1:5">
      <c r="A34" s="3">
        <v>92.4</v>
      </c>
      <c r="B34" s="2">
        <v>11.3</v>
      </c>
      <c r="C34">
        <f t="shared" si="0"/>
        <v>12.688959870201115</v>
      </c>
      <c r="D34" s="2">
        <f t="shared" si="1"/>
        <v>1.3889598702011146</v>
      </c>
      <c r="E34" s="2">
        <f t="shared" si="2"/>
        <v>1.9292095210290969</v>
      </c>
    </row>
    <row r="35" spans="1:5">
      <c r="A35" s="3">
        <v>92.4</v>
      </c>
      <c r="B35" s="2">
        <v>12.2</v>
      </c>
      <c r="C35">
        <f t="shared" si="0"/>
        <v>12.688959870201115</v>
      </c>
      <c r="D35" s="2">
        <f t="shared" si="1"/>
        <v>0.48895987020111598</v>
      </c>
      <c r="E35" s="2">
        <f t="shared" si="2"/>
        <v>0.23908175466709219</v>
      </c>
    </row>
    <row r="36" spans="1:5">
      <c r="A36" s="3">
        <v>92.7</v>
      </c>
      <c r="B36" s="2">
        <v>12.3</v>
      </c>
      <c r="C36">
        <f t="shared" si="0"/>
        <v>12.751845690173857</v>
      </c>
      <c r="D36" s="2">
        <f t="shared" si="1"/>
        <v>0.45184569017385634</v>
      </c>
      <c r="E36" s="2">
        <f t="shared" si="2"/>
        <v>0.20416452772868857</v>
      </c>
    </row>
    <row r="37" spans="1:5">
      <c r="A37" s="3">
        <v>93.3</v>
      </c>
      <c r="B37" s="2">
        <v>12.3</v>
      </c>
      <c r="C37">
        <f t="shared" si="0"/>
        <v>12.877617330119344</v>
      </c>
      <c r="D37" s="2">
        <f t="shared" si="1"/>
        <v>0.57761733011934346</v>
      </c>
      <c r="E37" s="2">
        <f t="shared" si="2"/>
        <v>0.33364178005419859</v>
      </c>
    </row>
    <row r="38" spans="1:5">
      <c r="A38" s="3">
        <v>93.4</v>
      </c>
      <c r="B38" s="2">
        <v>13.2</v>
      </c>
      <c r="C38">
        <f t="shared" si="0"/>
        <v>12.898579270110259</v>
      </c>
      <c r="D38" s="2">
        <f t="shared" si="1"/>
        <v>-0.30142072988974</v>
      </c>
      <c r="E38" s="2">
        <f t="shared" si="2"/>
        <v>9.0854456407263598E-2</v>
      </c>
    </row>
    <row r="39" spans="1:5">
      <c r="A39" s="3">
        <v>94.1</v>
      </c>
      <c r="B39" s="2">
        <v>13</v>
      </c>
      <c r="C39">
        <f t="shared" si="0"/>
        <v>13.045312850046662</v>
      </c>
      <c r="D39" s="2">
        <f t="shared" si="1"/>
        <v>4.5312850046661524E-2</v>
      </c>
      <c r="E39" s="2">
        <f t="shared" si="2"/>
        <v>2.0532543793512332E-3</v>
      </c>
    </row>
    <row r="40" spans="1:5">
      <c r="A40" s="3">
        <v>95.1</v>
      </c>
      <c r="B40" s="2">
        <v>11.7</v>
      </c>
      <c r="C40">
        <f t="shared" si="0"/>
        <v>13.254932249955806</v>
      </c>
      <c r="D40" s="2">
        <f t="shared" si="1"/>
        <v>1.5549322499558063</v>
      </c>
      <c r="E40" s="2">
        <f t="shared" si="2"/>
        <v>2.4178143019526259</v>
      </c>
    </row>
    <row r="41" spans="1:5">
      <c r="A41" s="3">
        <v>95.9</v>
      </c>
      <c r="B41" s="2">
        <v>12.2</v>
      </c>
      <c r="C41">
        <f t="shared" si="0"/>
        <v>13.422627769883126</v>
      </c>
      <c r="D41" s="2">
        <f t="shared" si="1"/>
        <v>1.2226277698831272</v>
      </c>
      <c r="E41" s="2">
        <f t="shared" si="2"/>
        <v>1.494818663689389</v>
      </c>
    </row>
    <row r="42" spans="1:5">
      <c r="A42" s="3">
        <v>96</v>
      </c>
      <c r="B42" s="2">
        <v>12.9</v>
      </c>
      <c r="C42">
        <f t="shared" si="0"/>
        <v>13.443589709874042</v>
      </c>
      <c r="D42" s="2">
        <f t="shared" si="1"/>
        <v>0.5435897098740412</v>
      </c>
      <c r="E42" s="2">
        <f t="shared" si="2"/>
        <v>0.29548977268094428</v>
      </c>
    </row>
    <row r="43" spans="1:5">
      <c r="A43" s="3">
        <v>96.4</v>
      </c>
      <c r="B43" s="2">
        <v>13.8</v>
      </c>
      <c r="C43">
        <f t="shared" si="0"/>
        <v>13.527437469837698</v>
      </c>
      <c r="D43" s="2">
        <f t="shared" si="1"/>
        <v>-0.27256253016230225</v>
      </c>
      <c r="E43" s="2">
        <f t="shared" si="2"/>
        <v>7.4290332848475929E-2</v>
      </c>
    </row>
    <row r="44" spans="1:5">
      <c r="A44" s="3">
        <v>101.2</v>
      </c>
      <c r="B44" s="2">
        <v>17.3</v>
      </c>
      <c r="C44">
        <f t="shared" si="0"/>
        <v>14.533610589401603</v>
      </c>
      <c r="D44" s="2">
        <f t="shared" si="1"/>
        <v>-2.7663894105983982</v>
      </c>
      <c r="E44" s="2">
        <f t="shared" si="2"/>
        <v>7.652910371070953</v>
      </c>
    </row>
    <row r="45" spans="1:5">
      <c r="A45" s="3">
        <v>101.4</v>
      </c>
      <c r="B45" s="2">
        <v>15.8</v>
      </c>
      <c r="C45">
        <f t="shared" si="0"/>
        <v>14.575534469383429</v>
      </c>
      <c r="D45" s="2">
        <f t="shared" si="1"/>
        <v>-1.2244655306165715</v>
      </c>
      <c r="E45" s="2">
        <f t="shared" si="2"/>
        <v>1.499315835668122</v>
      </c>
    </row>
    <row r="46" spans="1:5">
      <c r="A46" s="3">
        <v>102</v>
      </c>
      <c r="B46" s="2">
        <v>14.1</v>
      </c>
      <c r="C46">
        <f t="shared" si="0"/>
        <v>14.701306109328916</v>
      </c>
      <c r="D46" s="2">
        <f t="shared" si="1"/>
        <v>0.6013061093289167</v>
      </c>
      <c r="E46" s="2">
        <f t="shared" si="2"/>
        <v>0.36156903711627914</v>
      </c>
    </row>
    <row r="47" spans="1:5">
      <c r="A47" s="3">
        <v>55</v>
      </c>
      <c r="B47" s="2">
        <v>4.4000000000000004</v>
      </c>
      <c r="C47">
        <f t="shared" si="0"/>
        <v>4.8491943135990407</v>
      </c>
      <c r="D47" s="2">
        <f t="shared" si="1"/>
        <v>0.44919431359904038</v>
      </c>
      <c r="E47" s="2">
        <f t="shared" si="2"/>
        <v>0.20177553136971305</v>
      </c>
    </row>
    <row r="48" spans="1:5">
      <c r="A48" s="3">
        <v>95</v>
      </c>
      <c r="B48" s="2">
        <v>14.3</v>
      </c>
      <c r="C48">
        <f t="shared" si="0"/>
        <v>13.233970309964894</v>
      </c>
      <c r="D48" s="2">
        <f t="shared" si="1"/>
        <v>-1.0660296900351067</v>
      </c>
      <c r="E48" s="2">
        <f t="shared" si="2"/>
        <v>1.1364193000363456</v>
      </c>
    </row>
    <row r="49" spans="1:5">
      <c r="A49" s="3">
        <v>60</v>
      </c>
      <c r="B49" s="2">
        <v>5.4</v>
      </c>
      <c r="C49">
        <f t="shared" si="0"/>
        <v>5.8972913131447733</v>
      </c>
      <c r="D49" s="2">
        <f t="shared" si="1"/>
        <v>0.49729131314477293</v>
      </c>
      <c r="E49" s="2">
        <f t="shared" si="2"/>
        <v>0.24729865012925262</v>
      </c>
    </row>
    <row r="50" spans="1:5">
      <c r="A50" s="3">
        <v>70</v>
      </c>
      <c r="B50" s="2">
        <v>8</v>
      </c>
      <c r="C50">
        <f t="shared" si="0"/>
        <v>7.9934853122362366</v>
      </c>
      <c r="D50" s="2">
        <f t="shared" si="1"/>
        <v>-6.5146877637634049E-3</v>
      </c>
      <c r="E50" s="2">
        <f t="shared" si="2"/>
        <v>4.2441156659328633E-5</v>
      </c>
    </row>
    <row r="51" spans="1:5">
      <c r="A51" s="3">
        <v>90</v>
      </c>
      <c r="B51" s="2">
        <v>10.199999999999999</v>
      </c>
      <c r="C51">
        <f t="shared" si="0"/>
        <v>12.185873310419163</v>
      </c>
      <c r="D51" s="2">
        <f t="shared" si="1"/>
        <v>1.9858733104191639</v>
      </c>
      <c r="E51" s="2">
        <f t="shared" si="2"/>
        <v>3.9436928050351692</v>
      </c>
    </row>
    <row r="52" spans="1:5">
      <c r="A52" s="3">
        <v>48.5</v>
      </c>
      <c r="B52" s="2">
        <v>3.5</v>
      </c>
      <c r="C52">
        <f t="shared" si="0"/>
        <v>3.4866682141895904</v>
      </c>
      <c r="D52" s="2">
        <f t="shared" si="1"/>
        <v>-1.3331785810409613E-2</v>
      </c>
      <c r="E52" s="2">
        <f t="shared" si="2"/>
        <v>1.7773651289463909E-4</v>
      </c>
    </row>
    <row r="53" spans="1:5">
      <c r="A53" s="3">
        <v>50</v>
      </c>
      <c r="B53" s="2">
        <v>5.6</v>
      </c>
      <c r="C53">
        <f t="shared" si="0"/>
        <v>3.80109731405331</v>
      </c>
      <c r="D53" s="2">
        <f t="shared" si="1"/>
        <v>-1.7989026859466897</v>
      </c>
      <c r="E53" s="2">
        <f t="shared" si="2"/>
        <v>3.2360508735062146</v>
      </c>
    </row>
    <row r="54" spans="1:5">
      <c r="A54" s="3">
        <v>51.2</v>
      </c>
      <c r="B54" s="2">
        <v>4.2</v>
      </c>
      <c r="C54">
        <f t="shared" si="0"/>
        <v>4.052640593944286</v>
      </c>
      <c r="D54" s="2">
        <f t="shared" si="1"/>
        <v>-0.14735940605571418</v>
      </c>
      <c r="E54" s="2">
        <f t="shared" si="2"/>
        <v>2.1714794553092852E-2</v>
      </c>
    </row>
    <row r="55" spans="1:5">
      <c r="A55" s="3">
        <v>51.2</v>
      </c>
      <c r="B55" s="2">
        <v>3.4</v>
      </c>
      <c r="C55">
        <f t="shared" si="0"/>
        <v>4.052640593944286</v>
      </c>
      <c r="D55" s="2">
        <f t="shared" si="1"/>
        <v>0.65264059394428608</v>
      </c>
      <c r="E55" s="2">
        <f t="shared" si="2"/>
        <v>0.42593974486395053</v>
      </c>
    </row>
    <row r="56" spans="1:5">
      <c r="A56" s="3">
        <v>51.5</v>
      </c>
      <c r="B56" s="2">
        <v>4.5999999999999996</v>
      </c>
      <c r="C56">
        <f t="shared" si="0"/>
        <v>4.1155264139170296</v>
      </c>
      <c r="D56" s="2">
        <f t="shared" si="1"/>
        <v>-0.48447358608297009</v>
      </c>
      <c r="E56" s="2">
        <f t="shared" si="2"/>
        <v>0.23471465561209304</v>
      </c>
    </row>
    <row r="57" spans="1:5">
      <c r="A57" s="3">
        <v>51.7</v>
      </c>
      <c r="B57" s="2">
        <v>4.5</v>
      </c>
      <c r="C57">
        <f t="shared" si="0"/>
        <v>4.1574502938988598</v>
      </c>
      <c r="D57" s="2">
        <f t="shared" si="1"/>
        <v>-0.34254970610114022</v>
      </c>
      <c r="E57" s="2">
        <f t="shared" si="2"/>
        <v>0.11734030114997754</v>
      </c>
    </row>
    <row r="58" spans="1:5">
      <c r="A58" s="3">
        <v>51.7</v>
      </c>
      <c r="B58" s="2">
        <v>4.9000000000000004</v>
      </c>
      <c r="C58">
        <f t="shared" si="0"/>
        <v>4.1574502938988598</v>
      </c>
      <c r="D58" s="2">
        <f t="shared" si="1"/>
        <v>-0.74254970610114057</v>
      </c>
      <c r="E58" s="2">
        <f t="shared" si="2"/>
        <v>0.55138006603089029</v>
      </c>
    </row>
    <row r="59" spans="1:5">
      <c r="A59" s="3">
        <v>52</v>
      </c>
      <c r="B59" s="2">
        <v>3.8</v>
      </c>
      <c r="C59">
        <f t="shared" si="0"/>
        <v>4.2203361138716033</v>
      </c>
      <c r="D59" s="2">
        <f t="shared" si="1"/>
        <v>0.42033611387160352</v>
      </c>
      <c r="E59" s="2">
        <f t="shared" si="2"/>
        <v>0.17668244862468163</v>
      </c>
    </row>
    <row r="60" spans="1:5">
      <c r="A60" s="3">
        <v>52.8</v>
      </c>
      <c r="B60" s="2">
        <v>4</v>
      </c>
      <c r="C60">
        <f t="shared" si="0"/>
        <v>4.3880316337989189</v>
      </c>
      <c r="D60" s="2">
        <f t="shared" si="1"/>
        <v>0.38803163379891892</v>
      </c>
      <c r="E60" s="2">
        <f t="shared" si="2"/>
        <v>0.15056854882865831</v>
      </c>
    </row>
    <row r="61" spans="1:5">
      <c r="A61" s="3">
        <v>52.8</v>
      </c>
      <c r="B61" s="2">
        <v>3.9</v>
      </c>
      <c r="C61">
        <f t="shared" si="0"/>
        <v>4.3880316337989189</v>
      </c>
      <c r="D61" s="2">
        <f t="shared" si="1"/>
        <v>0.48803163379891901</v>
      </c>
      <c r="E61" s="2">
        <f t="shared" si="2"/>
        <v>0.23817487558844219</v>
      </c>
    </row>
    <row r="62" spans="1:5">
      <c r="A62" s="3">
        <v>53.3</v>
      </c>
      <c r="B62" s="2">
        <v>4.3</v>
      </c>
      <c r="C62">
        <f t="shared" si="0"/>
        <v>4.4928413337534927</v>
      </c>
      <c r="D62" s="2">
        <f t="shared" si="1"/>
        <v>0.19284133375349288</v>
      </c>
      <c r="E62" s="2">
        <f t="shared" si="2"/>
        <v>3.7187780003826033E-2</v>
      </c>
    </row>
    <row r="63" spans="1:5">
      <c r="A63" s="3">
        <v>53.6</v>
      </c>
      <c r="B63" s="2">
        <v>4.4000000000000004</v>
      </c>
      <c r="C63">
        <f t="shared" si="0"/>
        <v>4.5557271537262363</v>
      </c>
      <c r="D63" s="2">
        <f t="shared" si="1"/>
        <v>0.15572715372623591</v>
      </c>
      <c r="E63" s="2">
        <f t="shared" si="2"/>
        <v>2.4250946407674712E-2</v>
      </c>
    </row>
    <row r="64" spans="1:5">
      <c r="A64" s="3">
        <v>54</v>
      </c>
      <c r="B64" s="2">
        <v>4.8</v>
      </c>
      <c r="C64">
        <f t="shared" si="0"/>
        <v>4.6395749136898949</v>
      </c>
      <c r="D64" s="2">
        <f t="shared" si="1"/>
        <v>-0.16042508631010488</v>
      </c>
      <c r="E64" s="2">
        <f t="shared" si="2"/>
        <v>2.5736208317604599E-2</v>
      </c>
    </row>
    <row r="65" spans="1:5">
      <c r="A65" s="3">
        <v>54.5</v>
      </c>
      <c r="B65" s="2">
        <v>5.3</v>
      </c>
      <c r="C65">
        <f t="shared" si="0"/>
        <v>4.7443846136444687</v>
      </c>
      <c r="D65" s="2">
        <f t="shared" si="1"/>
        <v>-0.55561538635553109</v>
      </c>
      <c r="E65" s="2">
        <f t="shared" si="2"/>
        <v>0.30870845755500609</v>
      </c>
    </row>
    <row r="66" spans="1:5">
      <c r="A66" s="3">
        <v>55</v>
      </c>
      <c r="B66" s="2">
        <v>3.2</v>
      </c>
      <c r="C66">
        <f t="shared" si="0"/>
        <v>4.8491943135990407</v>
      </c>
      <c r="D66" s="2">
        <f t="shared" si="1"/>
        <v>1.6491943135990406</v>
      </c>
      <c r="E66" s="2">
        <f t="shared" si="2"/>
        <v>2.7198418840074106</v>
      </c>
    </row>
    <row r="67" spans="1:5">
      <c r="A67" s="3">
        <v>55.4</v>
      </c>
      <c r="B67" s="2">
        <v>4.9000000000000004</v>
      </c>
      <c r="C67">
        <f t="shared" ref="C67:C130" si="3">$K$4*A67+$K$5</f>
        <v>4.9330420735626994</v>
      </c>
      <c r="D67" s="2">
        <f t="shared" ref="D67:D130" si="4">C67-B67</f>
        <v>3.3042073562699059E-2</v>
      </c>
      <c r="E67" s="2">
        <f t="shared" ref="E67:E130" si="5">D67^2</f>
        <v>1.0917786253228162E-3</v>
      </c>
    </row>
    <row r="68" spans="1:5">
      <c r="A68" s="3">
        <v>55.5</v>
      </c>
      <c r="B68" s="2">
        <v>11.7</v>
      </c>
      <c r="C68">
        <f t="shared" si="3"/>
        <v>4.9540040135536145</v>
      </c>
      <c r="D68" s="2">
        <f t="shared" si="4"/>
        <v>-6.7459959864463848</v>
      </c>
      <c r="E68" s="2">
        <f t="shared" si="5"/>
        <v>45.508461849150734</v>
      </c>
    </row>
    <row r="69" spans="1:5">
      <c r="A69" s="3">
        <v>55.5</v>
      </c>
      <c r="B69" s="2">
        <v>5.2</v>
      </c>
      <c r="C69">
        <f t="shared" si="3"/>
        <v>4.9540040135536145</v>
      </c>
      <c r="D69" s="2">
        <f t="shared" si="4"/>
        <v>-0.24599598644638565</v>
      </c>
      <c r="E69" s="2">
        <f t="shared" si="5"/>
        <v>6.0514025347730351E-2</v>
      </c>
    </row>
    <row r="70" spans="1:5">
      <c r="A70" s="3">
        <v>55.5</v>
      </c>
      <c r="B70" s="2">
        <v>4.8</v>
      </c>
      <c r="C70">
        <f t="shared" si="3"/>
        <v>4.9540040135536145</v>
      </c>
      <c r="D70" s="2">
        <f t="shared" si="4"/>
        <v>0.1540040135536147</v>
      </c>
      <c r="E70" s="2">
        <f t="shared" si="5"/>
        <v>2.3717236190621941E-2</v>
      </c>
    </row>
    <row r="71" spans="1:5">
      <c r="A71" s="3">
        <v>55.6</v>
      </c>
      <c r="B71" s="2">
        <v>5.0999999999999996</v>
      </c>
      <c r="C71">
        <f t="shared" si="3"/>
        <v>4.9749659535445296</v>
      </c>
      <c r="D71" s="2">
        <f t="shared" si="4"/>
        <v>-0.12503404645547</v>
      </c>
      <c r="E71" s="2">
        <f t="shared" si="5"/>
        <v>1.5633512773028633E-2</v>
      </c>
    </row>
    <row r="72" spans="1:5">
      <c r="A72" s="3">
        <v>55.6</v>
      </c>
      <c r="B72" s="2">
        <v>5.0999999999999996</v>
      </c>
      <c r="C72">
        <f t="shared" si="3"/>
        <v>4.9749659535445296</v>
      </c>
      <c r="D72" s="2">
        <f t="shared" si="4"/>
        <v>-0.12503404645547</v>
      </c>
      <c r="E72" s="2">
        <f t="shared" si="5"/>
        <v>1.5633512773028633E-2</v>
      </c>
    </row>
    <row r="73" spans="1:5">
      <c r="A73" s="3">
        <v>55.8</v>
      </c>
      <c r="B73" s="2">
        <v>4.2</v>
      </c>
      <c r="C73">
        <f t="shared" si="3"/>
        <v>5.0168898335263581</v>
      </c>
      <c r="D73" s="2">
        <f t="shared" si="4"/>
        <v>0.81688983352635791</v>
      </c>
      <c r="E73" s="2">
        <f t="shared" si="5"/>
        <v>0.66730900011872074</v>
      </c>
    </row>
    <row r="74" spans="1:5">
      <c r="A74" s="3">
        <v>55.9</v>
      </c>
      <c r="B74" s="2">
        <v>4.7</v>
      </c>
      <c r="C74">
        <f t="shared" si="3"/>
        <v>5.0378517735172732</v>
      </c>
      <c r="D74" s="2">
        <f t="shared" si="4"/>
        <v>0.33785177351727302</v>
      </c>
      <c r="E74" s="2">
        <f t="shared" si="5"/>
        <v>0.11414382086876675</v>
      </c>
    </row>
    <row r="75" spans="1:5">
      <c r="A75" s="3">
        <v>56.2</v>
      </c>
      <c r="B75" s="2">
        <v>4.8</v>
      </c>
      <c r="C75">
        <f t="shared" si="3"/>
        <v>5.1007375934900185</v>
      </c>
      <c r="D75" s="2">
        <f t="shared" si="4"/>
        <v>0.30073759349001872</v>
      </c>
      <c r="E75" s="2">
        <f t="shared" si="5"/>
        <v>9.0443100138167754E-2</v>
      </c>
    </row>
    <row r="76" spans="1:5">
      <c r="A76" s="3">
        <v>56.4</v>
      </c>
      <c r="B76" s="2">
        <v>4.5999999999999996</v>
      </c>
      <c r="C76">
        <f t="shared" si="3"/>
        <v>5.1426614734718452</v>
      </c>
      <c r="D76" s="2">
        <f t="shared" si="4"/>
        <v>0.54266147347184557</v>
      </c>
      <c r="E76" s="2">
        <f t="shared" si="5"/>
        <v>0.29448147479063458</v>
      </c>
    </row>
    <row r="77" spans="1:5">
      <c r="A77" s="3">
        <v>56.6</v>
      </c>
      <c r="B77" s="2">
        <v>3.6</v>
      </c>
      <c r="C77">
        <f t="shared" si="3"/>
        <v>5.1845853534536754</v>
      </c>
      <c r="D77" s="2">
        <f t="shared" si="4"/>
        <v>1.5845853534536753</v>
      </c>
      <c r="E77" s="2">
        <f t="shared" si="5"/>
        <v>2.5109107423799091</v>
      </c>
    </row>
    <row r="78" spans="1:5">
      <c r="A78" s="3">
        <v>57</v>
      </c>
      <c r="B78" s="2">
        <v>5.0999999999999996</v>
      </c>
      <c r="C78">
        <f t="shared" si="3"/>
        <v>5.2684331134173341</v>
      </c>
      <c r="D78" s="2">
        <f t="shared" si="4"/>
        <v>0.16843311341733447</v>
      </c>
      <c r="E78" s="2">
        <f t="shared" si="5"/>
        <v>2.8369713695456655E-2</v>
      </c>
    </row>
    <row r="79" spans="1:5">
      <c r="A79" s="3">
        <v>57</v>
      </c>
      <c r="B79" s="2">
        <v>7.2</v>
      </c>
      <c r="C79">
        <f t="shared" si="3"/>
        <v>5.2684331134173341</v>
      </c>
      <c r="D79" s="2">
        <f t="shared" si="4"/>
        <v>-1.9315668865826661</v>
      </c>
      <c r="E79" s="2">
        <f t="shared" si="5"/>
        <v>3.7309506373426538</v>
      </c>
    </row>
    <row r="80" spans="1:5">
      <c r="A80" s="3">
        <v>57.3</v>
      </c>
      <c r="B80" s="2">
        <v>4.3</v>
      </c>
      <c r="C80">
        <f t="shared" si="3"/>
        <v>5.3313189333900777</v>
      </c>
      <c r="D80" s="2">
        <f t="shared" si="4"/>
        <v>1.0313189333900779</v>
      </c>
      <c r="E80" s="2">
        <f t="shared" si="5"/>
        <v>1.0636187423688479</v>
      </c>
    </row>
    <row r="81" spans="1:5">
      <c r="A81" s="3">
        <v>57.8</v>
      </c>
      <c r="B81" s="2">
        <v>6.7</v>
      </c>
      <c r="C81">
        <f t="shared" si="3"/>
        <v>5.4361286333446515</v>
      </c>
      <c r="D81" s="2">
        <f t="shared" si="4"/>
        <v>-1.2638713666553487</v>
      </c>
      <c r="E81" s="2">
        <f t="shared" si="5"/>
        <v>1.5973708314512589</v>
      </c>
    </row>
    <row r="82" spans="1:5">
      <c r="A82" s="3">
        <v>57.8</v>
      </c>
      <c r="B82" s="2">
        <v>5.9</v>
      </c>
      <c r="C82">
        <f t="shared" si="3"/>
        <v>5.4361286333446515</v>
      </c>
      <c r="D82" s="2">
        <f t="shared" si="4"/>
        <v>-0.46387136665534889</v>
      </c>
      <c r="E82" s="2">
        <f t="shared" si="5"/>
        <v>0.21517664480270113</v>
      </c>
    </row>
    <row r="83" spans="1:5">
      <c r="A83" s="3">
        <v>57.9</v>
      </c>
      <c r="B83" s="2">
        <v>4.9000000000000004</v>
      </c>
      <c r="C83">
        <f t="shared" si="3"/>
        <v>5.4570905733355648</v>
      </c>
      <c r="D83" s="2">
        <f t="shared" si="4"/>
        <v>0.55709057333556444</v>
      </c>
      <c r="E83" s="2">
        <f t="shared" si="5"/>
        <v>0.31034990689934788</v>
      </c>
    </row>
    <row r="84" spans="1:5">
      <c r="A84" s="3">
        <v>58</v>
      </c>
      <c r="B84" s="2">
        <v>8.6</v>
      </c>
      <c r="C84">
        <f t="shared" si="3"/>
        <v>5.4780525133264799</v>
      </c>
      <c r="D84" s="2">
        <f t="shared" si="4"/>
        <v>-3.1219474866735197</v>
      </c>
      <c r="E84" s="2">
        <f t="shared" si="5"/>
        <v>9.7465561095471074</v>
      </c>
    </row>
    <row r="85" spans="1:5">
      <c r="A85" s="3">
        <v>58.1</v>
      </c>
      <c r="B85" s="2">
        <v>6.9</v>
      </c>
      <c r="C85">
        <f t="shared" si="3"/>
        <v>5.499014453317395</v>
      </c>
      <c r="D85" s="2">
        <f t="shared" si="4"/>
        <v>-1.4009855466826053</v>
      </c>
      <c r="E85" s="2">
        <f t="shared" si="5"/>
        <v>1.9627605020135586</v>
      </c>
    </row>
    <row r="86" spans="1:5">
      <c r="A86" s="3">
        <v>58.2</v>
      </c>
      <c r="B86" s="2">
        <v>5</v>
      </c>
      <c r="C86">
        <f t="shared" si="3"/>
        <v>5.5199763933083101</v>
      </c>
      <c r="D86" s="2">
        <f t="shared" si="4"/>
        <v>0.51997639330831014</v>
      </c>
      <c r="E86" s="2">
        <f t="shared" si="5"/>
        <v>0.27037544959791843</v>
      </c>
    </row>
    <row r="87" spans="1:5">
      <c r="A87" s="3">
        <v>58.3</v>
      </c>
      <c r="B87" s="2">
        <v>5.5</v>
      </c>
      <c r="C87">
        <f t="shared" si="3"/>
        <v>5.5409383332992235</v>
      </c>
      <c r="D87" s="2">
        <f t="shared" si="4"/>
        <v>4.0938333299223473E-2</v>
      </c>
      <c r="E87" s="2">
        <f t="shared" si="5"/>
        <v>1.6759471333183094E-3</v>
      </c>
    </row>
    <row r="88" spans="1:5">
      <c r="A88" s="3">
        <v>58.3</v>
      </c>
      <c r="B88" s="2">
        <v>5.4</v>
      </c>
      <c r="C88">
        <f t="shared" si="3"/>
        <v>5.5409383332992235</v>
      </c>
      <c r="D88" s="2">
        <f t="shared" si="4"/>
        <v>0.14093833329922312</v>
      </c>
      <c r="E88" s="2">
        <f t="shared" si="5"/>
        <v>1.9863613793162902E-2</v>
      </c>
    </row>
    <row r="89" spans="1:5">
      <c r="A89" s="3">
        <v>58.4</v>
      </c>
      <c r="B89" s="2">
        <v>4.8</v>
      </c>
      <c r="C89">
        <f t="shared" si="3"/>
        <v>5.5619002732901386</v>
      </c>
      <c r="D89" s="2">
        <f t="shared" si="4"/>
        <v>0.76190027329013876</v>
      </c>
      <c r="E89" s="2">
        <f t="shared" si="5"/>
        <v>0.58049202643958808</v>
      </c>
    </row>
    <row r="90" spans="1:5">
      <c r="A90" s="3">
        <v>58.5</v>
      </c>
      <c r="B90" s="2">
        <v>5.5</v>
      </c>
      <c r="C90">
        <f t="shared" si="3"/>
        <v>5.5828622132810537</v>
      </c>
      <c r="D90" s="2">
        <f t="shared" si="4"/>
        <v>8.2862213281053698E-2</v>
      </c>
      <c r="E90" s="2">
        <f t="shared" si="5"/>
        <v>6.866146389834832E-3</v>
      </c>
    </row>
    <row r="91" spans="1:5">
      <c r="A91" s="3">
        <v>58.5</v>
      </c>
      <c r="B91" s="2">
        <v>5.5</v>
      </c>
      <c r="C91">
        <f t="shared" si="3"/>
        <v>5.5828622132810537</v>
      </c>
      <c r="D91" s="2">
        <f t="shared" si="4"/>
        <v>8.2862213281053698E-2</v>
      </c>
      <c r="E91" s="2">
        <f t="shared" si="5"/>
        <v>6.866146389834832E-3</v>
      </c>
    </row>
    <row r="92" spans="1:5">
      <c r="A92" s="3">
        <v>58.6</v>
      </c>
      <c r="B92" s="2">
        <v>10.4</v>
      </c>
      <c r="C92">
        <f t="shared" si="3"/>
        <v>5.6038241532719688</v>
      </c>
      <c r="D92" s="2">
        <f t="shared" si="4"/>
        <v>-4.7961758467280315</v>
      </c>
      <c r="E92" s="2">
        <f t="shared" si="5"/>
        <v>23.003302752737351</v>
      </c>
    </row>
    <row r="93" spans="1:5">
      <c r="A93" s="3">
        <v>58.7</v>
      </c>
      <c r="B93" s="2">
        <v>5.4</v>
      </c>
      <c r="C93">
        <f t="shared" si="3"/>
        <v>5.6247860932628839</v>
      </c>
      <c r="D93" s="2">
        <f t="shared" si="4"/>
        <v>0.22478609326288357</v>
      </c>
      <c r="E93" s="2">
        <f t="shared" si="5"/>
        <v>5.052878772438979E-2</v>
      </c>
    </row>
    <row r="94" spans="1:5">
      <c r="A94" s="3">
        <v>58.8</v>
      </c>
      <c r="B94" s="2">
        <v>5</v>
      </c>
      <c r="C94">
        <f t="shared" si="3"/>
        <v>5.6457480332537973</v>
      </c>
      <c r="D94" s="2">
        <f t="shared" si="4"/>
        <v>0.64574803325379726</v>
      </c>
      <c r="E94" s="2">
        <f t="shared" si="5"/>
        <v>0.41699052245114726</v>
      </c>
    </row>
    <row r="95" spans="1:5">
      <c r="A95" s="3">
        <v>59</v>
      </c>
      <c r="B95" s="2">
        <v>6.7</v>
      </c>
      <c r="C95">
        <f t="shared" si="3"/>
        <v>5.6876719132356275</v>
      </c>
      <c r="D95" s="2">
        <f t="shared" si="4"/>
        <v>-1.0123280867643727</v>
      </c>
      <c r="E95" s="2">
        <f t="shared" si="5"/>
        <v>1.0248081552520152</v>
      </c>
    </row>
    <row r="96" spans="1:5">
      <c r="A96" s="3">
        <v>59</v>
      </c>
      <c r="B96" s="2">
        <v>7.1</v>
      </c>
      <c r="C96">
        <f t="shared" si="3"/>
        <v>5.6876719132356275</v>
      </c>
      <c r="D96" s="2">
        <f t="shared" si="4"/>
        <v>-1.4123280867643722</v>
      </c>
      <c r="E96" s="2">
        <f t="shared" si="5"/>
        <v>1.994670624663512</v>
      </c>
    </row>
    <row r="97" spans="1:5">
      <c r="A97" s="3">
        <v>59.1</v>
      </c>
      <c r="B97" s="2">
        <v>6.3</v>
      </c>
      <c r="C97">
        <f t="shared" si="3"/>
        <v>5.7086338532265408</v>
      </c>
      <c r="D97" s="2">
        <f t="shared" si="4"/>
        <v>-0.591366146773459</v>
      </c>
      <c r="E97" s="2">
        <f t="shared" si="5"/>
        <v>0.34971391954968828</v>
      </c>
    </row>
    <row r="98" spans="1:5">
      <c r="A98" s="3">
        <v>59.2</v>
      </c>
      <c r="B98" s="2">
        <v>5.8</v>
      </c>
      <c r="C98">
        <f t="shared" si="3"/>
        <v>5.7295957932174559</v>
      </c>
      <c r="D98" s="2">
        <f t="shared" si="4"/>
        <v>-7.0404206782543888E-2</v>
      </c>
      <c r="E98" s="2">
        <f t="shared" si="5"/>
        <v>4.9567523326791985E-3</v>
      </c>
    </row>
    <row r="99" spans="1:5">
      <c r="A99" s="3">
        <v>59.3</v>
      </c>
      <c r="B99" s="2">
        <v>6.1</v>
      </c>
      <c r="C99">
        <f t="shared" si="3"/>
        <v>5.7505577332083693</v>
      </c>
      <c r="D99" s="2">
        <f t="shared" si="4"/>
        <v>-0.34944226679163037</v>
      </c>
      <c r="E99" s="2">
        <f t="shared" si="5"/>
        <v>0.12210989782047298</v>
      </c>
    </row>
    <row r="100" spans="1:5">
      <c r="A100" s="3">
        <v>59.4</v>
      </c>
      <c r="B100" s="2">
        <v>6.4</v>
      </c>
      <c r="C100">
        <f t="shared" si="3"/>
        <v>5.7715196731992844</v>
      </c>
      <c r="D100" s="2">
        <f t="shared" si="4"/>
        <v>-0.62848032680071597</v>
      </c>
      <c r="E100" s="2">
        <f t="shared" si="5"/>
        <v>0.39498752117553476</v>
      </c>
    </row>
    <row r="101" spans="1:5">
      <c r="A101" s="3">
        <v>59.4</v>
      </c>
      <c r="B101" s="2">
        <v>5.7</v>
      </c>
      <c r="C101">
        <f t="shared" si="3"/>
        <v>5.7715196731992844</v>
      </c>
      <c r="D101" s="2">
        <f t="shared" si="4"/>
        <v>7.1519673199284206E-2</v>
      </c>
      <c r="E101" s="2">
        <f t="shared" si="5"/>
        <v>5.1150636545324113E-3</v>
      </c>
    </row>
    <row r="102" spans="1:5">
      <c r="A102" s="3">
        <v>59.5</v>
      </c>
      <c r="B102" s="2">
        <v>5.8</v>
      </c>
      <c r="C102">
        <f t="shared" si="3"/>
        <v>5.7924816131901995</v>
      </c>
      <c r="D102" s="2">
        <f t="shared" si="4"/>
        <v>-7.5183868098003259E-3</v>
      </c>
      <c r="E102" s="2">
        <f t="shared" si="5"/>
        <v>5.6526140221779521E-5</v>
      </c>
    </row>
    <row r="103" spans="1:5">
      <c r="A103" s="3">
        <v>59.5</v>
      </c>
      <c r="B103" s="2">
        <v>5.7</v>
      </c>
      <c r="C103">
        <f t="shared" si="3"/>
        <v>5.7924816131901995</v>
      </c>
      <c r="D103" s="2">
        <f t="shared" si="4"/>
        <v>9.2481613190199319E-2</v>
      </c>
      <c r="E103" s="2">
        <f t="shared" si="5"/>
        <v>8.5528487782616479E-3</v>
      </c>
    </row>
    <row r="104" spans="1:5">
      <c r="A104" s="3">
        <v>59.5</v>
      </c>
      <c r="B104" s="2">
        <v>5.0999999999999996</v>
      </c>
      <c r="C104">
        <f t="shared" si="3"/>
        <v>5.7924816131901995</v>
      </c>
      <c r="D104" s="2">
        <f t="shared" si="4"/>
        <v>0.69248161319019985</v>
      </c>
      <c r="E104" s="2">
        <f t="shared" si="5"/>
        <v>0.47953078460650156</v>
      </c>
    </row>
    <row r="105" spans="1:5">
      <c r="A105" s="3">
        <v>59.8</v>
      </c>
      <c r="B105" s="2">
        <v>5.5</v>
      </c>
      <c r="C105">
        <f t="shared" si="3"/>
        <v>5.8553674331629431</v>
      </c>
      <c r="D105" s="2">
        <f t="shared" si="4"/>
        <v>0.35536743316294306</v>
      </c>
      <c r="E105" s="2">
        <f t="shared" si="5"/>
        <v>0.12628601255281879</v>
      </c>
    </row>
    <row r="106" spans="1:5">
      <c r="A106" s="3">
        <v>59.8</v>
      </c>
      <c r="B106" s="2">
        <v>6.1</v>
      </c>
      <c r="C106">
        <f t="shared" si="3"/>
        <v>5.8553674331629431</v>
      </c>
      <c r="D106" s="2">
        <f t="shared" si="4"/>
        <v>-0.24463256683705659</v>
      </c>
      <c r="E106" s="2">
        <f t="shared" si="5"/>
        <v>5.9845092757286958E-2</v>
      </c>
    </row>
    <row r="107" spans="1:5">
      <c r="A107" s="3">
        <v>59.9</v>
      </c>
      <c r="B107" s="2">
        <v>5</v>
      </c>
      <c r="C107">
        <f t="shared" si="3"/>
        <v>5.8763293731538582</v>
      </c>
      <c r="D107" s="2">
        <f t="shared" si="4"/>
        <v>0.87632937315385817</v>
      </c>
      <c r="E107" s="2">
        <f t="shared" si="5"/>
        <v>0.76795317025223397</v>
      </c>
    </row>
    <row r="108" spans="1:5">
      <c r="A108" s="3">
        <v>60</v>
      </c>
      <c r="B108" s="2">
        <v>5.8</v>
      </c>
      <c r="C108">
        <f t="shared" si="3"/>
        <v>5.8972913131447733</v>
      </c>
      <c r="D108" s="2">
        <f t="shared" si="4"/>
        <v>9.7291313144773461E-2</v>
      </c>
      <c r="E108" s="2">
        <f t="shared" si="5"/>
        <v>9.4655996134343692E-3</v>
      </c>
    </row>
    <row r="109" spans="1:5">
      <c r="A109" s="3">
        <v>60</v>
      </c>
      <c r="B109" s="2">
        <v>8</v>
      </c>
      <c r="C109">
        <f t="shared" si="3"/>
        <v>5.8972913131447733</v>
      </c>
      <c r="D109" s="2">
        <f t="shared" si="4"/>
        <v>-2.1027086868552267</v>
      </c>
      <c r="E109" s="2">
        <f t="shared" si="5"/>
        <v>4.4213838217764323</v>
      </c>
    </row>
    <row r="110" spans="1:5">
      <c r="A110" s="3">
        <v>60.1</v>
      </c>
      <c r="B110" s="2">
        <v>5.6</v>
      </c>
      <c r="C110">
        <f t="shared" si="3"/>
        <v>5.9182532531356884</v>
      </c>
      <c r="D110" s="2">
        <f t="shared" si="4"/>
        <v>0.31825325313568875</v>
      </c>
      <c r="E110" s="2">
        <f t="shared" si="5"/>
        <v>0.10128513313144878</v>
      </c>
    </row>
    <row r="111" spans="1:5">
      <c r="A111" s="3">
        <v>60.1</v>
      </c>
      <c r="B111" s="2">
        <v>5.0999999999999996</v>
      </c>
      <c r="C111">
        <f t="shared" si="3"/>
        <v>5.9182532531356884</v>
      </c>
      <c r="D111" s="2">
        <f t="shared" si="4"/>
        <v>0.81825325313568875</v>
      </c>
      <c r="E111" s="2">
        <f t="shared" si="5"/>
        <v>0.66953838626713758</v>
      </c>
    </row>
    <row r="112" spans="1:5">
      <c r="A112" s="3">
        <v>60.2</v>
      </c>
      <c r="B112" s="2">
        <v>4.5</v>
      </c>
      <c r="C112">
        <f t="shared" si="3"/>
        <v>5.9392151931266035</v>
      </c>
      <c r="D112" s="2">
        <f t="shared" si="4"/>
        <v>1.4392151931266035</v>
      </c>
      <c r="E112" s="2">
        <f t="shared" si="5"/>
        <v>2.0713403721264467</v>
      </c>
    </row>
    <row r="113" spans="1:5">
      <c r="A113" s="3">
        <v>60.3</v>
      </c>
      <c r="B113" s="2">
        <v>6.5</v>
      </c>
      <c r="C113">
        <f t="shared" si="3"/>
        <v>5.9601771331175168</v>
      </c>
      <c r="D113" s="2">
        <f t="shared" si="4"/>
        <v>-0.53982286688248315</v>
      </c>
      <c r="E113" s="2">
        <f t="shared" si="5"/>
        <v>0.29140872760922315</v>
      </c>
    </row>
    <row r="114" spans="1:5">
      <c r="A114" s="3">
        <v>60.4</v>
      </c>
      <c r="B114" s="2">
        <v>6.1</v>
      </c>
      <c r="C114">
        <f t="shared" si="3"/>
        <v>5.981139073108432</v>
      </c>
      <c r="D114" s="2">
        <f t="shared" si="4"/>
        <v>-0.11886092689156769</v>
      </c>
      <c r="E114" s="2">
        <f t="shared" si="5"/>
        <v>1.4127919941522599E-2</v>
      </c>
    </row>
    <row r="115" spans="1:5">
      <c r="A115" s="3">
        <v>60.4</v>
      </c>
      <c r="B115" s="2">
        <v>5.9</v>
      </c>
      <c r="C115">
        <f t="shared" si="3"/>
        <v>5.981139073108432</v>
      </c>
      <c r="D115" s="2">
        <f t="shared" si="4"/>
        <v>8.1139073108431603E-2</v>
      </c>
      <c r="E115" s="2">
        <f t="shared" si="5"/>
        <v>6.5835491848954082E-3</v>
      </c>
    </row>
    <row r="116" spans="1:5">
      <c r="A116" s="3">
        <v>60.5</v>
      </c>
      <c r="B116" s="2">
        <v>7.7</v>
      </c>
      <c r="C116">
        <f t="shared" si="3"/>
        <v>6.0021010130993471</v>
      </c>
      <c r="D116" s="2">
        <f t="shared" si="4"/>
        <v>-1.6978989869006531</v>
      </c>
      <c r="E116" s="2">
        <f t="shared" si="5"/>
        <v>2.8828609697182643</v>
      </c>
    </row>
    <row r="117" spans="1:5">
      <c r="A117" s="3">
        <v>60.8</v>
      </c>
      <c r="B117" s="2">
        <v>6.2</v>
      </c>
      <c r="C117">
        <f t="shared" si="3"/>
        <v>6.0649868330720889</v>
      </c>
      <c r="D117" s="2">
        <f t="shared" si="4"/>
        <v>-0.13501316692791132</v>
      </c>
      <c r="E117" s="2">
        <f t="shared" si="5"/>
        <v>1.8228555243904047E-2</v>
      </c>
    </row>
    <row r="118" spans="1:5">
      <c r="A118" s="3">
        <v>61</v>
      </c>
      <c r="B118" s="2">
        <v>5.9</v>
      </c>
      <c r="C118">
        <f t="shared" si="3"/>
        <v>6.1069107130539191</v>
      </c>
      <c r="D118" s="2">
        <f t="shared" si="4"/>
        <v>0.20691071305391873</v>
      </c>
      <c r="E118" s="2">
        <f t="shared" si="5"/>
        <v>4.2812043176481095E-2</v>
      </c>
    </row>
    <row r="119" spans="1:5">
      <c r="A119" s="3">
        <v>61</v>
      </c>
      <c r="B119" s="2">
        <v>6.6</v>
      </c>
      <c r="C119">
        <f t="shared" si="3"/>
        <v>6.1069107130539191</v>
      </c>
      <c r="D119" s="2">
        <f t="shared" si="4"/>
        <v>-0.49308928694608056</v>
      </c>
      <c r="E119" s="2">
        <f t="shared" si="5"/>
        <v>0.24313704490099416</v>
      </c>
    </row>
    <row r="120" spans="1:5">
      <c r="A120" s="3">
        <v>61.1</v>
      </c>
      <c r="B120" s="2">
        <v>6.7</v>
      </c>
      <c r="C120">
        <f t="shared" si="3"/>
        <v>6.1278726530448342</v>
      </c>
      <c r="D120" s="2">
        <f t="shared" si="4"/>
        <v>-0.57212734695516598</v>
      </c>
      <c r="E120" s="2">
        <f t="shared" si="5"/>
        <v>0.32732970113395687</v>
      </c>
    </row>
    <row r="121" spans="1:5">
      <c r="A121" s="3">
        <v>61.2</v>
      </c>
      <c r="B121" s="2">
        <v>6.5</v>
      </c>
      <c r="C121">
        <f t="shared" si="3"/>
        <v>6.1488345930357493</v>
      </c>
      <c r="D121" s="2">
        <f t="shared" si="4"/>
        <v>-0.35116540696425069</v>
      </c>
      <c r="E121" s="2">
        <f t="shared" si="5"/>
        <v>0.12331714304836781</v>
      </c>
    </row>
    <row r="122" spans="1:5">
      <c r="A122" s="3">
        <v>61.2</v>
      </c>
      <c r="B122" s="2">
        <v>5.2</v>
      </c>
      <c r="C122">
        <f t="shared" si="3"/>
        <v>6.1488345930357493</v>
      </c>
      <c r="D122" s="2">
        <f t="shared" si="4"/>
        <v>0.94883459303574913</v>
      </c>
      <c r="E122" s="2">
        <f t="shared" si="5"/>
        <v>0.90028708494131571</v>
      </c>
    </row>
    <row r="123" spans="1:5">
      <c r="A123" s="3">
        <v>61.3</v>
      </c>
      <c r="B123" s="2">
        <v>6.8</v>
      </c>
      <c r="C123">
        <f t="shared" si="3"/>
        <v>6.1697965330266626</v>
      </c>
      <c r="D123" s="2">
        <f t="shared" si="4"/>
        <v>-0.63020346697333718</v>
      </c>
      <c r="E123" s="2">
        <f t="shared" si="5"/>
        <v>0.3971564097852141</v>
      </c>
    </row>
    <row r="124" spans="1:5">
      <c r="A124" s="3">
        <v>61.3</v>
      </c>
      <c r="B124" s="2">
        <v>5.5</v>
      </c>
      <c r="C124">
        <f t="shared" si="3"/>
        <v>6.1697965330266626</v>
      </c>
      <c r="D124" s="2">
        <f t="shared" si="4"/>
        <v>0.66979653302666264</v>
      </c>
      <c r="E124" s="2">
        <f t="shared" si="5"/>
        <v>0.44862739565453719</v>
      </c>
    </row>
    <row r="125" spans="1:5">
      <c r="A125" s="3">
        <v>61.4</v>
      </c>
      <c r="B125" s="2">
        <v>6.6</v>
      </c>
      <c r="C125">
        <f t="shared" si="3"/>
        <v>6.1907584730175778</v>
      </c>
      <c r="D125" s="2">
        <f t="shared" si="4"/>
        <v>-0.40924152698242189</v>
      </c>
      <c r="E125" s="2">
        <f t="shared" si="5"/>
        <v>0.16747862740690433</v>
      </c>
    </row>
    <row r="126" spans="1:5">
      <c r="A126" s="3">
        <v>61.5</v>
      </c>
      <c r="B126" s="2">
        <v>5.7</v>
      </c>
      <c r="C126">
        <f t="shared" si="3"/>
        <v>6.2117204130084929</v>
      </c>
      <c r="D126" s="2">
        <f t="shared" si="4"/>
        <v>0.51172041300849269</v>
      </c>
      <c r="E126" s="2">
        <f t="shared" si="5"/>
        <v>0.26185778108958235</v>
      </c>
    </row>
    <row r="127" spans="1:5">
      <c r="A127" s="3">
        <v>61.5</v>
      </c>
      <c r="B127" s="2">
        <v>5.5</v>
      </c>
      <c r="C127">
        <f t="shared" si="3"/>
        <v>6.2117204130084929</v>
      </c>
      <c r="D127" s="2">
        <f t="shared" si="4"/>
        <v>0.71172041300849287</v>
      </c>
      <c r="E127" s="2">
        <f t="shared" si="5"/>
        <v>0.50654594629297967</v>
      </c>
    </row>
    <row r="128" spans="1:5">
      <c r="A128" s="3">
        <v>61.5</v>
      </c>
      <c r="B128" s="2">
        <v>6.2</v>
      </c>
      <c r="C128">
        <f t="shared" si="3"/>
        <v>6.2117204130084929</v>
      </c>
      <c r="D128" s="2">
        <f t="shared" si="4"/>
        <v>1.1720413008492692E-2</v>
      </c>
      <c r="E128" s="2">
        <f t="shared" si="5"/>
        <v>1.373680810896447E-4</v>
      </c>
    </row>
    <row r="129" spans="1:5">
      <c r="A129" s="3">
        <v>61.7</v>
      </c>
      <c r="B129" s="2">
        <v>7</v>
      </c>
      <c r="C129">
        <f t="shared" si="3"/>
        <v>6.2536442929903231</v>
      </c>
      <c r="D129" s="2">
        <f t="shared" si="4"/>
        <v>-0.74635570700967691</v>
      </c>
      <c r="E129" s="2">
        <f t="shared" si="5"/>
        <v>0.55704684138591465</v>
      </c>
    </row>
    <row r="130" spans="1:5">
      <c r="A130" s="3">
        <v>61.8</v>
      </c>
      <c r="B130" s="2">
        <v>6.6</v>
      </c>
      <c r="C130">
        <f t="shared" si="3"/>
        <v>6.2746062329812364</v>
      </c>
      <c r="D130" s="2">
        <f t="shared" si="4"/>
        <v>-0.32539376701876321</v>
      </c>
      <c r="E130" s="2">
        <f t="shared" si="5"/>
        <v>0.10588110361466116</v>
      </c>
    </row>
    <row r="131" spans="1:5">
      <c r="A131" s="3">
        <v>61.9</v>
      </c>
      <c r="B131" s="2">
        <v>6.4</v>
      </c>
      <c r="C131">
        <f t="shared" ref="C131:C194" si="6">$K$4*A131+$K$5</f>
        <v>6.2955681729721515</v>
      </c>
      <c r="D131" s="2">
        <f t="shared" ref="D131:D194" si="7">C131-B131</f>
        <v>-0.10443182702784881</v>
      </c>
      <c r="E131" s="2">
        <f t="shared" ref="E131:E194" si="8">D131^2</f>
        <v>1.0906006496374533E-2</v>
      </c>
    </row>
    <row r="132" spans="1:5">
      <c r="A132" s="3">
        <v>61.9</v>
      </c>
      <c r="B132" s="2">
        <v>5.9</v>
      </c>
      <c r="C132">
        <f t="shared" si="6"/>
        <v>6.2955681729721515</v>
      </c>
      <c r="D132" s="2">
        <f t="shared" si="7"/>
        <v>0.39556817297215119</v>
      </c>
      <c r="E132" s="2">
        <f t="shared" si="8"/>
        <v>0.15647417946852571</v>
      </c>
    </row>
    <row r="133" spans="1:5">
      <c r="A133" s="3">
        <v>61.9</v>
      </c>
      <c r="B133" s="2">
        <v>7.6</v>
      </c>
      <c r="C133">
        <f t="shared" si="6"/>
        <v>6.2955681729721515</v>
      </c>
      <c r="D133" s="2">
        <f t="shared" si="7"/>
        <v>-1.3044318270278481</v>
      </c>
      <c r="E133" s="2">
        <f t="shared" si="8"/>
        <v>1.7015423913632097</v>
      </c>
    </row>
    <row r="134" spans="1:5">
      <c r="A134" s="3">
        <v>62</v>
      </c>
      <c r="B134" s="2">
        <v>7.4</v>
      </c>
      <c r="C134">
        <f t="shared" si="6"/>
        <v>6.3165301129630649</v>
      </c>
      <c r="D134" s="2">
        <f t="shared" si="7"/>
        <v>-1.0834698870369355</v>
      </c>
      <c r="E134" s="2">
        <f t="shared" si="8"/>
        <v>1.1739069961158297</v>
      </c>
    </row>
    <row r="135" spans="1:5">
      <c r="A135" s="3">
        <v>62</v>
      </c>
      <c r="B135" s="2">
        <v>6.8</v>
      </c>
      <c r="C135">
        <f t="shared" si="6"/>
        <v>6.3165301129630649</v>
      </c>
      <c r="D135" s="2">
        <f t="shared" si="7"/>
        <v>-0.48346988703693494</v>
      </c>
      <c r="E135" s="2">
        <f t="shared" si="8"/>
        <v>0.23374313167150662</v>
      </c>
    </row>
    <row r="136" spans="1:5">
      <c r="A136" s="3">
        <v>62.1</v>
      </c>
      <c r="B136" s="2">
        <v>5.3</v>
      </c>
      <c r="C136">
        <f t="shared" si="6"/>
        <v>6.33749205295398</v>
      </c>
      <c r="D136" s="2">
        <f t="shared" si="7"/>
        <v>1.0374920529539802</v>
      </c>
      <c r="E136" s="2">
        <f t="shared" si="8"/>
        <v>1.0763897599426644</v>
      </c>
    </row>
    <row r="137" spans="1:5">
      <c r="A137" s="3">
        <v>62.2</v>
      </c>
      <c r="B137" s="2">
        <v>6.7</v>
      </c>
      <c r="C137">
        <f t="shared" si="6"/>
        <v>6.3584539929448951</v>
      </c>
      <c r="D137" s="2">
        <f t="shared" si="7"/>
        <v>-0.34154600705510507</v>
      </c>
      <c r="E137" s="2">
        <f t="shared" si="8"/>
        <v>0.11665367493528589</v>
      </c>
    </row>
    <row r="138" spans="1:5">
      <c r="A138" s="3">
        <v>62.7</v>
      </c>
      <c r="B138" s="2">
        <v>6.2</v>
      </c>
      <c r="C138">
        <f t="shared" si="6"/>
        <v>6.4632636928994689</v>
      </c>
      <c r="D138" s="2">
        <f t="shared" si="7"/>
        <v>0.26326369289946872</v>
      </c>
      <c r="E138" s="2">
        <f t="shared" si="8"/>
        <v>6.9307771999065779E-2</v>
      </c>
    </row>
    <row r="139" spans="1:5">
      <c r="A139" s="3">
        <v>62.8</v>
      </c>
      <c r="B139" s="2">
        <v>7.7</v>
      </c>
      <c r="C139">
        <f t="shared" si="6"/>
        <v>6.4842256328903822</v>
      </c>
      <c r="D139" s="2">
        <f t="shared" si="7"/>
        <v>-1.2157743671096179</v>
      </c>
      <c r="E139" s="2">
        <f t="shared" si="8"/>
        <v>1.4781073117207921</v>
      </c>
    </row>
    <row r="140" spans="1:5">
      <c r="A140" s="3">
        <v>63</v>
      </c>
      <c r="B140" s="2">
        <v>6.8</v>
      </c>
      <c r="C140">
        <f t="shared" si="6"/>
        <v>6.5261495128722125</v>
      </c>
      <c r="D140" s="2">
        <f t="shared" si="7"/>
        <v>-0.27385048712778737</v>
      </c>
      <c r="E140" s="2">
        <f t="shared" si="8"/>
        <v>7.4994089300126437E-2</v>
      </c>
    </row>
    <row r="141" spans="1:5">
      <c r="A141" s="3">
        <v>63</v>
      </c>
      <c r="B141" s="2">
        <v>5.8</v>
      </c>
      <c r="C141">
        <f t="shared" si="6"/>
        <v>6.5261495128722125</v>
      </c>
      <c r="D141" s="2">
        <f t="shared" si="7"/>
        <v>0.72614951287221263</v>
      </c>
      <c r="E141" s="2">
        <f t="shared" si="8"/>
        <v>0.52729311504455167</v>
      </c>
    </row>
    <row r="142" spans="1:5">
      <c r="A142" s="3">
        <v>63</v>
      </c>
      <c r="B142" s="2">
        <v>7.5</v>
      </c>
      <c r="C142">
        <f t="shared" si="6"/>
        <v>6.5261495128722125</v>
      </c>
      <c r="D142" s="2">
        <f t="shared" si="7"/>
        <v>-0.97385048712778755</v>
      </c>
      <c r="E142" s="2">
        <f t="shared" si="8"/>
        <v>0.94838477127902909</v>
      </c>
    </row>
    <row r="143" spans="1:5">
      <c r="A143" s="3">
        <v>63</v>
      </c>
      <c r="B143" s="2">
        <v>5.8</v>
      </c>
      <c r="C143">
        <f t="shared" si="6"/>
        <v>6.5261495128722125</v>
      </c>
      <c r="D143" s="2">
        <f t="shared" si="7"/>
        <v>0.72614951287221263</v>
      </c>
      <c r="E143" s="2">
        <f t="shared" si="8"/>
        <v>0.52729311504455167</v>
      </c>
    </row>
    <row r="144" spans="1:5">
      <c r="A144" s="3">
        <v>63.2</v>
      </c>
      <c r="B144" s="2">
        <v>6.4</v>
      </c>
      <c r="C144">
        <f t="shared" si="6"/>
        <v>6.5680733928540427</v>
      </c>
      <c r="D144" s="2">
        <f t="shared" si="7"/>
        <v>0.16807339285404232</v>
      </c>
      <c r="E144" s="2">
        <f t="shared" si="8"/>
        <v>2.8248665385469246E-2</v>
      </c>
    </row>
    <row r="145" spans="1:5">
      <c r="A145" s="3">
        <v>63.2</v>
      </c>
      <c r="B145" s="2">
        <v>7.5</v>
      </c>
      <c r="C145">
        <f t="shared" si="6"/>
        <v>6.5680733928540427</v>
      </c>
      <c r="D145" s="2">
        <f t="shared" si="7"/>
        <v>-0.93192660714595732</v>
      </c>
      <c r="E145" s="2">
        <f t="shared" si="8"/>
        <v>0.86848720110657551</v>
      </c>
    </row>
    <row r="146" spans="1:5">
      <c r="A146" s="3">
        <v>63.5</v>
      </c>
      <c r="B146" s="2">
        <v>5.8</v>
      </c>
      <c r="C146">
        <f t="shared" si="6"/>
        <v>6.6309592128267845</v>
      </c>
      <c r="D146" s="2">
        <f t="shared" si="7"/>
        <v>0.83095921282678464</v>
      </c>
      <c r="E146" s="2">
        <f t="shared" si="8"/>
        <v>0.69049321338170955</v>
      </c>
    </row>
    <row r="147" spans="1:5">
      <c r="A147" s="3">
        <v>63.5</v>
      </c>
      <c r="B147" s="2">
        <v>5.6</v>
      </c>
      <c r="C147">
        <f t="shared" si="6"/>
        <v>6.6309592128267845</v>
      </c>
      <c r="D147" s="2">
        <f t="shared" si="7"/>
        <v>1.0309592128267848</v>
      </c>
      <c r="E147" s="2">
        <f t="shared" si="8"/>
        <v>1.0628768985124237</v>
      </c>
    </row>
    <row r="148" spans="1:5">
      <c r="A148" s="3">
        <v>63.5</v>
      </c>
      <c r="B148" s="2">
        <v>6.6</v>
      </c>
      <c r="C148">
        <f t="shared" si="6"/>
        <v>6.6309592128267845</v>
      </c>
      <c r="D148" s="2">
        <f t="shared" si="7"/>
        <v>3.0959212826784821E-2</v>
      </c>
      <c r="E148" s="2">
        <f t="shared" si="8"/>
        <v>9.5847285885415775E-4</v>
      </c>
    </row>
    <row r="149" spans="1:5">
      <c r="A149" s="3">
        <v>63.6</v>
      </c>
      <c r="B149" s="2">
        <v>6.7</v>
      </c>
      <c r="C149">
        <f t="shared" si="6"/>
        <v>6.6519211528176996</v>
      </c>
      <c r="D149" s="2">
        <f t="shared" si="7"/>
        <v>-4.8078847182300599E-2</v>
      </c>
      <c r="E149" s="2">
        <f t="shared" si="8"/>
        <v>2.3115755463790143E-3</v>
      </c>
    </row>
    <row r="150" spans="1:5">
      <c r="A150" s="3">
        <v>63.9</v>
      </c>
      <c r="B150" s="2">
        <v>5.7</v>
      </c>
      <c r="C150">
        <f t="shared" si="6"/>
        <v>6.7148069727904431</v>
      </c>
      <c r="D150" s="2">
        <f t="shared" si="7"/>
        <v>1.014806972790443</v>
      </c>
      <c r="E150" s="2">
        <f t="shared" si="8"/>
        <v>1.0298331920241028</v>
      </c>
    </row>
    <row r="151" spans="1:5">
      <c r="A151" s="3">
        <v>64.2</v>
      </c>
      <c r="B151" s="2">
        <v>8.1</v>
      </c>
      <c r="C151">
        <f t="shared" si="6"/>
        <v>6.7776927927631885</v>
      </c>
      <c r="D151" s="2">
        <f t="shared" si="7"/>
        <v>-1.3223072072368112</v>
      </c>
      <c r="E151" s="2">
        <f t="shared" si="8"/>
        <v>1.7484963503104152</v>
      </c>
    </row>
    <row r="152" spans="1:5">
      <c r="A152" s="3">
        <v>64.3</v>
      </c>
      <c r="B152" s="2">
        <v>5.9</v>
      </c>
      <c r="C152">
        <f t="shared" si="6"/>
        <v>6.7986547327541018</v>
      </c>
      <c r="D152" s="2">
        <f t="shared" si="7"/>
        <v>0.89865473275410146</v>
      </c>
      <c r="E152" s="2">
        <f t="shared" si="8"/>
        <v>0.80758032870134555</v>
      </c>
    </row>
    <row r="153" spans="1:5">
      <c r="A153" s="3">
        <v>64.5</v>
      </c>
      <c r="B153" s="2">
        <v>7.1</v>
      </c>
      <c r="C153">
        <f t="shared" si="6"/>
        <v>6.840578612735932</v>
      </c>
      <c r="D153" s="2">
        <f t="shared" si="7"/>
        <v>-0.2594213872640676</v>
      </c>
      <c r="E153" s="2">
        <f t="shared" si="8"/>
        <v>6.7299456170013344E-2</v>
      </c>
    </row>
    <row r="154" spans="1:5">
      <c r="A154" s="3">
        <v>64.5</v>
      </c>
      <c r="B154" s="2">
        <v>7.7</v>
      </c>
      <c r="C154">
        <f t="shared" si="6"/>
        <v>6.840578612735932</v>
      </c>
      <c r="D154" s="2">
        <f t="shared" si="7"/>
        <v>-0.85942138726406814</v>
      </c>
      <c r="E154" s="2">
        <f t="shared" si="8"/>
        <v>0.73860512088689534</v>
      </c>
    </row>
    <row r="155" spans="1:5">
      <c r="A155" s="3">
        <v>64.5</v>
      </c>
      <c r="B155" s="2">
        <v>7.6</v>
      </c>
      <c r="C155">
        <f t="shared" si="6"/>
        <v>6.840578612735932</v>
      </c>
      <c r="D155" s="2">
        <f t="shared" si="7"/>
        <v>-0.7594213872640676</v>
      </c>
      <c r="E155" s="2">
        <f t="shared" si="8"/>
        <v>0.57672084343408092</v>
      </c>
    </row>
    <row r="156" spans="1:5">
      <c r="A156" s="3">
        <v>64.599999999999994</v>
      </c>
      <c r="B156" s="2">
        <v>6.5</v>
      </c>
      <c r="C156">
        <f t="shared" si="6"/>
        <v>6.8615405527268454</v>
      </c>
      <c r="D156" s="2">
        <f t="shared" si="7"/>
        <v>0.36154055272684538</v>
      </c>
      <c r="E156" s="2">
        <f t="shared" si="8"/>
        <v>0.13071157126603286</v>
      </c>
    </row>
    <row r="157" spans="1:5">
      <c r="A157" s="3">
        <v>64.599999999999994</v>
      </c>
      <c r="B157" s="2">
        <v>8.1</v>
      </c>
      <c r="C157">
        <f t="shared" si="6"/>
        <v>6.8615405527268454</v>
      </c>
      <c r="D157" s="2">
        <f t="shared" si="7"/>
        <v>-1.2384594472731543</v>
      </c>
      <c r="E157" s="2">
        <f t="shared" si="8"/>
        <v>1.5337818025401269</v>
      </c>
    </row>
    <row r="158" spans="1:5">
      <c r="A158" s="3">
        <v>64.8</v>
      </c>
      <c r="B158" s="2">
        <v>6.4</v>
      </c>
      <c r="C158">
        <f t="shared" si="6"/>
        <v>6.9034644327086738</v>
      </c>
      <c r="D158" s="2">
        <f t="shared" si="7"/>
        <v>0.50346443270867347</v>
      </c>
      <c r="E158" s="2">
        <f t="shared" si="8"/>
        <v>0.25347643500266642</v>
      </c>
    </row>
    <row r="159" spans="1:5">
      <c r="A159" s="3">
        <v>64.900000000000006</v>
      </c>
      <c r="B159" s="2">
        <v>7.1</v>
      </c>
      <c r="C159">
        <f t="shared" si="6"/>
        <v>6.9244263726995907</v>
      </c>
      <c r="D159" s="2">
        <f t="shared" si="7"/>
        <v>-0.17557362730040893</v>
      </c>
      <c r="E159" s="2">
        <f t="shared" si="8"/>
        <v>3.0826098603422898E-2</v>
      </c>
    </row>
    <row r="160" spans="1:5">
      <c r="A160" s="3">
        <v>64.900000000000006</v>
      </c>
      <c r="B160" s="2">
        <v>7.5</v>
      </c>
      <c r="C160">
        <f t="shared" si="6"/>
        <v>6.9244263726995907</v>
      </c>
      <c r="D160" s="2">
        <f t="shared" si="7"/>
        <v>-0.57557362730040929</v>
      </c>
      <c r="E160" s="2">
        <f t="shared" si="8"/>
        <v>0.33128500044375048</v>
      </c>
    </row>
    <row r="161" spans="1:5">
      <c r="A161" s="3">
        <v>65</v>
      </c>
      <c r="B161" s="2">
        <v>6.8</v>
      </c>
      <c r="C161">
        <f t="shared" si="6"/>
        <v>6.9453883126905041</v>
      </c>
      <c r="D161" s="2">
        <f t="shared" si="7"/>
        <v>0.14538831269050423</v>
      </c>
      <c r="E161" s="2">
        <f t="shared" si="8"/>
        <v>2.1137761466991832E-2</v>
      </c>
    </row>
    <row r="162" spans="1:5">
      <c r="A162" s="3">
        <v>65</v>
      </c>
      <c r="B162" s="2">
        <v>7.5</v>
      </c>
      <c r="C162">
        <f t="shared" si="6"/>
        <v>6.9453883126905041</v>
      </c>
      <c r="D162" s="2">
        <f t="shared" si="7"/>
        <v>-0.55461168730949595</v>
      </c>
      <c r="E162" s="2">
        <f t="shared" si="8"/>
        <v>0.3075941237002861</v>
      </c>
    </row>
    <row r="163" spans="1:5">
      <c r="A163" s="3">
        <v>65.099999999999994</v>
      </c>
      <c r="B163" s="2">
        <v>7.5</v>
      </c>
      <c r="C163">
        <f t="shared" si="6"/>
        <v>6.9663502526814174</v>
      </c>
      <c r="D163" s="2">
        <f t="shared" si="7"/>
        <v>-0.53364974731858261</v>
      </c>
      <c r="E163" s="2">
        <f t="shared" si="8"/>
        <v>0.28478205281318708</v>
      </c>
    </row>
    <row r="164" spans="1:5">
      <c r="A164" s="3">
        <v>65.2</v>
      </c>
      <c r="B164" s="2">
        <v>6.8</v>
      </c>
      <c r="C164">
        <f t="shared" si="6"/>
        <v>6.9873121926723343</v>
      </c>
      <c r="D164" s="2">
        <f t="shared" si="7"/>
        <v>0.18731219267233445</v>
      </c>
      <c r="E164" s="2">
        <f t="shared" si="8"/>
        <v>3.5085857523717748E-2</v>
      </c>
    </row>
    <row r="165" spans="1:5">
      <c r="A165" s="3">
        <v>65.2</v>
      </c>
      <c r="B165" s="2">
        <v>5</v>
      </c>
      <c r="C165">
        <f t="shared" si="6"/>
        <v>6.9873121926723343</v>
      </c>
      <c r="D165" s="2">
        <f t="shared" si="7"/>
        <v>1.9873121926723343</v>
      </c>
      <c r="E165" s="2">
        <f t="shared" si="8"/>
        <v>3.9494097511441213</v>
      </c>
    </row>
    <row r="166" spans="1:5">
      <c r="A166" s="3">
        <v>65.3</v>
      </c>
      <c r="B166" s="2">
        <v>7</v>
      </c>
      <c r="C166">
        <f t="shared" si="6"/>
        <v>7.0082741326632476</v>
      </c>
      <c r="D166" s="2">
        <f t="shared" si="7"/>
        <v>8.2741326632476131E-3</v>
      </c>
      <c r="E166" s="2">
        <f t="shared" si="8"/>
        <v>6.846127132902104E-5</v>
      </c>
    </row>
    <row r="167" spans="1:5">
      <c r="A167" s="3">
        <v>65.3</v>
      </c>
      <c r="B167" s="2">
        <v>7.7</v>
      </c>
      <c r="C167">
        <f t="shared" si="6"/>
        <v>7.0082741326632476</v>
      </c>
      <c r="D167" s="2">
        <f t="shared" si="7"/>
        <v>-0.69172586733675256</v>
      </c>
      <c r="E167" s="2">
        <f t="shared" si="8"/>
        <v>0.47848467554278262</v>
      </c>
    </row>
    <row r="168" spans="1:5">
      <c r="A168" s="3">
        <v>65.5</v>
      </c>
      <c r="B168" s="2">
        <v>7.2</v>
      </c>
      <c r="C168">
        <f t="shared" si="6"/>
        <v>7.0501980126450778</v>
      </c>
      <c r="D168" s="2">
        <f t="shared" si="7"/>
        <v>-0.14980198735492234</v>
      </c>
      <c r="E168" s="2">
        <f t="shared" si="8"/>
        <v>2.2440635415484314E-2</v>
      </c>
    </row>
    <row r="169" spans="1:5">
      <c r="A169" s="3">
        <v>65.599999999999994</v>
      </c>
      <c r="B169" s="2">
        <v>5.6</v>
      </c>
      <c r="C169">
        <f t="shared" si="6"/>
        <v>7.0711599526359912</v>
      </c>
      <c r="D169" s="2">
        <f t="shared" si="7"/>
        <v>1.4711599526359915</v>
      </c>
      <c r="E169" s="2">
        <f t="shared" si="8"/>
        <v>2.164311606239933</v>
      </c>
    </row>
    <row r="170" spans="1:5">
      <c r="A170" s="3">
        <v>65.599999999999994</v>
      </c>
      <c r="B170" s="2">
        <v>7.5</v>
      </c>
      <c r="C170">
        <f t="shared" si="6"/>
        <v>7.0711599526359912</v>
      </c>
      <c r="D170" s="2">
        <f t="shared" si="7"/>
        <v>-0.42884004736400883</v>
      </c>
      <c r="E170" s="2">
        <f t="shared" si="8"/>
        <v>0.18390378622316533</v>
      </c>
    </row>
    <row r="171" spans="1:5">
      <c r="A171" s="3">
        <v>65.7</v>
      </c>
      <c r="B171" s="2">
        <v>7.6</v>
      </c>
      <c r="C171">
        <f t="shared" si="6"/>
        <v>7.0921218926269081</v>
      </c>
      <c r="D171" s="2">
        <f t="shared" si="7"/>
        <v>-0.50787810737309158</v>
      </c>
      <c r="E171" s="2">
        <f t="shared" si="8"/>
        <v>0.25794017194887353</v>
      </c>
    </row>
    <row r="172" spans="1:5">
      <c r="A172" s="3">
        <v>65.7</v>
      </c>
      <c r="B172" s="2">
        <v>6.1</v>
      </c>
      <c r="C172">
        <f t="shared" si="6"/>
        <v>7.0921218926269081</v>
      </c>
      <c r="D172" s="2">
        <f t="shared" si="7"/>
        <v>0.99212189262690842</v>
      </c>
      <c r="E172" s="2">
        <f t="shared" si="8"/>
        <v>0.98430584982959879</v>
      </c>
    </row>
    <row r="173" spans="1:5">
      <c r="A173" s="3">
        <v>65.8</v>
      </c>
      <c r="B173" s="2">
        <v>7</v>
      </c>
      <c r="C173">
        <f t="shared" si="6"/>
        <v>7.1130838326178214</v>
      </c>
      <c r="D173" s="2">
        <f t="shared" si="7"/>
        <v>0.1130838326178214</v>
      </c>
      <c r="E173" s="2">
        <f t="shared" si="8"/>
        <v>1.2787953199535447E-2</v>
      </c>
    </row>
    <row r="174" spans="1:5">
      <c r="A174" s="3">
        <v>65.900000000000006</v>
      </c>
      <c r="B174" s="2">
        <v>6</v>
      </c>
      <c r="C174">
        <f t="shared" si="6"/>
        <v>7.1340457726087383</v>
      </c>
      <c r="D174" s="2">
        <f t="shared" si="7"/>
        <v>1.1340457726087383</v>
      </c>
      <c r="E174" s="2">
        <f t="shared" si="8"/>
        <v>1.2860598143717501</v>
      </c>
    </row>
    <row r="175" spans="1:5">
      <c r="A175" s="3">
        <v>65.900000000000006</v>
      </c>
      <c r="B175" s="2">
        <v>6.3</v>
      </c>
      <c r="C175">
        <f t="shared" si="6"/>
        <v>7.1340457726087383</v>
      </c>
      <c r="D175" s="2">
        <f t="shared" si="7"/>
        <v>0.83404577260873847</v>
      </c>
      <c r="E175" s="2">
        <f t="shared" si="8"/>
        <v>0.69563235080650743</v>
      </c>
    </row>
    <row r="176" spans="1:5">
      <c r="A176" s="3">
        <v>66</v>
      </c>
      <c r="B176" s="2">
        <v>9.1</v>
      </c>
      <c r="C176">
        <f t="shared" si="6"/>
        <v>7.1550077125996516</v>
      </c>
      <c r="D176" s="2">
        <f t="shared" si="7"/>
        <v>-1.944992287400348</v>
      </c>
      <c r="E176" s="2">
        <f t="shared" si="8"/>
        <v>3.782994998046838</v>
      </c>
    </row>
    <row r="177" spans="1:5">
      <c r="A177" s="3">
        <v>66</v>
      </c>
      <c r="B177" s="2">
        <v>8.1999999999999993</v>
      </c>
      <c r="C177">
        <f t="shared" si="6"/>
        <v>7.1550077125996516</v>
      </c>
      <c r="D177" s="2">
        <f t="shared" si="7"/>
        <v>-1.0449922874003477</v>
      </c>
      <c r="E177" s="2">
        <f t="shared" si="8"/>
        <v>1.0920088807262107</v>
      </c>
    </row>
    <row r="178" spans="1:5">
      <c r="A178" s="3">
        <v>66</v>
      </c>
      <c r="B178" s="2">
        <v>8.5</v>
      </c>
      <c r="C178">
        <f t="shared" si="6"/>
        <v>7.1550077125996516</v>
      </c>
      <c r="D178" s="2">
        <f t="shared" si="7"/>
        <v>-1.3449922874003484</v>
      </c>
      <c r="E178" s="2">
        <f t="shared" si="8"/>
        <v>1.8090042531664212</v>
      </c>
    </row>
    <row r="179" spans="1:5">
      <c r="A179" s="3">
        <v>66</v>
      </c>
      <c r="B179" s="2">
        <v>6.7</v>
      </c>
      <c r="C179">
        <f t="shared" si="6"/>
        <v>7.1550077125996516</v>
      </c>
      <c r="D179" s="2">
        <f t="shared" si="7"/>
        <v>0.45500771259965145</v>
      </c>
      <c r="E179" s="2">
        <f t="shared" si="8"/>
        <v>0.20703201852516701</v>
      </c>
    </row>
    <row r="180" spans="1:5">
      <c r="A180" s="3">
        <v>66</v>
      </c>
      <c r="B180" s="2">
        <v>6.6</v>
      </c>
      <c r="C180">
        <f t="shared" si="6"/>
        <v>7.1550077125996516</v>
      </c>
      <c r="D180" s="2">
        <f t="shared" si="7"/>
        <v>0.55500771259965198</v>
      </c>
      <c r="E180" s="2">
        <f t="shared" si="8"/>
        <v>0.30803356104509788</v>
      </c>
    </row>
    <row r="181" spans="1:5">
      <c r="A181" s="3">
        <v>66.099999999999994</v>
      </c>
      <c r="B181" s="2">
        <v>7.7</v>
      </c>
      <c r="C181">
        <f t="shared" si="6"/>
        <v>7.175969652590565</v>
      </c>
      <c r="D181" s="2">
        <f t="shared" si="7"/>
        <v>-0.52403034740943522</v>
      </c>
      <c r="E181" s="2">
        <f t="shared" si="8"/>
        <v>0.27460780500605336</v>
      </c>
    </row>
    <row r="182" spans="1:5">
      <c r="A182" s="3">
        <v>66.2</v>
      </c>
      <c r="B182" s="2">
        <v>6.8</v>
      </c>
      <c r="C182">
        <f t="shared" si="6"/>
        <v>7.1969315925814801</v>
      </c>
      <c r="D182" s="2">
        <f t="shared" si="7"/>
        <v>0.39693159258148025</v>
      </c>
      <c r="E182" s="2">
        <f t="shared" si="8"/>
        <v>0.15755468918927024</v>
      </c>
    </row>
    <row r="183" spans="1:5">
      <c r="A183" s="3">
        <v>66.3</v>
      </c>
      <c r="B183" s="2">
        <v>7.2</v>
      </c>
      <c r="C183">
        <f t="shared" si="6"/>
        <v>7.2178935325723934</v>
      </c>
      <c r="D183" s="2">
        <f t="shared" si="7"/>
        <v>1.7893532572393234E-2</v>
      </c>
      <c r="E183" s="2">
        <f t="shared" si="8"/>
        <v>3.2017850791929761E-4</v>
      </c>
    </row>
    <row r="184" spans="1:5">
      <c r="A184" s="3">
        <v>66.400000000000006</v>
      </c>
      <c r="B184" s="2">
        <v>7.7</v>
      </c>
      <c r="C184">
        <f t="shared" si="6"/>
        <v>7.2388554725633103</v>
      </c>
      <c r="D184" s="2">
        <f t="shared" si="7"/>
        <v>-0.46114452743668988</v>
      </c>
      <c r="E184" s="2">
        <f t="shared" si="8"/>
        <v>0.21265427518480803</v>
      </c>
    </row>
    <row r="185" spans="1:5">
      <c r="A185" s="3">
        <v>66.5</v>
      </c>
      <c r="B185" s="2">
        <v>6.4</v>
      </c>
      <c r="C185">
        <f t="shared" si="6"/>
        <v>7.2598174125542236</v>
      </c>
      <c r="D185" s="2">
        <f t="shared" si="7"/>
        <v>0.85981741255422328</v>
      </c>
      <c r="E185" s="2">
        <f t="shared" si="8"/>
        <v>0.73928598293143943</v>
      </c>
    </row>
    <row r="186" spans="1:5">
      <c r="A186" s="3">
        <v>66.5</v>
      </c>
      <c r="B186" s="2">
        <v>7</v>
      </c>
      <c r="C186">
        <f t="shared" si="6"/>
        <v>7.2598174125542236</v>
      </c>
      <c r="D186" s="2">
        <f t="shared" si="7"/>
        <v>0.25981741255422364</v>
      </c>
      <c r="E186" s="2">
        <f t="shared" si="8"/>
        <v>6.7505087866371646E-2</v>
      </c>
    </row>
    <row r="187" spans="1:5">
      <c r="A187" s="3">
        <v>66.5</v>
      </c>
      <c r="B187" s="2">
        <v>6.9</v>
      </c>
      <c r="C187">
        <f t="shared" si="6"/>
        <v>7.2598174125542236</v>
      </c>
      <c r="D187" s="2">
        <f t="shared" si="7"/>
        <v>0.35981741255422328</v>
      </c>
      <c r="E187" s="2">
        <f t="shared" si="8"/>
        <v>0.12946857037721612</v>
      </c>
    </row>
    <row r="188" spans="1:5">
      <c r="A188" s="3">
        <v>66.5</v>
      </c>
      <c r="B188" s="2">
        <v>6.5</v>
      </c>
      <c r="C188">
        <f t="shared" si="6"/>
        <v>7.2598174125542236</v>
      </c>
      <c r="D188" s="2">
        <f t="shared" si="7"/>
        <v>0.75981741255422364</v>
      </c>
      <c r="E188" s="2">
        <f t="shared" si="8"/>
        <v>0.5773225004205953</v>
      </c>
    </row>
    <row r="189" spans="1:5">
      <c r="A189" s="3">
        <v>66.7</v>
      </c>
      <c r="B189" s="2">
        <v>7.1</v>
      </c>
      <c r="C189">
        <f t="shared" si="6"/>
        <v>7.3017412925360539</v>
      </c>
      <c r="D189" s="2">
        <f t="shared" si="7"/>
        <v>0.20174129253605422</v>
      </c>
      <c r="E189" s="2">
        <f t="shared" si="8"/>
        <v>4.0699549114117807E-2</v>
      </c>
    </row>
    <row r="190" spans="1:5">
      <c r="A190" s="3">
        <v>66.7</v>
      </c>
      <c r="B190" s="2">
        <v>7.5</v>
      </c>
      <c r="C190">
        <f t="shared" si="6"/>
        <v>7.3017412925360539</v>
      </c>
      <c r="D190" s="2">
        <f t="shared" si="7"/>
        <v>-0.19825870746394614</v>
      </c>
      <c r="E190" s="2">
        <f t="shared" si="8"/>
        <v>3.9306515085274572E-2</v>
      </c>
    </row>
    <row r="191" spans="1:5">
      <c r="A191" s="3">
        <v>66.7</v>
      </c>
      <c r="B191" s="2">
        <v>6.5</v>
      </c>
      <c r="C191">
        <f t="shared" si="6"/>
        <v>7.3017412925360539</v>
      </c>
      <c r="D191" s="2">
        <f t="shared" si="7"/>
        <v>0.80174129253605386</v>
      </c>
      <c r="E191" s="2">
        <f t="shared" si="8"/>
        <v>0.64278910015738233</v>
      </c>
    </row>
    <row r="192" spans="1:5">
      <c r="A192" s="3">
        <v>66.8</v>
      </c>
      <c r="B192" s="2">
        <v>6.9</v>
      </c>
      <c r="C192">
        <f t="shared" si="6"/>
        <v>7.3227032325269672</v>
      </c>
      <c r="D192" s="2">
        <f t="shared" si="7"/>
        <v>0.42270323252696684</v>
      </c>
      <c r="E192" s="2">
        <f t="shared" si="8"/>
        <v>0.178678022788747</v>
      </c>
    </row>
    <row r="193" spans="1:5">
      <c r="A193" s="3">
        <v>66.8</v>
      </c>
      <c r="B193" s="2">
        <v>7</v>
      </c>
      <c r="C193">
        <f t="shared" si="6"/>
        <v>7.3227032325269672</v>
      </c>
      <c r="D193" s="2">
        <f t="shared" si="7"/>
        <v>0.3227032325269672</v>
      </c>
      <c r="E193" s="2">
        <f t="shared" si="8"/>
        <v>0.10413737628335386</v>
      </c>
    </row>
    <row r="194" spans="1:5">
      <c r="A194" s="3">
        <v>66.8</v>
      </c>
      <c r="B194" s="2">
        <v>6.3</v>
      </c>
      <c r="C194">
        <f t="shared" si="6"/>
        <v>7.3227032325269672</v>
      </c>
      <c r="D194" s="2">
        <f t="shared" si="7"/>
        <v>1.0227032325269674</v>
      </c>
      <c r="E194" s="2">
        <f t="shared" si="8"/>
        <v>1.0459219018211083</v>
      </c>
    </row>
    <row r="195" spans="1:5">
      <c r="A195" s="3">
        <v>66.8</v>
      </c>
      <c r="B195" s="2">
        <v>7.8</v>
      </c>
      <c r="C195">
        <f t="shared" ref="C195:C258" si="9">$K$4*A195+$K$5</f>
        <v>7.3227032325269672</v>
      </c>
      <c r="D195" s="2">
        <f t="shared" ref="D195:D258" si="10">C195-B195</f>
        <v>-0.47729676747303262</v>
      </c>
      <c r="E195" s="2">
        <f t="shared" ref="E195:E258" si="11">D195^2</f>
        <v>0.22781220424020618</v>
      </c>
    </row>
    <row r="196" spans="1:5">
      <c r="A196" s="3">
        <v>67</v>
      </c>
      <c r="B196" s="2">
        <v>7.5</v>
      </c>
      <c r="C196">
        <f t="shared" si="9"/>
        <v>7.3646271125087974</v>
      </c>
      <c r="D196" s="2">
        <f t="shared" si="10"/>
        <v>-0.13537288749120258</v>
      </c>
      <c r="E196" s="2">
        <f t="shared" si="11"/>
        <v>1.8325818667705791E-2</v>
      </c>
    </row>
    <row r="197" spans="1:5">
      <c r="A197" s="3">
        <v>67</v>
      </c>
      <c r="B197" s="2">
        <v>6.6</v>
      </c>
      <c r="C197">
        <f t="shared" si="9"/>
        <v>7.3646271125087974</v>
      </c>
      <c r="D197" s="2">
        <f t="shared" si="10"/>
        <v>0.76462711250879778</v>
      </c>
      <c r="E197" s="2">
        <f t="shared" si="11"/>
        <v>0.58465462118354172</v>
      </c>
    </row>
    <row r="198" spans="1:5">
      <c r="A198" s="3">
        <v>67</v>
      </c>
      <c r="B198" s="2">
        <v>7.4</v>
      </c>
      <c r="C198">
        <f t="shared" si="9"/>
        <v>7.3646271125087974</v>
      </c>
      <c r="D198" s="2">
        <f t="shared" si="10"/>
        <v>-3.5372887491202931E-2</v>
      </c>
      <c r="E198" s="2">
        <f t="shared" si="11"/>
        <v>1.2512411694653009E-3</v>
      </c>
    </row>
    <row r="199" spans="1:5">
      <c r="A199" s="3">
        <v>67</v>
      </c>
      <c r="B199" s="2">
        <v>8.6</v>
      </c>
      <c r="C199">
        <f t="shared" si="9"/>
        <v>7.3646271125087974</v>
      </c>
      <c r="D199" s="2">
        <f t="shared" si="10"/>
        <v>-1.2353728874912022</v>
      </c>
      <c r="E199" s="2">
        <f t="shared" si="11"/>
        <v>1.5261461711483506</v>
      </c>
    </row>
    <row r="200" spans="1:5">
      <c r="A200" s="3">
        <v>67.099999999999994</v>
      </c>
      <c r="B200" s="2">
        <v>8.1</v>
      </c>
      <c r="C200">
        <f t="shared" si="9"/>
        <v>7.3855890524997108</v>
      </c>
      <c r="D200" s="2">
        <f t="shared" si="10"/>
        <v>-0.71441094750028888</v>
      </c>
      <c r="E200" s="2">
        <f t="shared" si="11"/>
        <v>0.51038300190826047</v>
      </c>
    </row>
    <row r="201" spans="1:5">
      <c r="A201" s="3">
        <v>67.2</v>
      </c>
      <c r="B201" s="2">
        <v>9.1</v>
      </c>
      <c r="C201">
        <f t="shared" si="9"/>
        <v>7.4065509924906276</v>
      </c>
      <c r="D201" s="2">
        <f t="shared" si="10"/>
        <v>-1.693449007509372</v>
      </c>
      <c r="E201" s="2">
        <f t="shared" si="11"/>
        <v>2.8677695410344772</v>
      </c>
    </row>
    <row r="202" spans="1:5">
      <c r="A202" s="3">
        <v>67.2</v>
      </c>
      <c r="B202" s="2">
        <v>7.1</v>
      </c>
      <c r="C202">
        <f t="shared" si="9"/>
        <v>7.4065509924906276</v>
      </c>
      <c r="D202" s="2">
        <f t="shared" si="10"/>
        <v>0.306550992490628</v>
      </c>
      <c r="E202" s="2">
        <f t="shared" si="11"/>
        <v>9.3973510996989071E-2</v>
      </c>
    </row>
    <row r="203" spans="1:5">
      <c r="A203" s="3">
        <v>67.3</v>
      </c>
      <c r="B203" s="2">
        <v>7.1</v>
      </c>
      <c r="C203">
        <f t="shared" si="9"/>
        <v>7.427512932481541</v>
      </c>
      <c r="D203" s="2">
        <f t="shared" si="10"/>
        <v>0.32751293248154134</v>
      </c>
      <c r="E203" s="2">
        <f t="shared" si="11"/>
        <v>0.10726472094265865</v>
      </c>
    </row>
    <row r="204" spans="1:5">
      <c r="A204" s="3">
        <v>67.3</v>
      </c>
      <c r="B204" s="2">
        <v>6.6</v>
      </c>
      <c r="C204">
        <f t="shared" si="9"/>
        <v>7.427512932481541</v>
      </c>
      <c r="D204" s="2">
        <f t="shared" si="10"/>
        <v>0.82751293248154134</v>
      </c>
      <c r="E204" s="2">
        <f t="shared" si="11"/>
        <v>0.68477765342420005</v>
      </c>
    </row>
    <row r="205" spans="1:5">
      <c r="A205" s="3">
        <v>67.3</v>
      </c>
      <c r="B205" s="2">
        <v>7</v>
      </c>
      <c r="C205">
        <f t="shared" si="9"/>
        <v>7.427512932481541</v>
      </c>
      <c r="D205" s="2">
        <f t="shared" si="10"/>
        <v>0.42751293248154099</v>
      </c>
      <c r="E205" s="2">
        <f t="shared" si="11"/>
        <v>0.18276730743896663</v>
      </c>
    </row>
    <row r="206" spans="1:5">
      <c r="A206" s="3">
        <v>67.400000000000006</v>
      </c>
      <c r="B206" s="2">
        <v>7.3</v>
      </c>
      <c r="C206">
        <f t="shared" si="9"/>
        <v>7.4484748724724561</v>
      </c>
      <c r="D206" s="2">
        <f t="shared" si="10"/>
        <v>0.14847487247245628</v>
      </c>
      <c r="E206" s="2">
        <f t="shared" si="11"/>
        <v>2.2044787755712156E-2</v>
      </c>
    </row>
    <row r="207" spans="1:5">
      <c r="A207" s="3">
        <v>67.5</v>
      </c>
      <c r="B207" s="2">
        <v>8</v>
      </c>
      <c r="C207">
        <f t="shared" si="9"/>
        <v>7.4694368124633694</v>
      </c>
      <c r="D207" s="2">
        <f t="shared" si="10"/>
        <v>-0.53056318753663056</v>
      </c>
      <c r="E207" s="2">
        <f t="shared" si="11"/>
        <v>0.28149729596902984</v>
      </c>
    </row>
    <row r="208" spans="1:5">
      <c r="A208" s="3">
        <v>67.5</v>
      </c>
      <c r="B208" s="2">
        <v>6.2</v>
      </c>
      <c r="C208">
        <f t="shared" si="9"/>
        <v>7.4694368124633694</v>
      </c>
      <c r="D208" s="2">
        <f t="shared" si="10"/>
        <v>1.2694368124633693</v>
      </c>
      <c r="E208" s="2">
        <f t="shared" si="11"/>
        <v>1.6114698208371594</v>
      </c>
    </row>
    <row r="209" spans="1:5">
      <c r="A209" s="3">
        <v>67.599999999999994</v>
      </c>
      <c r="B209" s="2">
        <v>6.9</v>
      </c>
      <c r="C209">
        <f t="shared" si="9"/>
        <v>7.4903987524542845</v>
      </c>
      <c r="D209" s="2">
        <f t="shared" si="10"/>
        <v>0.59039875245428419</v>
      </c>
      <c r="E209" s="2">
        <f t="shared" si="11"/>
        <v>0.34857068689957516</v>
      </c>
    </row>
    <row r="210" spans="1:5">
      <c r="A210" s="3">
        <v>67.599999999999994</v>
      </c>
      <c r="B210" s="2">
        <v>7.1</v>
      </c>
      <c r="C210">
        <f t="shared" si="9"/>
        <v>7.4903987524542845</v>
      </c>
      <c r="D210" s="2">
        <f t="shared" si="10"/>
        <v>0.3903987524542849</v>
      </c>
      <c r="E210" s="2">
        <f t="shared" si="11"/>
        <v>0.15241118591786201</v>
      </c>
    </row>
    <row r="211" spans="1:5">
      <c r="A211" s="3">
        <v>67.8</v>
      </c>
      <c r="B211" s="2">
        <v>8</v>
      </c>
      <c r="C211">
        <f t="shared" si="9"/>
        <v>7.532322632436113</v>
      </c>
      <c r="D211" s="2">
        <f t="shared" si="10"/>
        <v>-0.467677367563887</v>
      </c>
      <c r="E211" s="2">
        <f t="shared" si="11"/>
        <v>0.21872212013148706</v>
      </c>
    </row>
    <row r="212" spans="1:5">
      <c r="A212" s="3">
        <v>67.900000000000006</v>
      </c>
      <c r="B212" s="2">
        <v>7.6</v>
      </c>
      <c r="C212">
        <f t="shared" si="9"/>
        <v>7.5532845724270299</v>
      </c>
      <c r="D212" s="2">
        <f t="shared" si="10"/>
        <v>-4.6715427572969759E-2</v>
      </c>
      <c r="E212" s="2">
        <f t="shared" si="11"/>
        <v>2.1823311733253832E-3</v>
      </c>
    </row>
    <row r="213" spans="1:5">
      <c r="A213" s="3">
        <v>68.099999999999994</v>
      </c>
      <c r="B213" s="2">
        <v>7.6</v>
      </c>
      <c r="C213">
        <f t="shared" si="9"/>
        <v>7.5952084524088566</v>
      </c>
      <c r="D213" s="2">
        <f t="shared" si="10"/>
        <v>-4.791547591143086E-3</v>
      </c>
      <c r="E213" s="2">
        <f t="shared" si="11"/>
        <v>2.295892831818911E-5</v>
      </c>
    </row>
    <row r="214" spans="1:5">
      <c r="A214" s="3">
        <v>68.099999999999994</v>
      </c>
      <c r="B214" s="2">
        <v>6.7</v>
      </c>
      <c r="C214">
        <f t="shared" si="9"/>
        <v>7.5952084524088566</v>
      </c>
      <c r="D214" s="2">
        <f t="shared" si="10"/>
        <v>0.89520845240885638</v>
      </c>
      <c r="E214" s="2">
        <f t="shared" si="11"/>
        <v>0.80139817326425966</v>
      </c>
    </row>
    <row r="215" spans="1:5">
      <c r="A215" s="3">
        <v>68.2</v>
      </c>
      <c r="B215" s="2">
        <v>6.9</v>
      </c>
      <c r="C215">
        <f t="shared" si="9"/>
        <v>7.6161703923997734</v>
      </c>
      <c r="D215" s="2">
        <f t="shared" si="10"/>
        <v>0.71617039239977309</v>
      </c>
      <c r="E215" s="2">
        <f t="shared" si="11"/>
        <v>0.51290003095004499</v>
      </c>
    </row>
    <row r="216" spans="1:5">
      <c r="A216" s="3">
        <v>68.2</v>
      </c>
      <c r="B216" s="2">
        <v>8.5</v>
      </c>
      <c r="C216">
        <f t="shared" si="9"/>
        <v>7.6161703923997734</v>
      </c>
      <c r="D216" s="2">
        <f t="shared" si="10"/>
        <v>-0.88382960760022655</v>
      </c>
      <c r="E216" s="2">
        <f t="shared" si="11"/>
        <v>0.78115477527077049</v>
      </c>
    </row>
    <row r="217" spans="1:5">
      <c r="A217" s="3">
        <v>68.400000000000006</v>
      </c>
      <c r="B217" s="2">
        <v>6.7</v>
      </c>
      <c r="C217">
        <f t="shared" si="9"/>
        <v>7.6580942723816037</v>
      </c>
      <c r="D217" s="2">
        <f t="shared" si="10"/>
        <v>0.9580942723816035</v>
      </c>
      <c r="E217" s="2">
        <f t="shared" si="11"/>
        <v>0.9179446347704342</v>
      </c>
    </row>
    <row r="218" spans="1:5">
      <c r="A218" s="3">
        <v>68.400000000000006</v>
      </c>
      <c r="B218" s="2">
        <v>9.3000000000000007</v>
      </c>
      <c r="C218">
        <f t="shared" si="9"/>
        <v>7.6580942723816037</v>
      </c>
      <c r="D218" s="2">
        <f t="shared" si="10"/>
        <v>-1.641905727618397</v>
      </c>
      <c r="E218" s="2">
        <f t="shared" si="11"/>
        <v>2.695854418386098</v>
      </c>
    </row>
    <row r="219" spans="1:5">
      <c r="A219" s="3">
        <v>68.400000000000006</v>
      </c>
      <c r="B219" s="2">
        <v>7.4</v>
      </c>
      <c r="C219">
        <f t="shared" si="9"/>
        <v>7.6580942723816037</v>
      </c>
      <c r="D219" s="2">
        <f t="shared" si="10"/>
        <v>0.25809427238160332</v>
      </c>
      <c r="E219" s="2">
        <f t="shared" si="11"/>
        <v>6.6612653436189245E-2</v>
      </c>
    </row>
    <row r="220" spans="1:5">
      <c r="A220" s="3">
        <v>68.400000000000006</v>
      </c>
      <c r="B220" s="2">
        <v>7.6</v>
      </c>
      <c r="C220">
        <f t="shared" si="9"/>
        <v>7.6580942723816037</v>
      </c>
      <c r="D220" s="2">
        <f t="shared" si="10"/>
        <v>5.8094272381604029E-2</v>
      </c>
      <c r="E220" s="2">
        <f t="shared" si="11"/>
        <v>3.3749444835480006E-3</v>
      </c>
    </row>
    <row r="221" spans="1:5">
      <c r="A221" s="3">
        <v>68.5</v>
      </c>
      <c r="B221" s="2">
        <v>8.5</v>
      </c>
      <c r="C221">
        <f t="shared" si="9"/>
        <v>7.679056212372517</v>
      </c>
      <c r="D221" s="2">
        <f t="shared" si="10"/>
        <v>-0.82094378762748299</v>
      </c>
      <c r="E221" s="2">
        <f t="shared" si="11"/>
        <v>0.67394870244415794</v>
      </c>
    </row>
    <row r="222" spans="1:5">
      <c r="A222" s="3">
        <v>68.5</v>
      </c>
      <c r="B222" s="2">
        <v>7.6</v>
      </c>
      <c r="C222">
        <f t="shared" si="9"/>
        <v>7.679056212372517</v>
      </c>
      <c r="D222" s="2">
        <f t="shared" si="10"/>
        <v>7.9056212372517365E-2</v>
      </c>
      <c r="E222" s="2">
        <f t="shared" si="11"/>
        <v>6.2498847146885677E-3</v>
      </c>
    </row>
    <row r="223" spans="1:5">
      <c r="A223" s="3">
        <v>68.599999999999994</v>
      </c>
      <c r="B223" s="2">
        <v>7.8</v>
      </c>
      <c r="C223">
        <f t="shared" si="9"/>
        <v>7.7000181523634303</v>
      </c>
      <c r="D223" s="2">
        <f t="shared" si="10"/>
        <v>-9.9981847636569476E-2</v>
      </c>
      <c r="E223" s="2">
        <f t="shared" si="11"/>
        <v>9.9963698568221928E-3</v>
      </c>
    </row>
    <row r="224" spans="1:5">
      <c r="A224" s="3">
        <v>68.599999999999994</v>
      </c>
      <c r="B224" s="2">
        <v>6.6</v>
      </c>
      <c r="C224">
        <f t="shared" si="9"/>
        <v>7.7000181523634303</v>
      </c>
      <c r="D224" s="2">
        <f t="shared" si="10"/>
        <v>1.1000181523634307</v>
      </c>
      <c r="E224" s="2">
        <f t="shared" si="11"/>
        <v>1.2100399355290559</v>
      </c>
    </row>
    <row r="225" spans="1:5">
      <c r="A225" s="3">
        <v>68.7</v>
      </c>
      <c r="B225" s="2">
        <v>8</v>
      </c>
      <c r="C225">
        <f t="shared" si="9"/>
        <v>7.7209800923543472</v>
      </c>
      <c r="D225" s="2">
        <f t="shared" si="10"/>
        <v>-0.27901990764565276</v>
      </c>
      <c r="E225" s="2">
        <f t="shared" si="11"/>
        <v>7.7852108862588601E-2</v>
      </c>
    </row>
    <row r="226" spans="1:5">
      <c r="A226" s="3">
        <v>68.7</v>
      </c>
      <c r="B226" s="2">
        <v>6.1</v>
      </c>
      <c r="C226">
        <f t="shared" si="9"/>
        <v>7.7209800923543472</v>
      </c>
      <c r="D226" s="2">
        <f t="shared" si="10"/>
        <v>1.6209800923543476</v>
      </c>
      <c r="E226" s="2">
        <f t="shared" si="11"/>
        <v>2.6275764598091094</v>
      </c>
    </row>
    <row r="227" spans="1:5">
      <c r="A227" s="3">
        <v>68.7</v>
      </c>
      <c r="B227" s="2">
        <v>7.3</v>
      </c>
      <c r="C227">
        <f t="shared" si="9"/>
        <v>7.7209800923543472</v>
      </c>
      <c r="D227" s="2">
        <f t="shared" si="10"/>
        <v>0.42098009235434741</v>
      </c>
      <c r="E227" s="2">
        <f t="shared" si="11"/>
        <v>0.17722423815867488</v>
      </c>
    </row>
    <row r="228" spans="1:5">
      <c r="A228" s="3">
        <v>68.8</v>
      </c>
      <c r="B228" s="2">
        <v>7.6</v>
      </c>
      <c r="C228">
        <f t="shared" si="9"/>
        <v>7.7419420323452606</v>
      </c>
      <c r="D228" s="2">
        <f t="shared" si="10"/>
        <v>0.14194203234526093</v>
      </c>
      <c r="E228" s="2">
        <f t="shared" si="11"/>
        <v>2.0147540546303098E-2</v>
      </c>
    </row>
    <row r="229" spans="1:5">
      <c r="A229" s="3">
        <v>68.900000000000006</v>
      </c>
      <c r="B229" s="2">
        <v>7.1</v>
      </c>
      <c r="C229">
        <f t="shared" si="9"/>
        <v>7.7629039723361757</v>
      </c>
      <c r="D229" s="2">
        <f t="shared" si="10"/>
        <v>0.66290397233617604</v>
      </c>
      <c r="E229" s="2">
        <f t="shared" si="11"/>
        <v>0.43944167653908167</v>
      </c>
    </row>
    <row r="230" spans="1:5">
      <c r="A230" s="3">
        <v>69</v>
      </c>
      <c r="B230" s="2">
        <v>8.1</v>
      </c>
      <c r="C230">
        <f t="shared" si="9"/>
        <v>7.783865912327089</v>
      </c>
      <c r="D230" s="2">
        <f t="shared" si="10"/>
        <v>-0.31613408767291062</v>
      </c>
      <c r="E230" s="2">
        <f t="shared" si="11"/>
        <v>9.9940761388783536E-2</v>
      </c>
    </row>
    <row r="231" spans="1:5">
      <c r="A231" s="3">
        <v>69</v>
      </c>
      <c r="B231" s="2">
        <v>7.4</v>
      </c>
      <c r="C231">
        <f t="shared" si="9"/>
        <v>7.783865912327089</v>
      </c>
      <c r="D231" s="2">
        <f t="shared" si="10"/>
        <v>0.38386591232708867</v>
      </c>
      <c r="E231" s="2">
        <f t="shared" si="11"/>
        <v>0.14735303864670812</v>
      </c>
    </row>
    <row r="232" spans="1:5">
      <c r="A232" s="3">
        <v>69</v>
      </c>
      <c r="B232" s="2">
        <v>8.1999999999999993</v>
      </c>
      <c r="C232">
        <f t="shared" si="9"/>
        <v>7.783865912327089</v>
      </c>
      <c r="D232" s="2">
        <f t="shared" si="10"/>
        <v>-0.41613408767291027</v>
      </c>
      <c r="E232" s="2">
        <f t="shared" si="11"/>
        <v>0.17316757892336537</v>
      </c>
    </row>
    <row r="233" spans="1:5">
      <c r="A233" s="3">
        <v>69.099999999999994</v>
      </c>
      <c r="B233" s="2">
        <v>7.8</v>
      </c>
      <c r="C233">
        <f t="shared" si="9"/>
        <v>7.8048278523180024</v>
      </c>
      <c r="D233" s="2">
        <f t="shared" si="10"/>
        <v>4.8278523180025346E-3</v>
      </c>
      <c r="E233" s="2">
        <f t="shared" si="11"/>
        <v>2.3308158004442447E-5</v>
      </c>
    </row>
    <row r="234" spans="1:5">
      <c r="A234" s="3">
        <v>69.099999999999994</v>
      </c>
      <c r="B234" s="2">
        <v>9.4</v>
      </c>
      <c r="C234">
        <f t="shared" si="9"/>
        <v>7.8048278523180024</v>
      </c>
      <c r="D234" s="2">
        <f t="shared" si="10"/>
        <v>-1.595172147681998</v>
      </c>
      <c r="E234" s="2">
        <f t="shared" si="11"/>
        <v>2.5445741807403981</v>
      </c>
    </row>
    <row r="235" spans="1:5">
      <c r="A235" s="3">
        <v>69.099999999999994</v>
      </c>
      <c r="B235" s="2">
        <v>6.8</v>
      </c>
      <c r="C235">
        <f t="shared" si="9"/>
        <v>7.8048278523180024</v>
      </c>
      <c r="D235" s="2">
        <f t="shared" si="10"/>
        <v>1.0048278523180025</v>
      </c>
      <c r="E235" s="2">
        <f t="shared" si="11"/>
        <v>1.0096790127940094</v>
      </c>
    </row>
    <row r="236" spans="1:5">
      <c r="A236" s="3">
        <v>69.2</v>
      </c>
      <c r="B236" s="2">
        <v>6.6</v>
      </c>
      <c r="C236">
        <f t="shared" si="9"/>
        <v>7.8257897923089192</v>
      </c>
      <c r="D236" s="2">
        <f t="shared" si="10"/>
        <v>1.2257897923089196</v>
      </c>
      <c r="E236" s="2">
        <f t="shared" si="11"/>
        <v>1.5025606149287443</v>
      </c>
    </row>
    <row r="237" spans="1:5">
      <c r="A237" s="3">
        <v>69.2</v>
      </c>
      <c r="B237" s="2">
        <v>7.9</v>
      </c>
      <c r="C237">
        <f t="shared" si="9"/>
        <v>7.8257897923089192</v>
      </c>
      <c r="D237" s="2">
        <f t="shared" si="10"/>
        <v>-7.4210207691081109E-2</v>
      </c>
      <c r="E237" s="2">
        <f t="shared" si="11"/>
        <v>5.5071549255533937E-3</v>
      </c>
    </row>
    <row r="238" spans="1:5">
      <c r="A238" s="3">
        <v>69.2</v>
      </c>
      <c r="B238" s="2">
        <v>7.4</v>
      </c>
      <c r="C238">
        <f t="shared" si="9"/>
        <v>7.8257897923089192</v>
      </c>
      <c r="D238" s="2">
        <f t="shared" si="10"/>
        <v>0.42578979230891889</v>
      </c>
      <c r="E238" s="2">
        <f t="shared" si="11"/>
        <v>0.18129694723447229</v>
      </c>
    </row>
    <row r="239" spans="1:5">
      <c r="A239" s="3">
        <v>69.2</v>
      </c>
      <c r="B239" s="2">
        <v>7</v>
      </c>
      <c r="C239">
        <f t="shared" si="9"/>
        <v>7.8257897923089192</v>
      </c>
      <c r="D239" s="2">
        <f t="shared" si="10"/>
        <v>0.82578979230891925</v>
      </c>
      <c r="E239" s="2">
        <f t="shared" si="11"/>
        <v>0.68192878108160804</v>
      </c>
    </row>
    <row r="240" spans="1:5">
      <c r="A240" s="3">
        <v>69.3</v>
      </c>
      <c r="B240" s="2">
        <v>9.1999999999999993</v>
      </c>
      <c r="C240">
        <f t="shared" si="9"/>
        <v>7.8467517322998326</v>
      </c>
      <c r="D240" s="2">
        <f t="shared" si="10"/>
        <v>-1.3532482677001667</v>
      </c>
      <c r="E240" s="2">
        <f t="shared" si="11"/>
        <v>1.831280874033502</v>
      </c>
    </row>
    <row r="241" spans="1:5">
      <c r="A241" s="3">
        <v>69.3</v>
      </c>
      <c r="B241" s="2">
        <v>7.1</v>
      </c>
      <c r="C241">
        <f t="shared" si="9"/>
        <v>7.8467517322998326</v>
      </c>
      <c r="D241" s="2">
        <f t="shared" si="10"/>
        <v>0.74675173229983294</v>
      </c>
      <c r="E241" s="2">
        <f t="shared" si="11"/>
        <v>0.55763814969280134</v>
      </c>
    </row>
    <row r="242" spans="1:5">
      <c r="A242" s="3">
        <v>69.5</v>
      </c>
      <c r="B242" s="2">
        <v>8.1</v>
      </c>
      <c r="C242">
        <f t="shared" si="9"/>
        <v>7.8886756122816628</v>
      </c>
      <c r="D242" s="2">
        <f t="shared" si="10"/>
        <v>-0.21132438771833684</v>
      </c>
      <c r="E242" s="2">
        <f t="shared" si="11"/>
        <v>4.4657996844529951E-2</v>
      </c>
    </row>
    <row r="243" spans="1:5">
      <c r="A243" s="3">
        <v>69.5</v>
      </c>
      <c r="B243" s="2">
        <v>13.4</v>
      </c>
      <c r="C243">
        <f t="shared" si="9"/>
        <v>7.8886756122816628</v>
      </c>
      <c r="D243" s="2">
        <f t="shared" si="10"/>
        <v>-5.5113243877183375</v>
      </c>
      <c r="E243" s="2">
        <f t="shared" si="11"/>
        <v>30.374696506658907</v>
      </c>
    </row>
    <row r="244" spans="1:5">
      <c r="A244" s="3">
        <v>69.5</v>
      </c>
      <c r="B244" s="2">
        <v>6.9</v>
      </c>
      <c r="C244">
        <f t="shared" si="9"/>
        <v>7.8886756122816628</v>
      </c>
      <c r="D244" s="2">
        <f t="shared" si="10"/>
        <v>0.98867561228166245</v>
      </c>
      <c r="E244" s="2">
        <f t="shared" si="11"/>
        <v>0.97747946632052019</v>
      </c>
    </row>
    <row r="245" spans="1:5">
      <c r="A245" s="3">
        <v>69.5</v>
      </c>
      <c r="B245" s="2">
        <v>6.9</v>
      </c>
      <c r="C245">
        <f t="shared" si="9"/>
        <v>7.8886756122816628</v>
      </c>
      <c r="D245" s="2">
        <f t="shared" si="10"/>
        <v>0.98867561228166245</v>
      </c>
      <c r="E245" s="2">
        <f t="shared" si="11"/>
        <v>0.97747946632052019</v>
      </c>
    </row>
    <row r="246" spans="1:5">
      <c r="A246" s="3">
        <v>69.5</v>
      </c>
      <c r="B246" s="2">
        <v>7.2</v>
      </c>
      <c r="C246">
        <f t="shared" si="9"/>
        <v>7.8886756122816628</v>
      </c>
      <c r="D246" s="2">
        <f t="shared" si="10"/>
        <v>0.68867561228166263</v>
      </c>
      <c r="E246" s="2">
        <f t="shared" si="11"/>
        <v>0.47427409895152289</v>
      </c>
    </row>
    <row r="247" spans="1:5">
      <c r="A247" s="3">
        <v>69.599999999999994</v>
      </c>
      <c r="B247" s="2">
        <v>7</v>
      </c>
      <c r="C247">
        <f t="shared" si="9"/>
        <v>7.9096375522725761</v>
      </c>
      <c r="D247" s="2">
        <f t="shared" si="10"/>
        <v>0.90963755227257614</v>
      </c>
      <c r="E247" s="2">
        <f t="shared" si="11"/>
        <v>0.82744047650444374</v>
      </c>
    </row>
    <row r="248" spans="1:5">
      <c r="A248" s="3">
        <v>69.599999999999994</v>
      </c>
      <c r="B248" s="2">
        <v>7.6</v>
      </c>
      <c r="C248">
        <f t="shared" si="9"/>
        <v>7.9096375522725761</v>
      </c>
      <c r="D248" s="2">
        <f t="shared" si="10"/>
        <v>0.3096375522725765</v>
      </c>
      <c r="E248" s="2">
        <f t="shared" si="11"/>
        <v>9.587541377735255E-2</v>
      </c>
    </row>
    <row r="249" spans="1:5">
      <c r="A249" s="3">
        <v>69.7</v>
      </c>
      <c r="B249" s="2">
        <v>9.5</v>
      </c>
      <c r="C249">
        <f t="shared" si="9"/>
        <v>7.930599492263493</v>
      </c>
      <c r="D249" s="2">
        <f t="shared" si="10"/>
        <v>-1.569400507736507</v>
      </c>
      <c r="E249" s="2">
        <f t="shared" si="11"/>
        <v>2.4630179536836057</v>
      </c>
    </row>
    <row r="250" spans="1:5">
      <c r="A250" s="3">
        <v>69.7</v>
      </c>
      <c r="B250" s="2">
        <v>8.4</v>
      </c>
      <c r="C250">
        <f t="shared" si="9"/>
        <v>7.930599492263493</v>
      </c>
      <c r="D250" s="2">
        <f t="shared" si="10"/>
        <v>-0.46940050773650732</v>
      </c>
      <c r="E250" s="2">
        <f t="shared" si="11"/>
        <v>0.22033683666329087</v>
      </c>
    </row>
    <row r="251" spans="1:5">
      <c r="A251" s="3">
        <v>69.7</v>
      </c>
      <c r="B251" s="2">
        <v>8.1</v>
      </c>
      <c r="C251">
        <f t="shared" si="9"/>
        <v>7.930599492263493</v>
      </c>
      <c r="D251" s="2">
        <f t="shared" si="10"/>
        <v>-0.16940050773650661</v>
      </c>
      <c r="E251" s="2">
        <f t="shared" si="11"/>
        <v>2.8696532021386237E-2</v>
      </c>
    </row>
    <row r="252" spans="1:5">
      <c r="A252" s="3">
        <v>69.8</v>
      </c>
      <c r="B252" s="2">
        <v>9.3000000000000007</v>
      </c>
      <c r="C252">
        <f t="shared" si="9"/>
        <v>7.9515614322544064</v>
      </c>
      <c r="D252" s="2">
        <f t="shared" si="10"/>
        <v>-1.3484385677455943</v>
      </c>
      <c r="E252" s="2">
        <f t="shared" si="11"/>
        <v>1.8182865709837899</v>
      </c>
    </row>
    <row r="253" spans="1:5">
      <c r="A253" s="3">
        <v>69.8</v>
      </c>
      <c r="B253" s="2">
        <v>7.8</v>
      </c>
      <c r="C253">
        <f t="shared" si="9"/>
        <v>7.9515614322544064</v>
      </c>
      <c r="D253" s="2">
        <f t="shared" si="10"/>
        <v>0.15156143225440655</v>
      </c>
      <c r="E253" s="2">
        <f t="shared" si="11"/>
        <v>2.2970867747007066E-2</v>
      </c>
    </row>
    <row r="254" spans="1:5">
      <c r="A254" s="3">
        <v>70</v>
      </c>
      <c r="B254" s="2">
        <v>8.1</v>
      </c>
      <c r="C254">
        <f t="shared" si="9"/>
        <v>7.9934853122362366</v>
      </c>
      <c r="D254" s="2">
        <f t="shared" si="10"/>
        <v>-0.10651468776376305</v>
      </c>
      <c r="E254" s="2">
        <f t="shared" si="11"/>
        <v>1.1345378709411933E-2</v>
      </c>
    </row>
    <row r="255" spans="1:5">
      <c r="A255" s="3">
        <v>70</v>
      </c>
      <c r="B255" s="2">
        <v>8.1999999999999993</v>
      </c>
      <c r="C255">
        <f t="shared" si="9"/>
        <v>7.9934853122362366</v>
      </c>
      <c r="D255" s="2">
        <f t="shared" si="10"/>
        <v>-0.20651468776376269</v>
      </c>
      <c r="E255" s="2">
        <f t="shared" si="11"/>
        <v>4.26483162621644E-2</v>
      </c>
    </row>
    <row r="256" spans="1:5">
      <c r="A256" s="3">
        <v>70.099999999999994</v>
      </c>
      <c r="B256" s="2">
        <v>8.6999999999999993</v>
      </c>
      <c r="C256">
        <f t="shared" si="9"/>
        <v>8.0144472522271499</v>
      </c>
      <c r="D256" s="2">
        <f t="shared" si="10"/>
        <v>-0.68555274777284936</v>
      </c>
      <c r="E256" s="2">
        <f t="shared" si="11"/>
        <v>0.46998256997890403</v>
      </c>
    </row>
    <row r="257" spans="1:5">
      <c r="A257" s="3">
        <v>70.099999999999994</v>
      </c>
      <c r="B257" s="2">
        <v>7.4</v>
      </c>
      <c r="C257">
        <f t="shared" si="9"/>
        <v>8.0144472522271499</v>
      </c>
      <c r="D257" s="2">
        <f t="shared" si="10"/>
        <v>0.61444725222714958</v>
      </c>
      <c r="E257" s="2">
        <f t="shared" si="11"/>
        <v>0.37754542576949435</v>
      </c>
    </row>
    <row r="258" spans="1:5">
      <c r="A258" s="3">
        <v>70.2</v>
      </c>
      <c r="B258" s="2">
        <v>7.4</v>
      </c>
      <c r="C258">
        <f t="shared" si="9"/>
        <v>8.035409192218065</v>
      </c>
      <c r="D258" s="2">
        <f t="shared" si="10"/>
        <v>0.63540919221806469</v>
      </c>
      <c r="E258" s="2">
        <f t="shared" si="11"/>
        <v>0.40374484155521351</v>
      </c>
    </row>
    <row r="259" spans="1:5">
      <c r="A259" s="3">
        <v>70.2</v>
      </c>
      <c r="B259" s="2">
        <v>7.8</v>
      </c>
      <c r="C259">
        <f t="shared" ref="C259:C322" si="12">$K$4*A259+$K$5</f>
        <v>8.035409192218065</v>
      </c>
      <c r="D259" s="2">
        <f t="shared" ref="D259:D322" si="13">C259-B259</f>
        <v>0.23540919221806522</v>
      </c>
      <c r="E259" s="2">
        <f t="shared" ref="E259:E322" si="14">D259^2</f>
        <v>5.5417487780761977E-2</v>
      </c>
    </row>
    <row r="260" spans="1:5">
      <c r="A260" s="3">
        <v>70.3</v>
      </c>
      <c r="B260" s="2">
        <v>8.3000000000000007</v>
      </c>
      <c r="C260">
        <f t="shared" si="12"/>
        <v>8.0563711322089802</v>
      </c>
      <c r="D260" s="2">
        <f t="shared" si="13"/>
        <v>-0.24362886779102055</v>
      </c>
      <c r="E260" s="2">
        <f t="shared" si="14"/>
        <v>5.9355025221134575E-2</v>
      </c>
    </row>
    <row r="261" spans="1:5">
      <c r="A261" s="3">
        <v>70.3</v>
      </c>
      <c r="B261" s="2">
        <v>8.6</v>
      </c>
      <c r="C261">
        <f t="shared" si="12"/>
        <v>8.0563711322089802</v>
      </c>
      <c r="D261" s="2">
        <f t="shared" si="13"/>
        <v>-0.54362886779101949</v>
      </c>
      <c r="E261" s="2">
        <f t="shared" si="14"/>
        <v>0.29553234589574573</v>
      </c>
    </row>
    <row r="262" spans="1:5">
      <c r="A262" s="3">
        <v>70.3</v>
      </c>
      <c r="B262" s="2">
        <v>7.2</v>
      </c>
      <c r="C262">
        <f t="shared" si="12"/>
        <v>8.0563711322089802</v>
      </c>
      <c r="D262" s="2">
        <f t="shared" si="13"/>
        <v>0.85637113220897998</v>
      </c>
      <c r="E262" s="2">
        <f t="shared" si="14"/>
        <v>0.73337151608089024</v>
      </c>
    </row>
    <row r="263" spans="1:5">
      <c r="A263" s="3">
        <v>70.3</v>
      </c>
      <c r="B263" s="2">
        <v>9.1</v>
      </c>
      <c r="C263">
        <f t="shared" si="12"/>
        <v>8.0563711322089802</v>
      </c>
      <c r="D263" s="2">
        <f t="shared" si="13"/>
        <v>-1.0436288677910195</v>
      </c>
      <c r="E263" s="2">
        <f t="shared" si="14"/>
        <v>1.0891612136867652</v>
      </c>
    </row>
    <row r="264" spans="1:5">
      <c r="A264" s="3">
        <v>70.3</v>
      </c>
      <c r="B264" s="2">
        <v>7.2</v>
      </c>
      <c r="C264">
        <f t="shared" si="12"/>
        <v>8.0563711322089802</v>
      </c>
      <c r="D264" s="2">
        <f t="shared" si="13"/>
        <v>0.85637113220897998</v>
      </c>
      <c r="E264" s="2">
        <f t="shared" si="14"/>
        <v>0.73337151608089024</v>
      </c>
    </row>
    <row r="265" spans="1:5">
      <c r="A265" s="3">
        <v>70.400000000000006</v>
      </c>
      <c r="B265" s="2">
        <v>8.6999999999999993</v>
      </c>
      <c r="C265">
        <f t="shared" si="12"/>
        <v>8.0773330721998953</v>
      </c>
      <c r="D265" s="2">
        <f t="shared" si="13"/>
        <v>-0.62266692780010402</v>
      </c>
      <c r="E265" s="2">
        <f t="shared" si="14"/>
        <v>0.38771410297601994</v>
      </c>
    </row>
    <row r="266" spans="1:5">
      <c r="A266" s="3">
        <v>70.400000000000006</v>
      </c>
      <c r="B266" s="2">
        <v>8</v>
      </c>
      <c r="C266">
        <f t="shared" si="12"/>
        <v>8.0773330721998953</v>
      </c>
      <c r="D266" s="2">
        <f t="shared" si="13"/>
        <v>7.733307219989527E-2</v>
      </c>
      <c r="E266" s="2">
        <f t="shared" si="14"/>
        <v>5.9804040558742149E-3</v>
      </c>
    </row>
    <row r="267" spans="1:5">
      <c r="A267" s="3">
        <v>70.400000000000006</v>
      </c>
      <c r="B267" s="2">
        <v>7.9</v>
      </c>
      <c r="C267">
        <f t="shared" si="12"/>
        <v>8.0773330721998953</v>
      </c>
      <c r="D267" s="2">
        <f t="shared" si="13"/>
        <v>0.17733307219989491</v>
      </c>
      <c r="E267" s="2">
        <f t="shared" si="14"/>
        <v>3.1447018495853143E-2</v>
      </c>
    </row>
    <row r="268" spans="1:5">
      <c r="A268" s="3">
        <v>70.5</v>
      </c>
      <c r="B268" s="2">
        <v>7.1</v>
      </c>
      <c r="C268">
        <f t="shared" si="12"/>
        <v>8.0982950121908086</v>
      </c>
      <c r="D268" s="2">
        <f t="shared" si="13"/>
        <v>0.99829501219080896</v>
      </c>
      <c r="E268" s="2">
        <f t="shared" si="14"/>
        <v>0.99659293136504745</v>
      </c>
    </row>
    <row r="269" spans="1:5">
      <c r="A269" s="3">
        <v>70.5</v>
      </c>
      <c r="B269" s="2">
        <v>8.1999999999999993</v>
      </c>
      <c r="C269">
        <f t="shared" si="12"/>
        <v>8.0982950121908086</v>
      </c>
      <c r="D269" s="2">
        <f t="shared" si="13"/>
        <v>-0.10170498780919068</v>
      </c>
      <c r="E269" s="2">
        <f t="shared" si="14"/>
        <v>1.0343904545267625E-2</v>
      </c>
    </row>
    <row r="270" spans="1:5">
      <c r="A270" s="3">
        <v>70.5</v>
      </c>
      <c r="B270" s="2">
        <v>8.1999999999999993</v>
      </c>
      <c r="C270">
        <f t="shared" si="12"/>
        <v>8.0982950121908086</v>
      </c>
      <c r="D270" s="2">
        <f t="shared" si="13"/>
        <v>-0.10170498780919068</v>
      </c>
      <c r="E270" s="2">
        <f t="shared" si="14"/>
        <v>1.0343904545267625E-2</v>
      </c>
    </row>
    <row r="271" spans="1:5">
      <c r="A271" s="3">
        <v>70.5</v>
      </c>
      <c r="B271" s="2">
        <v>8.1999999999999993</v>
      </c>
      <c r="C271">
        <f t="shared" si="12"/>
        <v>8.0982950121908086</v>
      </c>
      <c r="D271" s="2">
        <f t="shared" si="13"/>
        <v>-0.10170498780919068</v>
      </c>
      <c r="E271" s="2">
        <f t="shared" si="14"/>
        <v>1.0343904545267625E-2</v>
      </c>
    </row>
    <row r="272" spans="1:5">
      <c r="A272" s="3">
        <v>70.599999999999994</v>
      </c>
      <c r="B272" s="2">
        <v>6.7</v>
      </c>
      <c r="C272">
        <f t="shared" si="12"/>
        <v>8.1192569521817219</v>
      </c>
      <c r="D272" s="2">
        <f t="shared" si="13"/>
        <v>1.4192569521817218</v>
      </c>
      <c r="E272" s="2">
        <f t="shared" si="14"/>
        <v>2.0142902963161502</v>
      </c>
    </row>
    <row r="273" spans="1:5">
      <c r="A273" s="3">
        <v>70.599999999999994</v>
      </c>
      <c r="B273" s="2">
        <v>8.9</v>
      </c>
      <c r="C273">
        <f t="shared" si="12"/>
        <v>8.1192569521817219</v>
      </c>
      <c r="D273" s="2">
        <f t="shared" si="13"/>
        <v>-0.78074304781827841</v>
      </c>
      <c r="E273" s="2">
        <f t="shared" si="14"/>
        <v>0.60955970671657456</v>
      </c>
    </row>
    <row r="274" spans="1:5">
      <c r="A274" s="3">
        <v>70.7</v>
      </c>
      <c r="B274" s="2">
        <v>8.5</v>
      </c>
      <c r="C274">
        <f t="shared" si="12"/>
        <v>8.1402188921726388</v>
      </c>
      <c r="D274" s="2">
        <f t="shared" si="13"/>
        <v>-0.35978110782736117</v>
      </c>
      <c r="E274" s="2">
        <f t="shared" si="14"/>
        <v>0.12944244554948328</v>
      </c>
    </row>
    <row r="275" spans="1:5">
      <c r="A275" s="3">
        <v>70.8</v>
      </c>
      <c r="B275" s="2">
        <v>7.8</v>
      </c>
      <c r="C275">
        <f t="shared" si="12"/>
        <v>8.1611808321635522</v>
      </c>
      <c r="D275" s="2">
        <f t="shared" si="13"/>
        <v>0.36118083216355235</v>
      </c>
      <c r="E275" s="2">
        <f t="shared" si="14"/>
        <v>0.13045159352235616</v>
      </c>
    </row>
    <row r="276" spans="1:5">
      <c r="A276" s="3">
        <v>70.8</v>
      </c>
      <c r="B276" s="2">
        <v>8</v>
      </c>
      <c r="C276">
        <f t="shared" si="12"/>
        <v>8.1611808321635522</v>
      </c>
      <c r="D276" s="2">
        <f t="shared" si="13"/>
        <v>0.16118083216355217</v>
      </c>
      <c r="E276" s="2">
        <f t="shared" si="14"/>
        <v>2.5979260656935173E-2</v>
      </c>
    </row>
    <row r="277" spans="1:5">
      <c r="A277" s="3">
        <v>70.900000000000006</v>
      </c>
      <c r="B277" s="2">
        <v>7.4</v>
      </c>
      <c r="C277">
        <f t="shared" si="12"/>
        <v>8.1821427721544691</v>
      </c>
      <c r="D277" s="2">
        <f t="shared" si="13"/>
        <v>0.7821427721544687</v>
      </c>
      <c r="E277" s="2">
        <f t="shared" si="14"/>
        <v>0.6117473160334771</v>
      </c>
    </row>
    <row r="278" spans="1:5">
      <c r="A278" s="3">
        <v>71</v>
      </c>
      <c r="B278" s="2">
        <v>8.4</v>
      </c>
      <c r="C278">
        <f t="shared" si="12"/>
        <v>8.2031047121453824</v>
      </c>
      <c r="D278" s="2">
        <f t="shared" si="13"/>
        <v>-0.19689528785461796</v>
      </c>
      <c r="E278" s="2">
        <f t="shared" si="14"/>
        <v>3.876775437935287E-2</v>
      </c>
    </row>
    <row r="279" spans="1:5">
      <c r="A279" s="3">
        <v>71</v>
      </c>
      <c r="B279" s="2">
        <v>7.9</v>
      </c>
      <c r="C279">
        <f t="shared" si="12"/>
        <v>8.2031047121453824</v>
      </c>
      <c r="D279" s="2">
        <f t="shared" si="13"/>
        <v>0.30310471214538204</v>
      </c>
      <c r="E279" s="2">
        <f t="shared" si="14"/>
        <v>9.1872466524734908E-2</v>
      </c>
    </row>
    <row r="280" spans="1:5">
      <c r="A280" s="3">
        <v>71.099999999999994</v>
      </c>
      <c r="B280" s="2">
        <v>8</v>
      </c>
      <c r="C280">
        <f t="shared" si="12"/>
        <v>8.2240666521362957</v>
      </c>
      <c r="D280" s="2">
        <f t="shared" si="13"/>
        <v>0.22406665213629573</v>
      </c>
      <c r="E280" s="2">
        <f t="shared" si="14"/>
        <v>5.0205864599567759E-2</v>
      </c>
    </row>
    <row r="281" spans="1:5">
      <c r="A281" s="3">
        <v>71.099999999999994</v>
      </c>
      <c r="B281" s="2">
        <v>7.6</v>
      </c>
      <c r="C281">
        <f t="shared" si="12"/>
        <v>8.2240666521362957</v>
      </c>
      <c r="D281" s="2">
        <f t="shared" si="13"/>
        <v>0.62406665213629609</v>
      </c>
      <c r="E281" s="2">
        <f t="shared" si="14"/>
        <v>0.38945918630860477</v>
      </c>
    </row>
    <row r="282" spans="1:5">
      <c r="A282" s="3">
        <v>71.2</v>
      </c>
      <c r="B282" s="2">
        <v>7.1</v>
      </c>
      <c r="C282">
        <f t="shared" si="12"/>
        <v>8.2450285921272126</v>
      </c>
      <c r="D282" s="2">
        <f t="shared" si="13"/>
        <v>1.145028592127213</v>
      </c>
      <c r="E282" s="2">
        <f t="shared" si="14"/>
        <v>1.3110904767888274</v>
      </c>
    </row>
    <row r="283" spans="1:5">
      <c r="A283" s="3">
        <v>71.2</v>
      </c>
      <c r="B283" s="2">
        <v>7.8</v>
      </c>
      <c r="C283">
        <f t="shared" si="12"/>
        <v>8.2450285921272126</v>
      </c>
      <c r="D283" s="2">
        <f t="shared" si="13"/>
        <v>0.4450285921272128</v>
      </c>
      <c r="E283" s="2">
        <f t="shared" si="14"/>
        <v>0.19805044781072914</v>
      </c>
    </row>
    <row r="284" spans="1:5">
      <c r="A284" s="3">
        <v>71.2</v>
      </c>
      <c r="B284" s="2">
        <v>8.6999999999999993</v>
      </c>
      <c r="C284">
        <f t="shared" si="12"/>
        <v>8.2450285921272126</v>
      </c>
      <c r="D284" s="2">
        <f t="shared" si="13"/>
        <v>-0.45497140787278667</v>
      </c>
      <c r="E284" s="2">
        <f t="shared" si="14"/>
        <v>0.2069989819817456</v>
      </c>
    </row>
    <row r="285" spans="1:5">
      <c r="A285" s="3">
        <v>71.2</v>
      </c>
      <c r="B285" s="2">
        <v>7.6</v>
      </c>
      <c r="C285">
        <f t="shared" si="12"/>
        <v>8.2450285921272126</v>
      </c>
      <c r="D285" s="2">
        <f t="shared" si="13"/>
        <v>0.64502859212721297</v>
      </c>
      <c r="E285" s="2">
        <f t="shared" si="14"/>
        <v>0.41606188466161448</v>
      </c>
    </row>
    <row r="286" spans="1:5">
      <c r="A286" s="3">
        <v>71.2</v>
      </c>
      <c r="B286" s="2">
        <v>8.1</v>
      </c>
      <c r="C286">
        <f t="shared" si="12"/>
        <v>8.2450285921272126</v>
      </c>
      <c r="D286" s="2">
        <f t="shared" si="13"/>
        <v>0.14502859212721297</v>
      </c>
      <c r="E286" s="2">
        <f t="shared" si="14"/>
        <v>2.1033292534401501E-2</v>
      </c>
    </row>
    <row r="287" spans="1:5">
      <c r="A287" s="3">
        <v>71.2</v>
      </c>
      <c r="B287" s="2">
        <v>8.3000000000000007</v>
      </c>
      <c r="C287">
        <f t="shared" si="12"/>
        <v>8.2450285921272126</v>
      </c>
      <c r="D287" s="2">
        <f t="shared" si="13"/>
        <v>-5.4971407872788092E-2</v>
      </c>
      <c r="E287" s="2">
        <f t="shared" si="14"/>
        <v>3.0218556835164287E-3</v>
      </c>
    </row>
    <row r="288" spans="1:5">
      <c r="A288" s="3">
        <v>71.2</v>
      </c>
      <c r="B288" s="2">
        <v>9.9</v>
      </c>
      <c r="C288">
        <f t="shared" si="12"/>
        <v>8.2450285921272126</v>
      </c>
      <c r="D288" s="2">
        <f t="shared" si="13"/>
        <v>-1.6549714078727877</v>
      </c>
      <c r="E288" s="2">
        <f t="shared" si="14"/>
        <v>2.738930360876437</v>
      </c>
    </row>
    <row r="289" spans="1:5">
      <c r="A289" s="3">
        <v>71.3</v>
      </c>
      <c r="B289" s="2">
        <v>7.5</v>
      </c>
      <c r="C289">
        <f t="shared" si="12"/>
        <v>8.265990532118126</v>
      </c>
      <c r="D289" s="2">
        <f t="shared" si="13"/>
        <v>0.76599053211812596</v>
      </c>
      <c r="E289" s="2">
        <f t="shared" si="14"/>
        <v>0.58674149529460973</v>
      </c>
    </row>
    <row r="290" spans="1:5">
      <c r="A290" s="3">
        <v>71.3</v>
      </c>
      <c r="B290" s="2">
        <v>8.6</v>
      </c>
      <c r="C290">
        <f t="shared" si="12"/>
        <v>8.265990532118126</v>
      </c>
      <c r="D290" s="2">
        <f t="shared" si="13"/>
        <v>-0.33400946788187369</v>
      </c>
      <c r="E290" s="2">
        <f t="shared" si="14"/>
        <v>0.11156232463473241</v>
      </c>
    </row>
    <row r="291" spans="1:5">
      <c r="A291" s="3">
        <v>71.3</v>
      </c>
      <c r="B291" s="2">
        <v>8.3000000000000007</v>
      </c>
      <c r="C291">
        <f t="shared" si="12"/>
        <v>8.265990532118126</v>
      </c>
      <c r="D291" s="2">
        <f t="shared" si="13"/>
        <v>-3.4009467881874755E-2</v>
      </c>
      <c r="E291" s="2">
        <f t="shared" si="14"/>
        <v>1.1566439056082706E-3</v>
      </c>
    </row>
    <row r="292" spans="1:5">
      <c r="A292" s="3">
        <v>71.400000000000006</v>
      </c>
      <c r="B292" s="2">
        <v>8.1</v>
      </c>
      <c r="C292">
        <f t="shared" si="12"/>
        <v>8.2869524721090428</v>
      </c>
      <c r="D292" s="2">
        <f t="shared" si="13"/>
        <v>0.1869524721090432</v>
      </c>
      <c r="E292" s="2">
        <f t="shared" si="14"/>
        <v>3.4951226827682577E-2</v>
      </c>
    </row>
    <row r="293" spans="1:5">
      <c r="A293" s="3">
        <v>71.5</v>
      </c>
      <c r="B293" s="2">
        <v>8.9</v>
      </c>
      <c r="C293">
        <f t="shared" si="12"/>
        <v>8.3079144120999562</v>
      </c>
      <c r="D293" s="2">
        <f t="shared" si="13"/>
        <v>-0.59208558790004417</v>
      </c>
      <c r="E293" s="2">
        <f t="shared" si="14"/>
        <v>0.35056534339894091</v>
      </c>
    </row>
    <row r="294" spans="1:5">
      <c r="A294" s="3">
        <v>71.5</v>
      </c>
      <c r="B294" s="2">
        <v>8</v>
      </c>
      <c r="C294">
        <f t="shared" si="12"/>
        <v>8.3079144120999562</v>
      </c>
      <c r="D294" s="2">
        <f t="shared" si="13"/>
        <v>0.30791441209995618</v>
      </c>
      <c r="E294" s="2">
        <f t="shared" si="14"/>
        <v>9.4811285178861643E-2</v>
      </c>
    </row>
    <row r="295" spans="1:5">
      <c r="A295" s="3">
        <v>71.5</v>
      </c>
      <c r="B295" s="2">
        <v>9.3000000000000007</v>
      </c>
      <c r="C295">
        <f t="shared" si="12"/>
        <v>8.3079144120999562</v>
      </c>
      <c r="D295" s="2">
        <f t="shared" si="13"/>
        <v>-0.99208558790004453</v>
      </c>
      <c r="E295" s="2">
        <f t="shared" si="14"/>
        <v>0.984233813718977</v>
      </c>
    </row>
    <row r="296" spans="1:5">
      <c r="A296" s="3">
        <v>71.5</v>
      </c>
      <c r="B296" s="2">
        <v>10</v>
      </c>
      <c r="C296">
        <f t="shared" si="12"/>
        <v>8.3079144120999562</v>
      </c>
      <c r="D296" s="2">
        <f t="shared" si="13"/>
        <v>-1.6920855879000438</v>
      </c>
      <c r="E296" s="2">
        <f t="shared" si="14"/>
        <v>2.8631536367790371</v>
      </c>
    </row>
    <row r="297" spans="1:5">
      <c r="A297" s="3">
        <v>71.5</v>
      </c>
      <c r="B297" s="2">
        <v>7.5</v>
      </c>
      <c r="C297">
        <f t="shared" si="12"/>
        <v>8.3079144120999562</v>
      </c>
      <c r="D297" s="2">
        <f t="shared" si="13"/>
        <v>0.80791441209995618</v>
      </c>
      <c r="E297" s="2">
        <f t="shared" si="14"/>
        <v>0.6527256972788178</v>
      </c>
    </row>
    <row r="298" spans="1:5">
      <c r="A298" s="3">
        <v>71.599999999999994</v>
      </c>
      <c r="B298" s="2">
        <v>7.9</v>
      </c>
      <c r="C298">
        <f t="shared" si="12"/>
        <v>8.3288763520908695</v>
      </c>
      <c r="D298" s="2">
        <f t="shared" si="13"/>
        <v>0.42887635209086916</v>
      </c>
      <c r="E298" s="2">
        <f t="shared" si="14"/>
        <v>0.18393492538277117</v>
      </c>
    </row>
    <row r="299" spans="1:5">
      <c r="A299" s="3">
        <v>71.599999999999994</v>
      </c>
      <c r="B299" s="2">
        <v>7.8</v>
      </c>
      <c r="C299">
        <f t="shared" si="12"/>
        <v>8.3288763520908695</v>
      </c>
      <c r="D299" s="2">
        <f t="shared" si="13"/>
        <v>0.52887635209086969</v>
      </c>
      <c r="E299" s="2">
        <f t="shared" si="14"/>
        <v>0.27971019580094558</v>
      </c>
    </row>
    <row r="300" spans="1:5">
      <c r="A300" s="3">
        <v>71.599999999999994</v>
      </c>
      <c r="B300" s="2">
        <v>8.8000000000000007</v>
      </c>
      <c r="C300">
        <f t="shared" si="12"/>
        <v>8.3288763520908695</v>
      </c>
      <c r="D300" s="2">
        <f t="shared" si="13"/>
        <v>-0.47112364790913119</v>
      </c>
      <c r="E300" s="2">
        <f t="shared" si="14"/>
        <v>0.22195749161920703</v>
      </c>
    </row>
    <row r="301" spans="1:5">
      <c r="A301" s="3">
        <v>71.599999999999994</v>
      </c>
      <c r="B301" s="2">
        <v>10.6</v>
      </c>
      <c r="C301">
        <f t="shared" si="12"/>
        <v>8.3288763520908695</v>
      </c>
      <c r="D301" s="2">
        <f t="shared" si="13"/>
        <v>-2.2711236479091301</v>
      </c>
      <c r="E301" s="2">
        <f t="shared" si="14"/>
        <v>5.1580026240920747</v>
      </c>
    </row>
    <row r="302" spans="1:5">
      <c r="A302" s="3">
        <v>71.599999999999994</v>
      </c>
      <c r="B302" s="2">
        <v>8.6</v>
      </c>
      <c r="C302">
        <f t="shared" si="12"/>
        <v>8.3288763520908695</v>
      </c>
      <c r="D302" s="2">
        <f t="shared" si="13"/>
        <v>-0.27112364790913013</v>
      </c>
      <c r="E302" s="2">
        <f t="shared" si="14"/>
        <v>7.3508032455553957E-2</v>
      </c>
    </row>
    <row r="303" spans="1:5">
      <c r="A303" s="3">
        <v>71.599999999999994</v>
      </c>
      <c r="B303" s="2">
        <v>7.6</v>
      </c>
      <c r="C303">
        <f t="shared" si="12"/>
        <v>8.3288763520908695</v>
      </c>
      <c r="D303" s="2">
        <f t="shared" si="13"/>
        <v>0.72887635209086987</v>
      </c>
      <c r="E303" s="2">
        <f t="shared" si="14"/>
        <v>0.53126073663729367</v>
      </c>
    </row>
    <row r="304" spans="1:5">
      <c r="A304" s="3">
        <v>71.599999999999994</v>
      </c>
      <c r="B304" s="2">
        <v>8</v>
      </c>
      <c r="C304">
        <f t="shared" si="12"/>
        <v>8.3288763520908695</v>
      </c>
      <c r="D304" s="2">
        <f t="shared" si="13"/>
        <v>0.32887635209086952</v>
      </c>
      <c r="E304" s="2">
        <f t="shared" si="14"/>
        <v>0.10815965496459758</v>
      </c>
    </row>
    <row r="305" spans="1:5">
      <c r="A305" s="3">
        <v>71.599999999999994</v>
      </c>
      <c r="B305" s="2">
        <v>9.6</v>
      </c>
      <c r="C305">
        <f t="shared" si="12"/>
        <v>8.3288763520908695</v>
      </c>
      <c r="D305" s="2">
        <f t="shared" si="13"/>
        <v>-1.2711236479091301</v>
      </c>
      <c r="E305" s="2">
        <f t="shared" si="14"/>
        <v>1.6157553282738142</v>
      </c>
    </row>
    <row r="306" spans="1:5">
      <c r="A306" s="3">
        <v>71.7</v>
      </c>
      <c r="B306" s="2">
        <v>7.7</v>
      </c>
      <c r="C306">
        <f t="shared" si="12"/>
        <v>8.3498382920817846</v>
      </c>
      <c r="D306" s="2">
        <f t="shared" si="13"/>
        <v>0.64983829208178445</v>
      </c>
      <c r="E306" s="2">
        <f t="shared" si="14"/>
        <v>0.42228980585577058</v>
      </c>
    </row>
    <row r="307" spans="1:5">
      <c r="A307" s="3">
        <v>72</v>
      </c>
      <c r="B307" s="2">
        <v>8.6</v>
      </c>
      <c r="C307">
        <f t="shared" si="12"/>
        <v>8.4127241120545282</v>
      </c>
      <c r="D307" s="2">
        <f t="shared" si="13"/>
        <v>-0.18727588794547145</v>
      </c>
      <c r="E307" s="2">
        <f t="shared" si="14"/>
        <v>3.5072258205764782E-2</v>
      </c>
    </row>
    <row r="308" spans="1:5">
      <c r="A308" s="3">
        <v>72</v>
      </c>
      <c r="B308" s="2">
        <v>7.9</v>
      </c>
      <c r="C308">
        <f t="shared" si="12"/>
        <v>8.4127241120545282</v>
      </c>
      <c r="D308" s="2">
        <f t="shared" si="13"/>
        <v>0.51272411205452784</v>
      </c>
      <c r="E308" s="2">
        <f t="shared" si="14"/>
        <v>0.26288601508210402</v>
      </c>
    </row>
    <row r="309" spans="1:5">
      <c r="A309" s="3">
        <v>72.099999999999994</v>
      </c>
      <c r="B309" s="2">
        <v>8.1</v>
      </c>
      <c r="C309">
        <f t="shared" si="12"/>
        <v>8.4336860520454415</v>
      </c>
      <c r="D309" s="2">
        <f t="shared" si="13"/>
        <v>0.33368605204544188</v>
      </c>
      <c r="E309" s="2">
        <f t="shared" si="14"/>
        <v>0.11134638132967335</v>
      </c>
    </row>
    <row r="310" spans="1:5">
      <c r="A310" s="3">
        <v>72.099999999999994</v>
      </c>
      <c r="B310" s="2">
        <v>8.6</v>
      </c>
      <c r="C310">
        <f t="shared" si="12"/>
        <v>8.4336860520454415</v>
      </c>
      <c r="D310" s="2">
        <f t="shared" si="13"/>
        <v>-0.16631394795455812</v>
      </c>
      <c r="E310" s="2">
        <f t="shared" si="14"/>
        <v>2.7660329284231466E-2</v>
      </c>
    </row>
    <row r="311" spans="1:5">
      <c r="A311" s="3">
        <v>72.2</v>
      </c>
      <c r="B311" s="2">
        <v>8.3000000000000007</v>
      </c>
      <c r="C311">
        <f t="shared" si="12"/>
        <v>8.4546479920363584</v>
      </c>
      <c r="D311" s="2">
        <f t="shared" si="13"/>
        <v>0.15464799203635771</v>
      </c>
      <c r="E311" s="2">
        <f t="shared" si="14"/>
        <v>2.3916001440877358E-2</v>
      </c>
    </row>
    <row r="312" spans="1:5">
      <c r="A312" s="3">
        <v>72.2</v>
      </c>
      <c r="B312" s="2">
        <v>8.1</v>
      </c>
      <c r="C312">
        <f t="shared" si="12"/>
        <v>8.4546479920363584</v>
      </c>
      <c r="D312" s="2">
        <f t="shared" si="13"/>
        <v>0.35464799203635877</v>
      </c>
      <c r="E312" s="2">
        <f t="shared" si="14"/>
        <v>0.12577519825542119</v>
      </c>
    </row>
    <row r="313" spans="1:5">
      <c r="A313" s="3">
        <v>72.2</v>
      </c>
      <c r="B313" s="2">
        <v>8.1999999999999993</v>
      </c>
      <c r="C313">
        <f t="shared" si="12"/>
        <v>8.4546479920363584</v>
      </c>
      <c r="D313" s="2">
        <f t="shared" si="13"/>
        <v>0.25464799203635913</v>
      </c>
      <c r="E313" s="2">
        <f t="shared" si="14"/>
        <v>6.4845599848149624E-2</v>
      </c>
    </row>
    <row r="314" spans="1:5">
      <c r="A314" s="3">
        <v>72.2</v>
      </c>
      <c r="B314" s="2">
        <v>9</v>
      </c>
      <c r="C314">
        <f t="shared" si="12"/>
        <v>8.4546479920363584</v>
      </c>
      <c r="D314" s="2">
        <f t="shared" si="13"/>
        <v>-0.54535200796364158</v>
      </c>
      <c r="E314" s="2">
        <f t="shared" si="14"/>
        <v>0.29740881258997581</v>
      </c>
    </row>
    <row r="315" spans="1:5">
      <c r="A315" s="3">
        <v>72.2</v>
      </c>
      <c r="B315" s="2">
        <v>7.1</v>
      </c>
      <c r="C315">
        <f t="shared" si="12"/>
        <v>8.4546479920363584</v>
      </c>
      <c r="D315" s="2">
        <f t="shared" si="13"/>
        <v>1.3546479920363588</v>
      </c>
      <c r="E315" s="2">
        <f t="shared" si="14"/>
        <v>1.8350711823281387</v>
      </c>
    </row>
    <row r="316" spans="1:5">
      <c r="A316" s="3">
        <v>72.3</v>
      </c>
      <c r="B316" s="2">
        <v>7.7</v>
      </c>
      <c r="C316">
        <f t="shared" si="12"/>
        <v>8.4756099320272718</v>
      </c>
      <c r="D316" s="2">
        <f t="shared" si="13"/>
        <v>0.77560993202727158</v>
      </c>
      <c r="E316" s="2">
        <f t="shared" si="14"/>
        <v>0.60157076665934883</v>
      </c>
    </row>
    <row r="317" spans="1:5">
      <c r="A317" s="3">
        <v>72.3</v>
      </c>
      <c r="B317" s="2">
        <v>8.8000000000000007</v>
      </c>
      <c r="C317">
        <f t="shared" si="12"/>
        <v>8.4756099320272718</v>
      </c>
      <c r="D317" s="2">
        <f t="shared" si="13"/>
        <v>-0.32439006797272896</v>
      </c>
      <c r="E317" s="2">
        <f t="shared" si="14"/>
        <v>0.10522891619935171</v>
      </c>
    </row>
    <row r="318" spans="1:5">
      <c r="A318" s="3">
        <v>72.3</v>
      </c>
      <c r="B318" s="2">
        <v>9.5</v>
      </c>
      <c r="C318">
        <f t="shared" si="12"/>
        <v>8.4756099320272718</v>
      </c>
      <c r="D318" s="2">
        <f t="shared" si="13"/>
        <v>-1.0243900679727282</v>
      </c>
      <c r="E318" s="2">
        <f t="shared" si="14"/>
        <v>1.0493750113611708</v>
      </c>
    </row>
    <row r="319" spans="1:5">
      <c r="A319" s="3">
        <v>72.3</v>
      </c>
      <c r="B319" s="2">
        <v>9.1999999999999993</v>
      </c>
      <c r="C319">
        <f t="shared" si="12"/>
        <v>8.4756099320272718</v>
      </c>
      <c r="D319" s="2">
        <f t="shared" si="13"/>
        <v>-0.72439006797272754</v>
      </c>
      <c r="E319" s="2">
        <f t="shared" si="14"/>
        <v>0.52474097057753277</v>
      </c>
    </row>
    <row r="320" spans="1:5">
      <c r="A320" s="3">
        <v>72.3</v>
      </c>
      <c r="B320" s="2">
        <v>8.3000000000000007</v>
      </c>
      <c r="C320">
        <f t="shared" si="12"/>
        <v>8.4756099320272718</v>
      </c>
      <c r="D320" s="2">
        <f t="shared" si="13"/>
        <v>0.17560993202727104</v>
      </c>
      <c r="E320" s="2">
        <f t="shared" si="14"/>
        <v>3.0838848226622757E-2</v>
      </c>
    </row>
    <row r="321" spans="1:5">
      <c r="A321" s="3">
        <v>72.400000000000006</v>
      </c>
      <c r="B321" s="2">
        <v>8.4</v>
      </c>
      <c r="C321">
        <f t="shared" si="12"/>
        <v>8.4965718720181886</v>
      </c>
      <c r="D321" s="2">
        <f t="shared" si="13"/>
        <v>9.6571872018188287E-2</v>
      </c>
      <c r="E321" s="2">
        <f t="shared" si="14"/>
        <v>9.3261264650973379E-3</v>
      </c>
    </row>
    <row r="322" spans="1:5">
      <c r="A322" s="3">
        <v>72.5</v>
      </c>
      <c r="B322" s="2">
        <v>8.6</v>
      </c>
      <c r="C322">
        <f t="shared" si="12"/>
        <v>8.517533812009102</v>
      </c>
      <c r="D322" s="2">
        <f t="shared" si="13"/>
        <v>-8.2466187990897666E-2</v>
      </c>
      <c r="E322" s="2">
        <f t="shared" si="14"/>
        <v>6.8006721617500741E-3</v>
      </c>
    </row>
    <row r="323" spans="1:5">
      <c r="A323" s="3">
        <v>72.5</v>
      </c>
      <c r="B323" s="2">
        <v>8.4</v>
      </c>
      <c r="C323">
        <f t="shared" ref="C323:C386" si="15">$K$4*A323+$K$5</f>
        <v>8.517533812009102</v>
      </c>
      <c r="D323" s="2">
        <f t="shared" ref="D323:D386" si="16">C323-B323</f>
        <v>0.11753381200910162</v>
      </c>
      <c r="E323" s="2">
        <f t="shared" ref="E323:E386" si="17">D323^2</f>
        <v>1.3814196965390841E-2</v>
      </c>
    </row>
    <row r="324" spans="1:5">
      <c r="A324" s="3">
        <v>72.5</v>
      </c>
      <c r="B324" s="2">
        <v>7.9</v>
      </c>
      <c r="C324">
        <f t="shared" si="15"/>
        <v>8.517533812009102</v>
      </c>
      <c r="D324" s="2">
        <f t="shared" si="16"/>
        <v>0.61753381200910162</v>
      </c>
      <c r="E324" s="2">
        <f t="shared" si="17"/>
        <v>0.38134800897449245</v>
      </c>
    </row>
    <row r="325" spans="1:5">
      <c r="A325" s="3">
        <v>72.5</v>
      </c>
      <c r="B325" s="2">
        <v>9.4</v>
      </c>
      <c r="C325">
        <f t="shared" si="15"/>
        <v>8.517533812009102</v>
      </c>
      <c r="D325" s="2">
        <f t="shared" si="16"/>
        <v>-0.88246618799089838</v>
      </c>
      <c r="E325" s="2">
        <f t="shared" si="17"/>
        <v>0.77874657294718763</v>
      </c>
    </row>
    <row r="326" spans="1:5">
      <c r="A326" s="3">
        <v>72.599999999999994</v>
      </c>
      <c r="B326" s="2">
        <v>8.1999999999999993</v>
      </c>
      <c r="C326">
        <f t="shared" si="15"/>
        <v>8.5384957520000153</v>
      </c>
      <c r="D326" s="2">
        <f t="shared" si="16"/>
        <v>0.33849575200001603</v>
      </c>
      <c r="E326" s="2">
        <f t="shared" si="17"/>
        <v>0.11457937412205635</v>
      </c>
    </row>
    <row r="327" spans="1:5">
      <c r="A327" s="3">
        <v>72.599999999999994</v>
      </c>
      <c r="B327" s="2">
        <v>8</v>
      </c>
      <c r="C327">
        <f t="shared" si="15"/>
        <v>8.5384957520000153</v>
      </c>
      <c r="D327" s="2">
        <f t="shared" si="16"/>
        <v>0.53849575200001532</v>
      </c>
      <c r="E327" s="2">
        <f t="shared" si="17"/>
        <v>0.289977674922062</v>
      </c>
    </row>
    <row r="328" spans="1:5">
      <c r="A328" s="3">
        <v>72.599999999999994</v>
      </c>
      <c r="B328" s="2">
        <v>9.1999999999999993</v>
      </c>
      <c r="C328">
        <f t="shared" si="15"/>
        <v>8.5384957520000153</v>
      </c>
      <c r="D328" s="2">
        <f t="shared" si="16"/>
        <v>-0.66150424799998397</v>
      </c>
      <c r="E328" s="2">
        <f t="shared" si="17"/>
        <v>0.43758787012202432</v>
      </c>
    </row>
    <row r="329" spans="1:5">
      <c r="A329" s="3">
        <v>72.7</v>
      </c>
      <c r="B329" s="2">
        <v>7.5</v>
      </c>
      <c r="C329">
        <f t="shared" si="15"/>
        <v>8.5594576919909322</v>
      </c>
      <c r="D329" s="2">
        <f t="shared" si="16"/>
        <v>1.0594576919909322</v>
      </c>
      <c r="E329" s="2">
        <f t="shared" si="17"/>
        <v>1.1224506011187529</v>
      </c>
    </row>
    <row r="330" spans="1:5">
      <c r="A330" s="3">
        <v>72.7</v>
      </c>
      <c r="B330" s="2">
        <v>8.4</v>
      </c>
      <c r="C330">
        <f t="shared" si="15"/>
        <v>8.5594576919909322</v>
      </c>
      <c r="D330" s="2">
        <f t="shared" si="16"/>
        <v>0.15945769199093185</v>
      </c>
      <c r="E330" s="2">
        <f t="shared" si="17"/>
        <v>2.5426755535074889E-2</v>
      </c>
    </row>
    <row r="331" spans="1:5">
      <c r="A331" s="3">
        <v>72.8</v>
      </c>
      <c r="B331" s="2">
        <v>8.6</v>
      </c>
      <c r="C331">
        <f t="shared" si="15"/>
        <v>8.5804196319818455</v>
      </c>
      <c r="D331" s="2">
        <f t="shared" si="16"/>
        <v>-1.9580368018154104E-2</v>
      </c>
      <c r="E331" s="2">
        <f t="shared" si="17"/>
        <v>3.833908117263521E-4</v>
      </c>
    </row>
    <row r="332" spans="1:5">
      <c r="A332" s="3">
        <v>72.900000000000006</v>
      </c>
      <c r="B332" s="2">
        <v>8.1999999999999993</v>
      </c>
      <c r="C332">
        <f t="shared" si="15"/>
        <v>8.6013815719727607</v>
      </c>
      <c r="D332" s="2">
        <f t="shared" si="16"/>
        <v>0.40138157197276136</v>
      </c>
      <c r="E332" s="2">
        <f t="shared" si="17"/>
        <v>0.16110716631932501</v>
      </c>
    </row>
    <row r="333" spans="1:5">
      <c r="A333" s="3">
        <v>73</v>
      </c>
      <c r="B333" s="2">
        <v>8.6</v>
      </c>
      <c r="C333">
        <f t="shared" si="15"/>
        <v>8.6223435119636758</v>
      </c>
      <c r="D333" s="2">
        <f t="shared" si="16"/>
        <v>2.2343511963676121E-2</v>
      </c>
      <c r="E333" s="2">
        <f t="shared" si="17"/>
        <v>4.99232526870938E-4</v>
      </c>
    </row>
    <row r="334" spans="1:5">
      <c r="A334" s="3">
        <v>73.099999999999994</v>
      </c>
      <c r="B334" s="2">
        <v>7.7</v>
      </c>
      <c r="C334">
        <f t="shared" si="15"/>
        <v>8.6433054519545891</v>
      </c>
      <c r="D334" s="2">
        <f t="shared" si="16"/>
        <v>0.94330545195458892</v>
      </c>
      <c r="E334" s="2">
        <f t="shared" si="17"/>
        <v>0.88982517568725128</v>
      </c>
    </row>
    <row r="335" spans="1:5">
      <c r="A335" s="3">
        <v>73.099999999999994</v>
      </c>
      <c r="B335" s="2">
        <v>9</v>
      </c>
      <c r="C335">
        <f t="shared" si="15"/>
        <v>8.6433054519545891</v>
      </c>
      <c r="D335" s="2">
        <f t="shared" si="16"/>
        <v>-0.3566945480454109</v>
      </c>
      <c r="E335" s="2">
        <f t="shared" si="17"/>
        <v>0.12723100060531994</v>
      </c>
    </row>
    <row r="336" spans="1:5">
      <c r="A336" s="3">
        <v>73.099999999999994</v>
      </c>
      <c r="B336" s="2">
        <v>6.7</v>
      </c>
      <c r="C336">
        <f t="shared" si="15"/>
        <v>8.6433054519545891</v>
      </c>
      <c r="D336" s="2">
        <f t="shared" si="16"/>
        <v>1.9433054519545889</v>
      </c>
      <c r="E336" s="2">
        <f t="shared" si="17"/>
        <v>3.7764360795964289</v>
      </c>
    </row>
    <row r="337" spans="1:5">
      <c r="A337" s="3">
        <v>73.099999999999994</v>
      </c>
      <c r="B337" s="2">
        <v>8.1999999999999993</v>
      </c>
      <c r="C337">
        <f t="shared" si="15"/>
        <v>8.6433054519545891</v>
      </c>
      <c r="D337" s="2">
        <f t="shared" si="16"/>
        <v>0.44330545195458981</v>
      </c>
      <c r="E337" s="2">
        <f t="shared" si="17"/>
        <v>0.19651972373266313</v>
      </c>
    </row>
    <row r="338" spans="1:5">
      <c r="A338" s="3">
        <v>73.099999999999994</v>
      </c>
      <c r="B338" s="2">
        <v>7.6</v>
      </c>
      <c r="C338">
        <f t="shared" si="15"/>
        <v>8.6433054519545891</v>
      </c>
      <c r="D338" s="2">
        <f t="shared" si="16"/>
        <v>1.0433054519545895</v>
      </c>
      <c r="E338" s="2">
        <f t="shared" si="17"/>
        <v>1.0884862660781702</v>
      </c>
    </row>
    <row r="339" spans="1:5">
      <c r="A339" s="3">
        <v>73.2</v>
      </c>
      <c r="B339" s="2">
        <v>8.1999999999999993</v>
      </c>
      <c r="C339">
        <f t="shared" si="15"/>
        <v>8.6642673919455042</v>
      </c>
      <c r="D339" s="2">
        <f t="shared" si="16"/>
        <v>0.46426739194550493</v>
      </c>
      <c r="E339" s="2">
        <f t="shared" si="17"/>
        <v>0.21554421122388109</v>
      </c>
    </row>
    <row r="340" spans="1:5">
      <c r="A340" s="3">
        <v>73.2</v>
      </c>
      <c r="B340" s="2">
        <v>7.3</v>
      </c>
      <c r="C340">
        <f t="shared" si="15"/>
        <v>8.6642673919455042</v>
      </c>
      <c r="D340" s="2">
        <f t="shared" si="16"/>
        <v>1.3642673919455044</v>
      </c>
      <c r="E340" s="2">
        <f t="shared" si="17"/>
        <v>1.8612255167257885</v>
      </c>
    </row>
    <row r="341" spans="1:5">
      <c r="A341" s="3">
        <v>73.3</v>
      </c>
      <c r="B341" s="2">
        <v>8.3000000000000007</v>
      </c>
      <c r="C341">
        <f t="shared" si="15"/>
        <v>8.6852293319364176</v>
      </c>
      <c r="D341" s="2">
        <f t="shared" si="16"/>
        <v>0.38522933193641684</v>
      </c>
      <c r="E341" s="2">
        <f t="shared" si="17"/>
        <v>0.14840163818417804</v>
      </c>
    </row>
    <row r="342" spans="1:5">
      <c r="A342" s="3">
        <v>73.5</v>
      </c>
      <c r="B342" s="2">
        <v>9</v>
      </c>
      <c r="C342">
        <f t="shared" si="15"/>
        <v>8.7271532119182478</v>
      </c>
      <c r="D342" s="2">
        <f t="shared" si="16"/>
        <v>-0.27284678808175222</v>
      </c>
      <c r="E342" s="2">
        <f t="shared" si="17"/>
        <v>7.4445369766528602E-2</v>
      </c>
    </row>
    <row r="343" spans="1:5">
      <c r="A343" s="3">
        <v>73.5</v>
      </c>
      <c r="B343" s="2">
        <v>8.1999999999999993</v>
      </c>
      <c r="C343">
        <f t="shared" si="15"/>
        <v>8.7271532119182478</v>
      </c>
      <c r="D343" s="2">
        <f t="shared" si="16"/>
        <v>0.52715321191824849</v>
      </c>
      <c r="E343" s="2">
        <f t="shared" si="17"/>
        <v>0.2778905088357258</v>
      </c>
    </row>
    <row r="344" spans="1:5">
      <c r="A344" s="3">
        <v>73.5</v>
      </c>
      <c r="B344" s="2">
        <v>8.4</v>
      </c>
      <c r="C344">
        <f t="shared" si="15"/>
        <v>8.7271532119182478</v>
      </c>
      <c r="D344" s="2">
        <f t="shared" si="16"/>
        <v>0.32715321191824742</v>
      </c>
      <c r="E344" s="2">
        <f t="shared" si="17"/>
        <v>0.1070292240684257</v>
      </c>
    </row>
    <row r="345" spans="1:5">
      <c r="A345" s="3">
        <v>73.5</v>
      </c>
      <c r="B345" s="2">
        <v>8.6</v>
      </c>
      <c r="C345">
        <f t="shared" si="15"/>
        <v>8.7271532119182478</v>
      </c>
      <c r="D345" s="2">
        <f t="shared" si="16"/>
        <v>0.12715321191824813</v>
      </c>
      <c r="E345" s="2">
        <f t="shared" si="17"/>
        <v>1.6167939301126918E-2</v>
      </c>
    </row>
    <row r="346" spans="1:5">
      <c r="A346" s="3">
        <v>73.5</v>
      </c>
      <c r="B346" s="2">
        <v>9</v>
      </c>
      <c r="C346">
        <f t="shared" si="15"/>
        <v>8.7271532119182478</v>
      </c>
      <c r="D346" s="2">
        <f t="shared" si="16"/>
        <v>-0.27284678808175222</v>
      </c>
      <c r="E346" s="2">
        <f t="shared" si="17"/>
        <v>7.4445369766528602E-2</v>
      </c>
    </row>
    <row r="347" spans="1:5">
      <c r="A347" s="3">
        <v>73.599999999999994</v>
      </c>
      <c r="B347" s="2">
        <v>8.4</v>
      </c>
      <c r="C347">
        <f t="shared" si="15"/>
        <v>8.7481151519091611</v>
      </c>
      <c r="D347" s="2">
        <f t="shared" si="16"/>
        <v>0.34811515190916076</v>
      </c>
      <c r="E347" s="2">
        <f t="shared" si="17"/>
        <v>0.12118415898873808</v>
      </c>
    </row>
    <row r="348" spans="1:5">
      <c r="A348" s="3">
        <v>73.599999999999994</v>
      </c>
      <c r="B348" s="2">
        <v>7.6</v>
      </c>
      <c r="C348">
        <f t="shared" si="15"/>
        <v>8.7481151519091611</v>
      </c>
      <c r="D348" s="2">
        <f t="shared" si="16"/>
        <v>1.1481151519091615</v>
      </c>
      <c r="E348" s="2">
        <f t="shared" si="17"/>
        <v>1.318168402043397</v>
      </c>
    </row>
    <row r="349" spans="1:5">
      <c r="A349" s="3">
        <v>73.599999999999994</v>
      </c>
      <c r="B349" s="2">
        <v>8</v>
      </c>
      <c r="C349">
        <f t="shared" si="15"/>
        <v>8.7481151519091611</v>
      </c>
      <c r="D349" s="2">
        <f t="shared" si="16"/>
        <v>0.74811515190916111</v>
      </c>
      <c r="E349" s="2">
        <f t="shared" si="17"/>
        <v>0.55967628051606721</v>
      </c>
    </row>
    <row r="350" spans="1:5">
      <c r="A350" s="3">
        <v>73.599999999999994</v>
      </c>
      <c r="B350" s="2">
        <v>7.7</v>
      </c>
      <c r="C350">
        <f t="shared" si="15"/>
        <v>8.7481151519091611</v>
      </c>
      <c r="D350" s="2">
        <f t="shared" si="16"/>
        <v>1.0481151519091609</v>
      </c>
      <c r="E350" s="2">
        <f t="shared" si="17"/>
        <v>1.0985453716615634</v>
      </c>
    </row>
    <row r="351" spans="1:5">
      <c r="A351" s="3">
        <v>73.599999999999994</v>
      </c>
      <c r="B351" s="2">
        <v>8.5</v>
      </c>
      <c r="C351">
        <f t="shared" si="15"/>
        <v>8.7481151519091611</v>
      </c>
      <c r="D351" s="2">
        <f t="shared" si="16"/>
        <v>0.24811515190916111</v>
      </c>
      <c r="E351" s="2">
        <f t="shared" si="17"/>
        <v>6.1561128606906095E-2</v>
      </c>
    </row>
    <row r="352" spans="1:5">
      <c r="A352" s="3">
        <v>73.599999999999994</v>
      </c>
      <c r="B352" s="2">
        <v>9.8000000000000007</v>
      </c>
      <c r="C352">
        <f t="shared" si="15"/>
        <v>8.7481151519091611</v>
      </c>
      <c r="D352" s="2">
        <f t="shared" si="16"/>
        <v>-1.0518848480908396</v>
      </c>
      <c r="E352" s="2">
        <f t="shared" si="17"/>
        <v>1.1064617336430886</v>
      </c>
    </row>
    <row r="353" spans="1:5">
      <c r="A353" s="3">
        <v>73.7</v>
      </c>
      <c r="B353" s="2">
        <v>9</v>
      </c>
      <c r="C353">
        <f t="shared" si="15"/>
        <v>8.769077091900078</v>
      </c>
      <c r="D353" s="2">
        <f t="shared" si="16"/>
        <v>-0.230922908099922</v>
      </c>
      <c r="E353" s="2">
        <f t="shared" si="17"/>
        <v>5.3325389485325017E-2</v>
      </c>
    </row>
    <row r="354" spans="1:5">
      <c r="A354" s="3">
        <v>73.7</v>
      </c>
      <c r="B354" s="2">
        <v>9.8000000000000007</v>
      </c>
      <c r="C354">
        <f t="shared" si="15"/>
        <v>8.769077091900078</v>
      </c>
      <c r="D354" s="2">
        <f t="shared" si="16"/>
        <v>-1.0309229080999227</v>
      </c>
      <c r="E354" s="2">
        <f t="shared" si="17"/>
        <v>1.0628020424452016</v>
      </c>
    </row>
    <row r="355" spans="1:5">
      <c r="A355" s="3">
        <v>73.8</v>
      </c>
      <c r="B355" s="2">
        <v>9.5</v>
      </c>
      <c r="C355">
        <f t="shared" si="15"/>
        <v>8.7900390318909913</v>
      </c>
      <c r="D355" s="2">
        <f t="shared" si="16"/>
        <v>-0.70996096810900866</v>
      </c>
      <c r="E355" s="2">
        <f t="shared" si="17"/>
        <v>0.50404457623828081</v>
      </c>
    </row>
    <row r="356" spans="1:5">
      <c r="A356" s="3">
        <v>74</v>
      </c>
      <c r="B356" s="2">
        <v>9.3000000000000007</v>
      </c>
      <c r="C356">
        <f t="shared" si="15"/>
        <v>8.8319629118728216</v>
      </c>
      <c r="D356" s="2">
        <f t="shared" si="16"/>
        <v>-0.46803708812717915</v>
      </c>
      <c r="E356" s="2">
        <f t="shared" si="17"/>
        <v>0.21905871586256886</v>
      </c>
    </row>
    <row r="357" spans="1:5">
      <c r="A357" s="3">
        <v>74</v>
      </c>
      <c r="B357" s="2">
        <v>10</v>
      </c>
      <c r="C357">
        <f t="shared" si="15"/>
        <v>8.8319629118728216</v>
      </c>
      <c r="D357" s="2">
        <f t="shared" si="16"/>
        <v>-1.1680370881271784</v>
      </c>
      <c r="E357" s="2">
        <f t="shared" si="17"/>
        <v>1.3643106392406179</v>
      </c>
    </row>
    <row r="358" spans="1:5">
      <c r="A358" s="3">
        <v>74</v>
      </c>
      <c r="B358" s="2">
        <v>8.6999999999999993</v>
      </c>
      <c r="C358">
        <f t="shared" si="15"/>
        <v>8.8319629118728216</v>
      </c>
      <c r="D358" s="2">
        <f t="shared" si="16"/>
        <v>0.13196291187282227</v>
      </c>
      <c r="E358" s="2">
        <f t="shared" si="17"/>
        <v>1.7414210109954257E-2</v>
      </c>
    </row>
    <row r="359" spans="1:5">
      <c r="A359" s="3">
        <v>74</v>
      </c>
      <c r="B359" s="2">
        <v>8</v>
      </c>
      <c r="C359">
        <f t="shared" si="15"/>
        <v>8.8319629118728216</v>
      </c>
      <c r="D359" s="2">
        <f t="shared" si="16"/>
        <v>0.83196291187282156</v>
      </c>
      <c r="E359" s="2">
        <f t="shared" si="17"/>
        <v>0.69216228673190427</v>
      </c>
    </row>
    <row r="360" spans="1:5">
      <c r="A360" s="3">
        <v>74.099999999999994</v>
      </c>
      <c r="B360" s="2">
        <v>9.6</v>
      </c>
      <c r="C360">
        <f t="shared" si="15"/>
        <v>8.8529248518637349</v>
      </c>
      <c r="D360" s="2">
        <f t="shared" si="16"/>
        <v>-0.74707514813626474</v>
      </c>
      <c r="E360" s="2">
        <f t="shared" si="17"/>
        <v>0.55812127696282188</v>
      </c>
    </row>
    <row r="361" spans="1:5">
      <c r="A361" s="3">
        <v>74.2</v>
      </c>
      <c r="B361" s="2">
        <v>8.1</v>
      </c>
      <c r="C361">
        <f t="shared" si="15"/>
        <v>8.8738867918546518</v>
      </c>
      <c r="D361" s="2">
        <f t="shared" si="16"/>
        <v>0.77388679185465215</v>
      </c>
      <c r="E361" s="2">
        <f t="shared" si="17"/>
        <v>0.59890076660708569</v>
      </c>
    </row>
    <row r="362" spans="1:5">
      <c r="A362" s="3">
        <v>74.2</v>
      </c>
      <c r="B362" s="2">
        <v>8.9</v>
      </c>
      <c r="C362">
        <f t="shared" si="15"/>
        <v>8.8738867918546518</v>
      </c>
      <c r="D362" s="2">
        <f t="shared" si="16"/>
        <v>-2.6113208145348565E-2</v>
      </c>
      <c r="E362" s="2">
        <f t="shared" si="17"/>
        <v>6.8189963964229868E-4</v>
      </c>
    </row>
    <row r="363" spans="1:5">
      <c r="A363" s="3">
        <v>74.3</v>
      </c>
      <c r="B363" s="2">
        <v>8.3000000000000007</v>
      </c>
      <c r="C363">
        <f t="shared" si="15"/>
        <v>8.8948487318455651</v>
      </c>
      <c r="D363" s="2">
        <f t="shared" si="16"/>
        <v>0.59484873184556442</v>
      </c>
      <c r="E363" s="2">
        <f t="shared" si="17"/>
        <v>0.35384501377827621</v>
      </c>
    </row>
    <row r="364" spans="1:5">
      <c r="A364" s="3">
        <v>74.400000000000006</v>
      </c>
      <c r="B364" s="2">
        <v>9.6999999999999993</v>
      </c>
      <c r="C364">
        <f t="shared" si="15"/>
        <v>8.9158106718364802</v>
      </c>
      <c r="D364" s="2">
        <f t="shared" si="16"/>
        <v>-0.78418932816351905</v>
      </c>
      <c r="E364" s="2">
        <f t="shared" si="17"/>
        <v>0.61495290240555134</v>
      </c>
    </row>
    <row r="365" spans="1:5">
      <c r="A365" s="3">
        <v>74.599999999999994</v>
      </c>
      <c r="B365" s="2">
        <v>7.8</v>
      </c>
      <c r="C365">
        <f t="shared" si="15"/>
        <v>8.9577345518183087</v>
      </c>
      <c r="D365" s="2">
        <f t="shared" si="16"/>
        <v>1.1577345518183089</v>
      </c>
      <c r="E365" s="2">
        <f t="shared" si="17"/>
        <v>1.3403492924739404</v>
      </c>
    </row>
    <row r="366" spans="1:5">
      <c r="A366" s="3">
        <v>74.599999999999994</v>
      </c>
      <c r="B366" s="2">
        <v>9.6</v>
      </c>
      <c r="C366">
        <f t="shared" si="15"/>
        <v>8.9577345518183087</v>
      </c>
      <c r="D366" s="2">
        <f t="shared" si="16"/>
        <v>-0.64226544818169096</v>
      </c>
      <c r="E366" s="2">
        <f t="shared" si="17"/>
        <v>0.41250490592802835</v>
      </c>
    </row>
    <row r="367" spans="1:5">
      <c r="A367" s="3">
        <v>74.7</v>
      </c>
      <c r="B367" s="2">
        <v>8.1</v>
      </c>
      <c r="C367">
        <f t="shared" si="15"/>
        <v>8.9786964918092238</v>
      </c>
      <c r="D367" s="2">
        <f t="shared" si="16"/>
        <v>0.87869649180922416</v>
      </c>
      <c r="E367" s="2">
        <f t="shared" si="17"/>
        <v>0.77210752471783795</v>
      </c>
    </row>
    <row r="368" spans="1:5">
      <c r="A368" s="3">
        <v>74.7</v>
      </c>
      <c r="B368" s="2">
        <v>8.4</v>
      </c>
      <c r="C368">
        <f t="shared" si="15"/>
        <v>8.9786964918092238</v>
      </c>
      <c r="D368" s="2">
        <f t="shared" si="16"/>
        <v>0.57869649180922345</v>
      </c>
      <c r="E368" s="2">
        <f t="shared" si="17"/>
        <v>0.33488962963230262</v>
      </c>
    </row>
    <row r="369" spans="1:5">
      <c r="A369" s="3">
        <v>74.8</v>
      </c>
      <c r="B369" s="2">
        <v>9.8000000000000007</v>
      </c>
      <c r="C369">
        <f t="shared" si="15"/>
        <v>8.9996584318001371</v>
      </c>
      <c r="D369" s="2">
        <f t="shared" si="16"/>
        <v>-0.80034156819986357</v>
      </c>
      <c r="E369" s="2">
        <f t="shared" si="17"/>
        <v>0.64054662578861687</v>
      </c>
    </row>
    <row r="370" spans="1:5">
      <c r="A370" s="3">
        <v>74.8</v>
      </c>
      <c r="B370" s="2">
        <v>9</v>
      </c>
      <c r="C370">
        <f t="shared" si="15"/>
        <v>8.9996584318001371</v>
      </c>
      <c r="D370" s="2">
        <f t="shared" si="16"/>
        <v>-3.415681998628628E-4</v>
      </c>
      <c r="E370" s="2">
        <f t="shared" si="17"/>
        <v>1.1666883515755658E-7</v>
      </c>
    </row>
    <row r="371" spans="1:5">
      <c r="A371" s="3">
        <v>74.8</v>
      </c>
      <c r="B371" s="2">
        <v>10</v>
      </c>
      <c r="C371">
        <f t="shared" si="15"/>
        <v>8.9996584318001371</v>
      </c>
      <c r="D371" s="2">
        <f t="shared" si="16"/>
        <v>-1.0003415681998629</v>
      </c>
      <c r="E371" s="2">
        <f t="shared" si="17"/>
        <v>1.000683253068561</v>
      </c>
    </row>
    <row r="372" spans="1:5">
      <c r="A372" s="3">
        <v>74.8</v>
      </c>
      <c r="B372" s="2">
        <v>9.4</v>
      </c>
      <c r="C372">
        <f t="shared" si="15"/>
        <v>8.9996584318001371</v>
      </c>
      <c r="D372" s="2">
        <f t="shared" si="16"/>
        <v>-0.40034156819986322</v>
      </c>
      <c r="E372" s="2">
        <f t="shared" si="17"/>
        <v>0.16027337122872573</v>
      </c>
    </row>
    <row r="373" spans="1:5">
      <c r="A373" s="3">
        <v>74.8</v>
      </c>
      <c r="B373" s="2">
        <v>9.1999999999999993</v>
      </c>
      <c r="C373">
        <f t="shared" si="15"/>
        <v>8.9996584318001371</v>
      </c>
      <c r="D373" s="2">
        <f t="shared" si="16"/>
        <v>-0.20034156819986215</v>
      </c>
      <c r="E373" s="2">
        <f t="shared" si="17"/>
        <v>4.0136743948780015E-2</v>
      </c>
    </row>
    <row r="374" spans="1:5">
      <c r="A374" s="3">
        <v>74.8</v>
      </c>
      <c r="B374" s="2">
        <v>8.4</v>
      </c>
      <c r="C374">
        <f t="shared" si="15"/>
        <v>8.9996584318001371</v>
      </c>
      <c r="D374" s="2">
        <f t="shared" si="16"/>
        <v>0.59965843180013678</v>
      </c>
      <c r="E374" s="2">
        <f t="shared" si="17"/>
        <v>0.35959023482899932</v>
      </c>
    </row>
    <row r="375" spans="1:5">
      <c r="A375" s="3">
        <v>74.900000000000006</v>
      </c>
      <c r="B375" s="2">
        <v>9</v>
      </c>
      <c r="C375">
        <f t="shared" si="15"/>
        <v>9.020620371791054</v>
      </c>
      <c r="D375" s="2">
        <f t="shared" si="16"/>
        <v>2.0620371791054026E-2</v>
      </c>
      <c r="E375" s="2">
        <f t="shared" si="17"/>
        <v>4.2519973280129661E-4</v>
      </c>
    </row>
    <row r="376" spans="1:5">
      <c r="A376" s="3">
        <v>75</v>
      </c>
      <c r="B376" s="2">
        <v>9.4</v>
      </c>
      <c r="C376">
        <f t="shared" si="15"/>
        <v>9.0415823117819674</v>
      </c>
      <c r="D376" s="2">
        <f t="shared" si="16"/>
        <v>-0.35841768821803299</v>
      </c>
      <c r="E376" s="2">
        <f t="shared" si="17"/>
        <v>0.12846323922755912</v>
      </c>
    </row>
    <row r="377" spans="1:5">
      <c r="A377" s="3">
        <v>75</v>
      </c>
      <c r="B377" s="2">
        <v>8.4</v>
      </c>
      <c r="C377">
        <f t="shared" si="15"/>
        <v>9.0415823117819674</v>
      </c>
      <c r="D377" s="2">
        <f t="shared" si="16"/>
        <v>0.64158231178196701</v>
      </c>
      <c r="E377" s="2">
        <f t="shared" si="17"/>
        <v>0.4116278627914931</v>
      </c>
    </row>
    <row r="378" spans="1:5">
      <c r="A378" s="3">
        <v>75</v>
      </c>
      <c r="B378" s="2">
        <v>9.8000000000000007</v>
      </c>
      <c r="C378">
        <f t="shared" si="15"/>
        <v>9.0415823117819674</v>
      </c>
      <c r="D378" s="2">
        <f t="shared" si="16"/>
        <v>-0.75841768821803335</v>
      </c>
      <c r="E378" s="2">
        <f t="shared" si="17"/>
        <v>0.57519738980198609</v>
      </c>
    </row>
    <row r="379" spans="1:5">
      <c r="A379" s="3">
        <v>75</v>
      </c>
      <c r="B379" s="2">
        <v>9.1</v>
      </c>
      <c r="C379">
        <f t="shared" si="15"/>
        <v>9.0415823117819674</v>
      </c>
      <c r="D379" s="2">
        <f t="shared" si="16"/>
        <v>-5.8417688218032282E-2</v>
      </c>
      <c r="E379" s="2">
        <f t="shared" si="17"/>
        <v>3.4126262967392276E-3</v>
      </c>
    </row>
    <row r="380" spans="1:5">
      <c r="A380" s="3">
        <v>75</v>
      </c>
      <c r="B380" s="2">
        <v>8.3000000000000007</v>
      </c>
      <c r="C380">
        <f t="shared" si="15"/>
        <v>9.0415823117819674</v>
      </c>
      <c r="D380" s="2">
        <f t="shared" si="16"/>
        <v>0.74158231178196665</v>
      </c>
      <c r="E380" s="2">
        <f t="shared" si="17"/>
        <v>0.54994432514788605</v>
      </c>
    </row>
    <row r="381" spans="1:5">
      <c r="A381" s="3">
        <v>75</v>
      </c>
      <c r="B381" s="2">
        <v>7.4</v>
      </c>
      <c r="C381">
        <f t="shared" si="15"/>
        <v>9.0415823117819674</v>
      </c>
      <c r="D381" s="2">
        <f t="shared" si="16"/>
        <v>1.641582311781967</v>
      </c>
      <c r="E381" s="2">
        <f t="shared" si="17"/>
        <v>2.6947924863554271</v>
      </c>
    </row>
    <row r="382" spans="1:5">
      <c r="A382" s="3">
        <v>75.099999999999994</v>
      </c>
      <c r="B382" s="2">
        <v>9.1999999999999993</v>
      </c>
      <c r="C382">
        <f t="shared" si="15"/>
        <v>9.0625442517728807</v>
      </c>
      <c r="D382" s="2">
        <f t="shared" si="16"/>
        <v>-0.13745574822711859</v>
      </c>
      <c r="E382" s="2">
        <f t="shared" si="17"/>
        <v>1.8894082720677014E-2</v>
      </c>
    </row>
    <row r="383" spans="1:5">
      <c r="A383" s="3">
        <v>75.099999999999994</v>
      </c>
      <c r="B383" s="2">
        <v>8.1</v>
      </c>
      <c r="C383">
        <f t="shared" si="15"/>
        <v>9.0625442517728807</v>
      </c>
      <c r="D383" s="2">
        <f t="shared" si="16"/>
        <v>0.96254425177288105</v>
      </c>
      <c r="E383" s="2">
        <f t="shared" si="17"/>
        <v>0.92649143662101541</v>
      </c>
    </row>
    <row r="384" spans="1:5">
      <c r="A384" s="3">
        <v>75.099999999999994</v>
      </c>
      <c r="B384" s="2">
        <v>8.4</v>
      </c>
      <c r="C384">
        <f t="shared" si="15"/>
        <v>9.0625442517728807</v>
      </c>
      <c r="D384" s="2">
        <f t="shared" si="16"/>
        <v>0.66254425177288034</v>
      </c>
      <c r="E384" s="2">
        <f t="shared" si="17"/>
        <v>0.43896488555728586</v>
      </c>
    </row>
    <row r="385" spans="1:5">
      <c r="A385" s="3">
        <v>75.099999999999994</v>
      </c>
      <c r="B385" s="2">
        <v>9.1999999999999993</v>
      </c>
      <c r="C385">
        <f t="shared" si="15"/>
        <v>9.0625442517728807</v>
      </c>
      <c r="D385" s="2">
        <f t="shared" si="16"/>
        <v>-0.13745574822711859</v>
      </c>
      <c r="E385" s="2">
        <f t="shared" si="17"/>
        <v>1.8894082720677014E-2</v>
      </c>
    </row>
    <row r="386" spans="1:5">
      <c r="A386" s="3">
        <v>75.2</v>
      </c>
      <c r="B386" s="2">
        <v>8.8000000000000007</v>
      </c>
      <c r="C386">
        <f t="shared" si="15"/>
        <v>9.0835061917637976</v>
      </c>
      <c r="D386" s="2">
        <f t="shared" si="16"/>
        <v>0.28350619176379688</v>
      </c>
      <c r="E386" s="2">
        <f t="shared" si="17"/>
        <v>8.037576076841077E-2</v>
      </c>
    </row>
    <row r="387" spans="1:5">
      <c r="A387" s="3">
        <v>75.2</v>
      </c>
      <c r="B387" s="2">
        <v>9.9</v>
      </c>
      <c r="C387">
        <f t="shared" ref="C387:C450" si="18">$K$4*A387+$K$5</f>
        <v>9.0835061917637976</v>
      </c>
      <c r="D387" s="2">
        <f t="shared" ref="D387:D450" si="19">C387-B387</f>
        <v>-0.81649380823620277</v>
      </c>
      <c r="E387" s="2">
        <f t="shared" ref="E387:E450" si="20">D387^2</f>
        <v>0.66666213888805703</v>
      </c>
    </row>
    <row r="388" spans="1:5">
      <c r="A388" s="3">
        <v>75.2</v>
      </c>
      <c r="B388" s="2">
        <v>9.9</v>
      </c>
      <c r="C388">
        <f t="shared" si="18"/>
        <v>9.0835061917637976</v>
      </c>
      <c r="D388" s="2">
        <f t="shared" si="19"/>
        <v>-0.81649380823620277</v>
      </c>
      <c r="E388" s="2">
        <f t="shared" si="20"/>
        <v>0.66666213888805703</v>
      </c>
    </row>
    <row r="389" spans="1:5">
      <c r="A389" s="3">
        <v>75.2</v>
      </c>
      <c r="B389" s="2">
        <v>7</v>
      </c>
      <c r="C389">
        <f t="shared" si="18"/>
        <v>9.0835061917637976</v>
      </c>
      <c r="D389" s="2">
        <f t="shared" si="19"/>
        <v>2.0835061917637976</v>
      </c>
      <c r="E389" s="2">
        <f t="shared" si="20"/>
        <v>4.3409980511180821</v>
      </c>
    </row>
    <row r="390" spans="1:5">
      <c r="A390" s="3">
        <v>75.2</v>
      </c>
      <c r="B390" s="2">
        <v>9.6</v>
      </c>
      <c r="C390">
        <f t="shared" si="18"/>
        <v>9.0835061917637976</v>
      </c>
      <c r="D390" s="2">
        <f t="shared" si="19"/>
        <v>-0.51649380823620206</v>
      </c>
      <c r="E390" s="2">
        <f t="shared" si="20"/>
        <v>0.26676585394633467</v>
      </c>
    </row>
    <row r="391" spans="1:5">
      <c r="A391" s="3">
        <v>75.2</v>
      </c>
      <c r="B391" s="2">
        <v>8.5</v>
      </c>
      <c r="C391">
        <f t="shared" si="18"/>
        <v>9.0835061917637976</v>
      </c>
      <c r="D391" s="2">
        <f t="shared" si="19"/>
        <v>0.58350619176379759</v>
      </c>
      <c r="E391" s="2">
        <f t="shared" si="20"/>
        <v>0.34047947582668975</v>
      </c>
    </row>
    <row r="392" spans="1:5">
      <c r="A392" s="3">
        <v>75.3</v>
      </c>
      <c r="B392" s="2">
        <v>8.9</v>
      </c>
      <c r="C392">
        <f t="shared" si="18"/>
        <v>9.1044681317547109</v>
      </c>
      <c r="D392" s="2">
        <f t="shared" si="19"/>
        <v>0.20446813175471057</v>
      </c>
      <c r="E392" s="2">
        <f t="shared" si="20"/>
        <v>4.1807216903261682E-2</v>
      </c>
    </row>
    <row r="393" spans="1:5">
      <c r="A393" s="3">
        <v>75.3</v>
      </c>
      <c r="B393" s="2">
        <v>9.3000000000000007</v>
      </c>
      <c r="C393">
        <f t="shared" si="18"/>
        <v>9.1044681317547109</v>
      </c>
      <c r="D393" s="2">
        <f t="shared" si="19"/>
        <v>-0.19553186824528979</v>
      </c>
      <c r="E393" s="2">
        <f t="shared" si="20"/>
        <v>3.8232711499493366E-2</v>
      </c>
    </row>
    <row r="394" spans="1:5">
      <c r="A394" s="3">
        <v>75.3</v>
      </c>
      <c r="B394" s="2">
        <v>9.1</v>
      </c>
      <c r="C394">
        <f t="shared" si="18"/>
        <v>9.1044681317547109</v>
      </c>
      <c r="D394" s="2">
        <f t="shared" si="19"/>
        <v>4.4681317547112798E-3</v>
      </c>
      <c r="E394" s="2">
        <f t="shared" si="20"/>
        <v>1.9964201377459302E-5</v>
      </c>
    </row>
    <row r="395" spans="1:5">
      <c r="A395" s="3">
        <v>75.400000000000006</v>
      </c>
      <c r="B395" s="2">
        <v>9.6</v>
      </c>
      <c r="C395">
        <f t="shared" si="18"/>
        <v>9.1254300717456278</v>
      </c>
      <c r="D395" s="2">
        <f t="shared" si="19"/>
        <v>-0.47456992825437183</v>
      </c>
      <c r="E395" s="2">
        <f t="shared" si="20"/>
        <v>0.22521661680335964</v>
      </c>
    </row>
    <row r="396" spans="1:5">
      <c r="A396" s="3">
        <v>75.5</v>
      </c>
      <c r="B396" s="2">
        <v>9.5</v>
      </c>
      <c r="C396">
        <f t="shared" si="18"/>
        <v>9.1463920117365411</v>
      </c>
      <c r="D396" s="2">
        <f t="shared" si="19"/>
        <v>-0.35360798826345885</v>
      </c>
      <c r="E396" s="2">
        <f t="shared" si="20"/>
        <v>0.12503860936373046</v>
      </c>
    </row>
    <row r="397" spans="1:5">
      <c r="A397" s="3">
        <v>75.5</v>
      </c>
      <c r="B397" s="2">
        <v>9.1999999999999993</v>
      </c>
      <c r="C397">
        <f t="shared" si="18"/>
        <v>9.1463920117365411</v>
      </c>
      <c r="D397" s="2">
        <f t="shared" si="19"/>
        <v>-5.3607988263458139E-2</v>
      </c>
      <c r="E397" s="2">
        <f t="shared" si="20"/>
        <v>2.8738164056550655E-3</v>
      </c>
    </row>
    <row r="398" spans="1:5">
      <c r="A398" s="3">
        <v>75.5</v>
      </c>
      <c r="B398" s="2">
        <v>8.6</v>
      </c>
      <c r="C398">
        <f t="shared" si="18"/>
        <v>9.1463920117365411</v>
      </c>
      <c r="D398" s="2">
        <f t="shared" si="19"/>
        <v>0.54639201173654151</v>
      </c>
      <c r="E398" s="2">
        <f t="shared" si="20"/>
        <v>0.2985442304895049</v>
      </c>
    </row>
    <row r="399" spans="1:5">
      <c r="A399" s="3">
        <v>75.599999999999994</v>
      </c>
      <c r="B399" s="2">
        <v>9.5</v>
      </c>
      <c r="C399">
        <f t="shared" si="18"/>
        <v>9.1673539517274545</v>
      </c>
      <c r="D399" s="2">
        <f t="shared" si="19"/>
        <v>-0.33264604827254551</v>
      </c>
      <c r="E399" s="2">
        <f t="shared" si="20"/>
        <v>0.11065339343134067</v>
      </c>
    </row>
    <row r="400" spans="1:5">
      <c r="A400" s="3">
        <v>75.599999999999994</v>
      </c>
      <c r="B400" s="2">
        <v>8.4</v>
      </c>
      <c r="C400">
        <f t="shared" si="18"/>
        <v>9.1673539517274545</v>
      </c>
      <c r="D400" s="2">
        <f t="shared" si="19"/>
        <v>0.76735395172745413</v>
      </c>
      <c r="E400" s="2">
        <f t="shared" si="20"/>
        <v>0.58883208723173996</v>
      </c>
    </row>
    <row r="401" spans="1:5">
      <c r="A401" s="3">
        <v>75.599999999999994</v>
      </c>
      <c r="B401" s="2">
        <v>9.1</v>
      </c>
      <c r="C401">
        <f t="shared" si="18"/>
        <v>9.1673539517274545</v>
      </c>
      <c r="D401" s="2">
        <f t="shared" si="19"/>
        <v>6.7353951727454842E-2</v>
      </c>
      <c r="E401" s="2">
        <f t="shared" si="20"/>
        <v>4.5365548133043171E-3</v>
      </c>
    </row>
    <row r="402" spans="1:5">
      <c r="A402" s="3">
        <v>75.599999999999994</v>
      </c>
      <c r="B402" s="2">
        <v>8.1999999999999993</v>
      </c>
      <c r="C402">
        <f t="shared" si="18"/>
        <v>9.1673539517274545</v>
      </c>
      <c r="D402" s="2">
        <f t="shared" si="19"/>
        <v>0.9673539517274552</v>
      </c>
      <c r="E402" s="2">
        <f t="shared" si="20"/>
        <v>0.93577366792272376</v>
      </c>
    </row>
    <row r="403" spans="1:5">
      <c r="A403" s="3">
        <v>75.7</v>
      </c>
      <c r="B403" s="2">
        <v>7.6</v>
      </c>
      <c r="C403">
        <f t="shared" si="18"/>
        <v>9.1883158917183714</v>
      </c>
      <c r="D403" s="2">
        <f t="shared" si="19"/>
        <v>1.5883158917183717</v>
      </c>
      <c r="E403" s="2">
        <f t="shared" si="20"/>
        <v>2.5227473718851265</v>
      </c>
    </row>
    <row r="404" spans="1:5">
      <c r="A404" s="3">
        <v>75.7</v>
      </c>
      <c r="B404" s="2">
        <v>8.9</v>
      </c>
      <c r="C404">
        <f t="shared" si="18"/>
        <v>9.1883158917183714</v>
      </c>
      <c r="D404" s="2">
        <f t="shared" si="19"/>
        <v>0.28831589171837102</v>
      </c>
      <c r="E404" s="2">
        <f t="shared" si="20"/>
        <v>8.3126053417359444E-2</v>
      </c>
    </row>
    <row r="405" spans="1:5">
      <c r="A405" s="3">
        <v>75.900000000000006</v>
      </c>
      <c r="B405" s="2">
        <v>8.9</v>
      </c>
      <c r="C405">
        <f t="shared" si="18"/>
        <v>9.2302397717001998</v>
      </c>
      <c r="D405" s="2">
        <f t="shared" si="19"/>
        <v>0.33023977170019947</v>
      </c>
      <c r="E405" s="2">
        <f t="shared" si="20"/>
        <v>0.10905830681259987</v>
      </c>
    </row>
    <row r="406" spans="1:5">
      <c r="A406" s="3">
        <v>75.900000000000006</v>
      </c>
      <c r="B406" s="2">
        <v>9.5</v>
      </c>
      <c r="C406">
        <f t="shared" si="18"/>
        <v>9.2302397717001998</v>
      </c>
      <c r="D406" s="2">
        <f t="shared" si="19"/>
        <v>-0.26976022829980018</v>
      </c>
      <c r="E406" s="2">
        <f t="shared" si="20"/>
        <v>7.2770580772360316E-2</v>
      </c>
    </row>
    <row r="407" spans="1:5">
      <c r="A407" s="3">
        <v>76</v>
      </c>
      <c r="B407" s="2">
        <v>8.1999999999999993</v>
      </c>
      <c r="C407">
        <f t="shared" si="18"/>
        <v>9.2512017116911132</v>
      </c>
      <c r="D407" s="2">
        <f t="shared" si="19"/>
        <v>1.0512017116911139</v>
      </c>
      <c r="E407" s="2">
        <f t="shared" si="20"/>
        <v>1.1050250386623277</v>
      </c>
    </row>
    <row r="408" spans="1:5">
      <c r="A408" s="3">
        <v>76.099999999999994</v>
      </c>
      <c r="B408" s="2">
        <v>9</v>
      </c>
      <c r="C408">
        <f t="shared" si="18"/>
        <v>9.2721636516820265</v>
      </c>
      <c r="D408" s="2">
        <f t="shared" si="19"/>
        <v>0.2721636516820265</v>
      </c>
      <c r="E408" s="2">
        <f t="shared" si="20"/>
        <v>7.4073053296895439E-2</v>
      </c>
    </row>
    <row r="409" spans="1:5">
      <c r="A409" s="3">
        <v>76.099999999999994</v>
      </c>
      <c r="B409" s="2">
        <v>8.9</v>
      </c>
      <c r="C409">
        <f t="shared" si="18"/>
        <v>9.2721636516820265</v>
      </c>
      <c r="D409" s="2">
        <f t="shared" si="19"/>
        <v>0.37216365168202614</v>
      </c>
      <c r="E409" s="2">
        <f t="shared" si="20"/>
        <v>0.13850578363330049</v>
      </c>
    </row>
    <row r="410" spans="1:5">
      <c r="A410" s="3">
        <v>76.099999999999994</v>
      </c>
      <c r="B410" s="2">
        <v>9.8000000000000007</v>
      </c>
      <c r="C410">
        <f t="shared" si="18"/>
        <v>9.2721636516820265</v>
      </c>
      <c r="D410" s="2">
        <f t="shared" si="19"/>
        <v>-0.52783634831797421</v>
      </c>
      <c r="E410" s="2">
        <f t="shared" si="20"/>
        <v>0.2786112106056538</v>
      </c>
    </row>
    <row r="411" spans="1:5">
      <c r="A411" s="3">
        <v>76.099999999999994</v>
      </c>
      <c r="B411" s="2">
        <v>9.1999999999999993</v>
      </c>
      <c r="C411">
        <f t="shared" si="18"/>
        <v>9.2721636516820265</v>
      </c>
      <c r="D411" s="2">
        <f t="shared" si="19"/>
        <v>7.2163651682027208E-2</v>
      </c>
      <c r="E411" s="2">
        <f t="shared" si="20"/>
        <v>5.2075926240849483E-3</v>
      </c>
    </row>
    <row r="412" spans="1:5">
      <c r="A412" s="3">
        <v>76.2</v>
      </c>
      <c r="B412" s="2">
        <v>9.4</v>
      </c>
      <c r="C412">
        <f t="shared" si="18"/>
        <v>9.2931255916729434</v>
      </c>
      <c r="D412" s="2">
        <f t="shared" si="19"/>
        <v>-0.10687440832705697</v>
      </c>
      <c r="E412" s="2">
        <f t="shared" si="20"/>
        <v>1.1422139155258504E-2</v>
      </c>
    </row>
    <row r="413" spans="1:5">
      <c r="A413" s="3">
        <v>76.2</v>
      </c>
      <c r="B413" s="2">
        <v>8.5</v>
      </c>
      <c r="C413">
        <f t="shared" si="18"/>
        <v>9.2931255916729434</v>
      </c>
      <c r="D413" s="2">
        <f t="shared" si="19"/>
        <v>0.79312559167294339</v>
      </c>
      <c r="E413" s="2">
        <f t="shared" si="20"/>
        <v>0.62904820416655649</v>
      </c>
    </row>
    <row r="414" spans="1:5">
      <c r="A414" s="3">
        <v>76.3</v>
      </c>
      <c r="B414" s="2">
        <v>10.4</v>
      </c>
      <c r="C414">
        <f t="shared" si="18"/>
        <v>9.3140875316638567</v>
      </c>
      <c r="D414" s="2">
        <f t="shared" si="19"/>
        <v>-1.0859124683361436</v>
      </c>
      <c r="E414" s="2">
        <f t="shared" si="20"/>
        <v>1.1792058888878962</v>
      </c>
    </row>
    <row r="415" spans="1:5">
      <c r="A415" s="3">
        <v>76.3</v>
      </c>
      <c r="B415" s="2">
        <v>10</v>
      </c>
      <c r="C415">
        <f t="shared" si="18"/>
        <v>9.3140875316638567</v>
      </c>
      <c r="D415" s="2">
        <f t="shared" si="19"/>
        <v>-0.68591246833614328</v>
      </c>
      <c r="E415" s="2">
        <f t="shared" si="20"/>
        <v>0.47047591421898077</v>
      </c>
    </row>
    <row r="416" spans="1:5">
      <c r="A416" s="3">
        <v>76.400000000000006</v>
      </c>
      <c r="B416" s="2">
        <v>8.6999999999999993</v>
      </c>
      <c r="C416">
        <f t="shared" si="18"/>
        <v>9.3350494716547718</v>
      </c>
      <c r="D416" s="2">
        <f t="shared" si="19"/>
        <v>0.63504947165477255</v>
      </c>
      <c r="E416" s="2">
        <f t="shared" si="20"/>
        <v>0.40328783144900576</v>
      </c>
    </row>
    <row r="417" spans="1:5">
      <c r="A417" s="3">
        <v>76.5</v>
      </c>
      <c r="B417" s="2">
        <v>8.9</v>
      </c>
      <c r="C417">
        <f t="shared" si="18"/>
        <v>9.3560114116456869</v>
      </c>
      <c r="D417" s="2">
        <f t="shared" si="19"/>
        <v>0.45601141164568659</v>
      </c>
      <c r="E417" s="2">
        <f t="shared" si="20"/>
        <v>0.20794640755109184</v>
      </c>
    </row>
    <row r="418" spans="1:5">
      <c r="A418" s="3">
        <v>76.599999999999994</v>
      </c>
      <c r="B418" s="2">
        <v>11.9</v>
      </c>
      <c r="C418">
        <f t="shared" si="18"/>
        <v>9.3769733516366021</v>
      </c>
      <c r="D418" s="2">
        <f t="shared" si="19"/>
        <v>-2.5230266483633983</v>
      </c>
      <c r="E418" s="2">
        <f t="shared" si="20"/>
        <v>6.3656634683518432</v>
      </c>
    </row>
    <row r="419" spans="1:5">
      <c r="A419" s="3">
        <v>76.599999999999994</v>
      </c>
      <c r="B419" s="2">
        <v>8.9</v>
      </c>
      <c r="C419">
        <f t="shared" si="18"/>
        <v>9.3769733516366021</v>
      </c>
      <c r="D419" s="2">
        <f t="shared" si="19"/>
        <v>0.47697335163660171</v>
      </c>
      <c r="E419" s="2">
        <f t="shared" si="20"/>
        <v>0.22750357817145331</v>
      </c>
    </row>
    <row r="420" spans="1:5">
      <c r="A420" s="3">
        <v>76.7</v>
      </c>
      <c r="B420" s="2">
        <v>7.8</v>
      </c>
      <c r="C420">
        <f t="shared" si="18"/>
        <v>9.3979352916275172</v>
      </c>
      <c r="D420" s="2">
        <f t="shared" si="19"/>
        <v>1.5979352916275174</v>
      </c>
      <c r="E420" s="2">
        <f t="shared" si="20"/>
        <v>2.553397196228719</v>
      </c>
    </row>
    <row r="421" spans="1:5">
      <c r="A421" s="3">
        <v>76.8</v>
      </c>
      <c r="B421" s="2">
        <v>10.3</v>
      </c>
      <c r="C421">
        <f t="shared" si="18"/>
        <v>9.4188972316184287</v>
      </c>
      <c r="D421" s="2">
        <f t="shared" si="19"/>
        <v>-0.88110276838157198</v>
      </c>
      <c r="E421" s="2">
        <f t="shared" si="20"/>
        <v>0.77634208844967012</v>
      </c>
    </row>
    <row r="422" spans="1:5">
      <c r="A422" s="3">
        <v>76.8</v>
      </c>
      <c r="B422" s="2">
        <v>11</v>
      </c>
      <c r="C422">
        <f t="shared" si="18"/>
        <v>9.4188972316184287</v>
      </c>
      <c r="D422" s="2">
        <f t="shared" si="19"/>
        <v>-1.5811027683815713</v>
      </c>
      <c r="E422" s="2">
        <f t="shared" si="20"/>
        <v>2.4998859641838687</v>
      </c>
    </row>
    <row r="423" spans="1:5">
      <c r="A423" s="3">
        <v>76.8</v>
      </c>
      <c r="B423" s="2">
        <v>9</v>
      </c>
      <c r="C423">
        <f t="shared" si="18"/>
        <v>9.4188972316184287</v>
      </c>
      <c r="D423" s="2">
        <f t="shared" si="19"/>
        <v>0.41889723161842873</v>
      </c>
      <c r="E423" s="2">
        <f t="shared" si="20"/>
        <v>0.17547489065758354</v>
      </c>
    </row>
    <row r="424" spans="1:5">
      <c r="A424" s="3">
        <v>76.900000000000006</v>
      </c>
      <c r="B424" s="2">
        <v>10.199999999999999</v>
      </c>
      <c r="C424">
        <f t="shared" si="18"/>
        <v>9.4398591716093474</v>
      </c>
      <c r="D424" s="2">
        <f t="shared" si="19"/>
        <v>-0.76014082839065189</v>
      </c>
      <c r="E424" s="2">
        <f t="shared" si="20"/>
        <v>0.57781407898642645</v>
      </c>
    </row>
    <row r="425" spans="1:5">
      <c r="A425" s="3">
        <v>76.900000000000006</v>
      </c>
      <c r="B425" s="2">
        <v>9.6</v>
      </c>
      <c r="C425">
        <f t="shared" si="18"/>
        <v>9.4398591716093474</v>
      </c>
      <c r="D425" s="2">
        <f t="shared" si="19"/>
        <v>-0.16014082839065225</v>
      </c>
      <c r="E425" s="2">
        <f t="shared" si="20"/>
        <v>2.5645084917644331E-2</v>
      </c>
    </row>
    <row r="426" spans="1:5">
      <c r="A426" s="3">
        <v>76.900000000000006</v>
      </c>
      <c r="B426" s="2">
        <v>9.5</v>
      </c>
      <c r="C426">
        <f t="shared" si="18"/>
        <v>9.4398591716093474</v>
      </c>
      <c r="D426" s="2">
        <f t="shared" si="19"/>
        <v>-6.0140828390652601E-2</v>
      </c>
      <c r="E426" s="2">
        <f t="shared" si="20"/>
        <v>3.6169192395139257E-3</v>
      </c>
    </row>
    <row r="427" spans="1:5">
      <c r="A427" s="3">
        <v>77</v>
      </c>
      <c r="B427" s="2">
        <v>9.4</v>
      </c>
      <c r="C427">
        <f t="shared" si="18"/>
        <v>9.460821111600259</v>
      </c>
      <c r="D427" s="2">
        <f t="shared" si="19"/>
        <v>6.0821111600258604E-2</v>
      </c>
      <c r="E427" s="2">
        <f t="shared" si="20"/>
        <v>3.6992076162911118E-3</v>
      </c>
    </row>
    <row r="428" spans="1:5">
      <c r="A428" s="3">
        <v>77</v>
      </c>
      <c r="B428" s="2">
        <v>10.199999999999999</v>
      </c>
      <c r="C428">
        <f t="shared" si="18"/>
        <v>9.460821111600259</v>
      </c>
      <c r="D428" s="2">
        <f t="shared" si="19"/>
        <v>-0.73917888839974033</v>
      </c>
      <c r="E428" s="2">
        <f t="shared" si="20"/>
        <v>0.54638542905587573</v>
      </c>
    </row>
    <row r="429" spans="1:5">
      <c r="A429" s="3">
        <v>77</v>
      </c>
      <c r="B429" s="2">
        <v>10</v>
      </c>
      <c r="C429">
        <f t="shared" si="18"/>
        <v>9.460821111600259</v>
      </c>
      <c r="D429" s="2">
        <f t="shared" si="19"/>
        <v>-0.53917888839974104</v>
      </c>
      <c r="E429" s="2">
        <f t="shared" si="20"/>
        <v>0.2907138736959804</v>
      </c>
    </row>
    <row r="430" spans="1:5">
      <c r="A430" s="3">
        <v>77</v>
      </c>
      <c r="B430" s="2">
        <v>8.9</v>
      </c>
      <c r="C430">
        <f t="shared" si="18"/>
        <v>9.460821111600259</v>
      </c>
      <c r="D430" s="2">
        <f t="shared" si="19"/>
        <v>0.5608211116002586</v>
      </c>
      <c r="E430" s="2">
        <f t="shared" si="20"/>
        <v>0.31452031921654972</v>
      </c>
    </row>
    <row r="431" spans="1:5">
      <c r="A431" s="3">
        <v>77.099999999999994</v>
      </c>
      <c r="B431" s="2">
        <v>10.1</v>
      </c>
      <c r="C431">
        <f t="shared" si="18"/>
        <v>9.4817830515911741</v>
      </c>
      <c r="D431" s="2">
        <f t="shared" si="19"/>
        <v>-0.61821694840882557</v>
      </c>
      <c r="E431" s="2">
        <f t="shared" si="20"/>
        <v>0.38219219529992049</v>
      </c>
    </row>
    <row r="432" spans="1:5">
      <c r="A432" s="3">
        <v>77.2</v>
      </c>
      <c r="B432" s="2">
        <v>9.4</v>
      </c>
      <c r="C432">
        <f t="shared" si="18"/>
        <v>9.5027449915820892</v>
      </c>
      <c r="D432" s="2">
        <f t="shared" si="19"/>
        <v>0.10274499158208883</v>
      </c>
      <c r="E432" s="2">
        <f t="shared" si="20"/>
        <v>1.0556533295203504E-2</v>
      </c>
    </row>
    <row r="433" spans="1:5">
      <c r="A433" s="3">
        <v>77.2</v>
      </c>
      <c r="B433" s="2">
        <v>9.6</v>
      </c>
      <c r="C433">
        <f t="shared" si="18"/>
        <v>9.5027449915820892</v>
      </c>
      <c r="D433" s="2">
        <f t="shared" si="19"/>
        <v>-9.725500841791046E-2</v>
      </c>
      <c r="E433" s="2">
        <f t="shared" si="20"/>
        <v>9.4585366623678342E-3</v>
      </c>
    </row>
    <row r="434" spans="1:5">
      <c r="A434" s="3">
        <v>77.2</v>
      </c>
      <c r="B434" s="2">
        <v>9.1999999999999993</v>
      </c>
      <c r="C434">
        <f t="shared" si="18"/>
        <v>9.5027449915820892</v>
      </c>
      <c r="D434" s="2">
        <f t="shared" si="19"/>
        <v>0.3027449915820899</v>
      </c>
      <c r="E434" s="2">
        <f t="shared" si="20"/>
        <v>9.1654529928039685E-2</v>
      </c>
    </row>
    <row r="435" spans="1:5">
      <c r="A435" s="3">
        <v>77.2</v>
      </c>
      <c r="B435" s="2">
        <v>9.8000000000000007</v>
      </c>
      <c r="C435">
        <f t="shared" si="18"/>
        <v>9.5027449915820892</v>
      </c>
      <c r="D435" s="2">
        <f t="shared" si="19"/>
        <v>-0.29725500841791153</v>
      </c>
      <c r="E435" s="2">
        <f t="shared" si="20"/>
        <v>8.8360540029532655E-2</v>
      </c>
    </row>
    <row r="436" spans="1:5">
      <c r="A436" s="3">
        <v>77.2</v>
      </c>
      <c r="B436" s="2">
        <v>9.6</v>
      </c>
      <c r="C436">
        <f t="shared" si="18"/>
        <v>9.5027449915820892</v>
      </c>
      <c r="D436" s="2">
        <f t="shared" si="19"/>
        <v>-9.725500841791046E-2</v>
      </c>
      <c r="E436" s="2">
        <f t="shared" si="20"/>
        <v>9.4585366623678342E-3</v>
      </c>
    </row>
    <row r="437" spans="1:5">
      <c r="A437" s="3">
        <v>77.2</v>
      </c>
      <c r="B437" s="2">
        <v>8.9</v>
      </c>
      <c r="C437">
        <f t="shared" si="18"/>
        <v>9.5027449915820892</v>
      </c>
      <c r="D437" s="2">
        <f t="shared" si="19"/>
        <v>0.60274499158208883</v>
      </c>
      <c r="E437" s="2">
        <f t="shared" si="20"/>
        <v>0.36330152487729234</v>
      </c>
    </row>
    <row r="438" spans="1:5">
      <c r="A438" s="3">
        <v>77.2</v>
      </c>
      <c r="B438" s="2">
        <v>10</v>
      </c>
      <c r="C438">
        <f t="shared" si="18"/>
        <v>9.5027449915820892</v>
      </c>
      <c r="D438" s="2">
        <f t="shared" si="19"/>
        <v>-0.49725500841791082</v>
      </c>
      <c r="E438" s="2">
        <f t="shared" si="20"/>
        <v>0.24726254339669657</v>
      </c>
    </row>
    <row r="439" spans="1:5">
      <c r="A439" s="3">
        <v>77.3</v>
      </c>
      <c r="B439" s="2">
        <v>9</v>
      </c>
      <c r="C439">
        <f t="shared" si="18"/>
        <v>9.5237069315730043</v>
      </c>
      <c r="D439" s="2">
        <f t="shared" si="19"/>
        <v>0.5237069315730043</v>
      </c>
      <c r="E439" s="2">
        <f t="shared" si="20"/>
        <v>0.27426895017761138</v>
      </c>
    </row>
    <row r="440" spans="1:5">
      <c r="A440" s="3">
        <v>77.3</v>
      </c>
      <c r="B440" s="2">
        <v>8.6</v>
      </c>
      <c r="C440">
        <f t="shared" si="18"/>
        <v>9.5237069315730043</v>
      </c>
      <c r="D440" s="2">
        <f t="shared" si="19"/>
        <v>0.92370693157300465</v>
      </c>
      <c r="E440" s="2">
        <f t="shared" si="20"/>
        <v>0.85323449543601548</v>
      </c>
    </row>
    <row r="441" spans="1:5">
      <c r="A441" s="3">
        <v>77.3</v>
      </c>
      <c r="B441" s="2">
        <v>8.6</v>
      </c>
      <c r="C441">
        <f t="shared" si="18"/>
        <v>9.5237069315730043</v>
      </c>
      <c r="D441" s="2">
        <f t="shared" si="19"/>
        <v>0.92370693157300465</v>
      </c>
      <c r="E441" s="2">
        <f t="shared" si="20"/>
        <v>0.85323449543601548</v>
      </c>
    </row>
    <row r="442" spans="1:5">
      <c r="A442" s="3">
        <v>77.400000000000006</v>
      </c>
      <c r="B442" s="2">
        <v>9.3000000000000007</v>
      </c>
      <c r="C442">
        <f t="shared" si="18"/>
        <v>9.5446688715639194</v>
      </c>
      <c r="D442" s="2">
        <f t="shared" si="19"/>
        <v>0.2446688715639187</v>
      </c>
      <c r="E442" s="2">
        <f t="shared" si="20"/>
        <v>5.9862856712361343E-2</v>
      </c>
    </row>
    <row r="443" spans="1:5">
      <c r="A443" s="3">
        <v>77.400000000000006</v>
      </c>
      <c r="B443" s="2">
        <v>9.1</v>
      </c>
      <c r="C443">
        <f t="shared" si="18"/>
        <v>9.5446688715639194</v>
      </c>
      <c r="D443" s="2">
        <f t="shared" si="19"/>
        <v>0.44466887156391977</v>
      </c>
      <c r="E443" s="2">
        <f t="shared" si="20"/>
        <v>0.19773040533792977</v>
      </c>
    </row>
    <row r="444" spans="1:5">
      <c r="A444" s="3">
        <v>77.400000000000006</v>
      </c>
      <c r="B444" s="2">
        <v>9</v>
      </c>
      <c r="C444">
        <f t="shared" si="18"/>
        <v>9.5446688715639194</v>
      </c>
      <c r="D444" s="2">
        <f t="shared" si="19"/>
        <v>0.54466887156391941</v>
      </c>
      <c r="E444" s="2">
        <f t="shared" si="20"/>
        <v>0.29666417965071334</v>
      </c>
    </row>
    <row r="445" spans="1:5">
      <c r="A445" s="3">
        <v>77.400000000000006</v>
      </c>
      <c r="B445" s="2">
        <v>8.4</v>
      </c>
      <c r="C445">
        <f t="shared" si="18"/>
        <v>9.5446688715639194</v>
      </c>
      <c r="D445" s="2">
        <f t="shared" si="19"/>
        <v>1.1446688715639191</v>
      </c>
      <c r="E445" s="2">
        <f t="shared" si="20"/>
        <v>1.3102668255274159</v>
      </c>
    </row>
    <row r="446" spans="1:5">
      <c r="A446" s="3">
        <v>77.5</v>
      </c>
      <c r="B446" s="2">
        <v>10.3</v>
      </c>
      <c r="C446">
        <f t="shared" si="18"/>
        <v>9.5656308115548345</v>
      </c>
      <c r="D446" s="2">
        <f t="shared" si="19"/>
        <v>-0.73436918844516619</v>
      </c>
      <c r="E446" s="2">
        <f t="shared" si="20"/>
        <v>0.53929810493761199</v>
      </c>
    </row>
    <row r="447" spans="1:5">
      <c r="A447" s="3">
        <v>77.5</v>
      </c>
      <c r="B447" s="2">
        <v>8.6</v>
      </c>
      <c r="C447">
        <f t="shared" si="18"/>
        <v>9.5656308115548345</v>
      </c>
      <c r="D447" s="2">
        <f t="shared" si="19"/>
        <v>0.96563081155483488</v>
      </c>
      <c r="E447" s="2">
        <f t="shared" si="20"/>
        <v>0.93244286422404898</v>
      </c>
    </row>
    <row r="448" spans="1:5">
      <c r="A448" s="3">
        <v>77.5</v>
      </c>
      <c r="B448" s="2">
        <v>9.5</v>
      </c>
      <c r="C448">
        <f t="shared" si="18"/>
        <v>9.5656308115548345</v>
      </c>
      <c r="D448" s="2">
        <f t="shared" si="19"/>
        <v>6.5630811554834523E-2</v>
      </c>
      <c r="E448" s="2">
        <f t="shared" si="20"/>
        <v>4.3074034253462005E-3</v>
      </c>
    </row>
    <row r="449" spans="1:5">
      <c r="A449" s="3">
        <v>77.5</v>
      </c>
      <c r="B449" s="2">
        <v>9</v>
      </c>
      <c r="C449">
        <f t="shared" si="18"/>
        <v>9.5656308115548345</v>
      </c>
      <c r="D449" s="2">
        <f t="shared" si="19"/>
        <v>0.56563081155483452</v>
      </c>
      <c r="E449" s="2">
        <f t="shared" si="20"/>
        <v>0.31993821498018071</v>
      </c>
    </row>
    <row r="450" spans="1:5">
      <c r="A450" s="3">
        <v>77.5</v>
      </c>
      <c r="B450" s="2">
        <v>9.1</v>
      </c>
      <c r="C450">
        <f t="shared" si="18"/>
        <v>9.5656308115548345</v>
      </c>
      <c r="D450" s="2">
        <f t="shared" si="19"/>
        <v>0.46563081155483488</v>
      </c>
      <c r="E450" s="2">
        <f t="shared" si="20"/>
        <v>0.21681205266921416</v>
      </c>
    </row>
    <row r="451" spans="1:5">
      <c r="A451" s="3">
        <v>77.5</v>
      </c>
      <c r="B451" s="2">
        <v>9.6999999999999993</v>
      </c>
      <c r="C451">
        <f t="shared" ref="C451:C514" si="21">$K$4*A451+$K$5</f>
        <v>9.5656308115548345</v>
      </c>
      <c r="D451" s="2">
        <f t="shared" ref="D451:D514" si="22">C451-B451</f>
        <v>-0.13436918844516477</v>
      </c>
      <c r="E451" s="2">
        <f t="shared" ref="E451:E514" si="23">D451^2</f>
        <v>1.80550788034122E-2</v>
      </c>
    </row>
    <row r="452" spans="1:5">
      <c r="A452" s="3">
        <v>77.7</v>
      </c>
      <c r="B452" s="2">
        <v>9.4</v>
      </c>
      <c r="C452">
        <f t="shared" si="21"/>
        <v>9.6075546915366647</v>
      </c>
      <c r="D452" s="2">
        <f t="shared" si="22"/>
        <v>0.20755469153666439</v>
      </c>
      <c r="E452" s="2">
        <f t="shared" si="23"/>
        <v>4.3078949978879906E-2</v>
      </c>
    </row>
    <row r="453" spans="1:5">
      <c r="A453" s="3">
        <v>77.7</v>
      </c>
      <c r="B453" s="2">
        <v>10</v>
      </c>
      <c r="C453">
        <f t="shared" si="21"/>
        <v>9.6075546915366647</v>
      </c>
      <c r="D453" s="2">
        <f t="shared" si="22"/>
        <v>-0.39244530846333525</v>
      </c>
      <c r="E453" s="2">
        <f t="shared" si="23"/>
        <v>0.15401332013488236</v>
      </c>
    </row>
    <row r="454" spans="1:5">
      <c r="A454" s="3">
        <v>77.7</v>
      </c>
      <c r="B454" s="2">
        <v>9.4</v>
      </c>
      <c r="C454">
        <f t="shared" si="21"/>
        <v>9.6075546915366647</v>
      </c>
      <c r="D454" s="2">
        <f t="shared" si="22"/>
        <v>0.20755469153666439</v>
      </c>
      <c r="E454" s="2">
        <f t="shared" si="23"/>
        <v>4.3078949978879906E-2</v>
      </c>
    </row>
    <row r="455" spans="1:5">
      <c r="A455" s="3">
        <v>77.7</v>
      </c>
      <c r="B455" s="2">
        <v>10.4</v>
      </c>
      <c r="C455">
        <f t="shared" si="21"/>
        <v>9.6075546915366647</v>
      </c>
      <c r="D455" s="2">
        <f t="shared" si="22"/>
        <v>-0.79244530846333561</v>
      </c>
      <c r="E455" s="2">
        <f t="shared" si="23"/>
        <v>0.62796956690555117</v>
      </c>
    </row>
    <row r="456" spans="1:5">
      <c r="A456" s="3">
        <v>77.8</v>
      </c>
      <c r="B456" s="2">
        <v>9.8000000000000007</v>
      </c>
      <c r="C456">
        <f t="shared" si="21"/>
        <v>9.6285166315275763</v>
      </c>
      <c r="D456" s="2">
        <f t="shared" si="22"/>
        <v>-0.1714833684724244</v>
      </c>
      <c r="E456" s="2">
        <f t="shared" si="23"/>
        <v>2.9406545662649278E-2</v>
      </c>
    </row>
    <row r="457" spans="1:5">
      <c r="A457" s="3">
        <v>77.8</v>
      </c>
      <c r="B457" s="2">
        <v>10.1</v>
      </c>
      <c r="C457">
        <f t="shared" si="21"/>
        <v>9.6285166315275763</v>
      </c>
      <c r="D457" s="2">
        <f t="shared" si="22"/>
        <v>-0.47148336847242334</v>
      </c>
      <c r="E457" s="2">
        <f t="shared" si="23"/>
        <v>0.2222965667461029</v>
      </c>
    </row>
    <row r="458" spans="1:5">
      <c r="A458" s="3">
        <v>77.8</v>
      </c>
      <c r="B458" s="2">
        <v>10.8</v>
      </c>
      <c r="C458">
        <f t="shared" si="21"/>
        <v>9.6285166315275763</v>
      </c>
      <c r="D458" s="2">
        <f t="shared" si="22"/>
        <v>-1.1714833684724244</v>
      </c>
      <c r="E458" s="2">
        <f t="shared" si="23"/>
        <v>1.3723732826074981</v>
      </c>
    </row>
    <row r="459" spans="1:5">
      <c r="A459" s="3">
        <v>77.8</v>
      </c>
      <c r="B459" s="2">
        <v>8</v>
      </c>
      <c r="C459">
        <f t="shared" si="21"/>
        <v>9.6285166315275763</v>
      </c>
      <c r="D459" s="2">
        <f t="shared" si="22"/>
        <v>1.6285166315275763</v>
      </c>
      <c r="E459" s="2">
        <f t="shared" si="23"/>
        <v>2.6520664191619239</v>
      </c>
    </row>
    <row r="460" spans="1:5">
      <c r="A460" s="3">
        <v>78</v>
      </c>
      <c r="B460" s="2">
        <v>8.9</v>
      </c>
      <c r="C460">
        <f t="shared" si="21"/>
        <v>9.6704405115094065</v>
      </c>
      <c r="D460" s="2">
        <f t="shared" si="22"/>
        <v>0.77044051150940618</v>
      </c>
      <c r="E460" s="2">
        <f t="shared" si="23"/>
        <v>0.59357858177487544</v>
      </c>
    </row>
    <row r="461" spans="1:5">
      <c r="A461" s="3">
        <v>78.099999999999994</v>
      </c>
      <c r="B461" s="2">
        <v>8.6999999999999993</v>
      </c>
      <c r="C461">
        <f t="shared" si="21"/>
        <v>9.6914024515003181</v>
      </c>
      <c r="D461" s="2">
        <f t="shared" si="22"/>
        <v>0.9914024515003188</v>
      </c>
      <c r="E461" s="2">
        <f t="shared" si="23"/>
        <v>0.98287882084084199</v>
      </c>
    </row>
    <row r="462" spans="1:5">
      <c r="A462" s="3">
        <v>78.2</v>
      </c>
      <c r="B462" s="2">
        <v>10.1</v>
      </c>
      <c r="C462">
        <f t="shared" si="21"/>
        <v>9.7123643914912368</v>
      </c>
      <c r="D462" s="2">
        <f t="shared" si="22"/>
        <v>-0.38763560850876289</v>
      </c>
      <c r="E462" s="2">
        <f t="shared" si="23"/>
        <v>0.15026136498395889</v>
      </c>
    </row>
    <row r="463" spans="1:5">
      <c r="A463" s="3">
        <v>78.2</v>
      </c>
      <c r="B463" s="2">
        <v>8.6999999999999993</v>
      </c>
      <c r="C463">
        <f t="shared" si="21"/>
        <v>9.7123643914912368</v>
      </c>
      <c r="D463" s="2">
        <f t="shared" si="22"/>
        <v>1.0123643914912375</v>
      </c>
      <c r="E463" s="2">
        <f t="shared" si="23"/>
        <v>1.0248816611594236</v>
      </c>
    </row>
    <row r="464" spans="1:5">
      <c r="A464" s="3">
        <v>78.2</v>
      </c>
      <c r="B464" s="2">
        <v>10.1</v>
      </c>
      <c r="C464">
        <f t="shared" si="21"/>
        <v>9.7123643914912368</v>
      </c>
      <c r="D464" s="2">
        <f t="shared" si="22"/>
        <v>-0.38763560850876289</v>
      </c>
      <c r="E464" s="2">
        <f t="shared" si="23"/>
        <v>0.15026136498395889</v>
      </c>
    </row>
    <row r="465" spans="1:5">
      <c r="A465" s="3">
        <v>78.2</v>
      </c>
      <c r="B465" s="2">
        <v>9.6999999999999993</v>
      </c>
      <c r="C465">
        <f t="shared" si="21"/>
        <v>9.7123643914912368</v>
      </c>
      <c r="D465" s="2">
        <f t="shared" si="22"/>
        <v>1.236439149123747E-2</v>
      </c>
      <c r="E465" s="2">
        <f t="shared" si="23"/>
        <v>1.5287817694858554E-4</v>
      </c>
    </row>
    <row r="466" spans="1:5">
      <c r="A466" s="3">
        <v>78.2</v>
      </c>
      <c r="B466" s="2">
        <v>9.1999999999999993</v>
      </c>
      <c r="C466">
        <f t="shared" si="21"/>
        <v>9.7123643914912368</v>
      </c>
      <c r="D466" s="2">
        <f t="shared" si="22"/>
        <v>0.51236439149123747</v>
      </c>
      <c r="E466" s="2">
        <f t="shared" si="23"/>
        <v>0.26251726966818606</v>
      </c>
    </row>
    <row r="467" spans="1:5">
      <c r="A467" s="3">
        <v>78.2</v>
      </c>
      <c r="B467" s="2">
        <v>16.5</v>
      </c>
      <c r="C467">
        <f t="shared" si="21"/>
        <v>9.7123643914912368</v>
      </c>
      <c r="D467" s="2">
        <f t="shared" si="22"/>
        <v>-6.7876356085087632</v>
      </c>
      <c r="E467" s="2">
        <f t="shared" si="23"/>
        <v>46.071997153896127</v>
      </c>
    </row>
    <row r="468" spans="1:5">
      <c r="A468" s="3">
        <v>78.2</v>
      </c>
      <c r="B468" s="2">
        <v>8.8000000000000007</v>
      </c>
      <c r="C468">
        <f t="shared" si="21"/>
        <v>9.7123643914912368</v>
      </c>
      <c r="D468" s="2">
        <f t="shared" si="22"/>
        <v>0.91236439149123605</v>
      </c>
      <c r="E468" s="2">
        <f t="shared" si="23"/>
        <v>0.83240878286117348</v>
      </c>
    </row>
    <row r="469" spans="1:5">
      <c r="A469" s="3">
        <v>78.3</v>
      </c>
      <c r="B469" s="2">
        <v>8.6999999999999993</v>
      </c>
      <c r="C469">
        <f t="shared" si="21"/>
        <v>9.7333263314821483</v>
      </c>
      <c r="D469" s="2">
        <f t="shared" si="22"/>
        <v>1.033326331482149</v>
      </c>
      <c r="E469" s="2">
        <f t="shared" si="23"/>
        <v>1.0677633073343562</v>
      </c>
    </row>
    <row r="470" spans="1:5">
      <c r="A470" s="3">
        <v>78.3</v>
      </c>
      <c r="B470" s="2">
        <v>11.2</v>
      </c>
      <c r="C470">
        <f t="shared" si="21"/>
        <v>9.7333263314821483</v>
      </c>
      <c r="D470" s="2">
        <f t="shared" si="22"/>
        <v>-1.466673668517851</v>
      </c>
      <c r="E470" s="2">
        <f t="shared" si="23"/>
        <v>2.1511316499236108</v>
      </c>
    </row>
    <row r="471" spans="1:5">
      <c r="A471" s="3">
        <v>78.3</v>
      </c>
      <c r="B471" s="2">
        <v>10.6</v>
      </c>
      <c r="C471">
        <f t="shared" si="21"/>
        <v>9.7333263314821483</v>
      </c>
      <c r="D471" s="2">
        <f t="shared" si="22"/>
        <v>-0.86667366851785133</v>
      </c>
      <c r="E471" s="2">
        <f t="shared" si="23"/>
        <v>0.75112324770219041</v>
      </c>
    </row>
    <row r="472" spans="1:5">
      <c r="A472" s="3">
        <v>78.3</v>
      </c>
      <c r="B472" s="2">
        <v>8.9</v>
      </c>
      <c r="C472">
        <f t="shared" si="21"/>
        <v>9.7333263314821483</v>
      </c>
      <c r="D472" s="2">
        <f t="shared" si="22"/>
        <v>0.83332633148214796</v>
      </c>
      <c r="E472" s="2">
        <f t="shared" si="23"/>
        <v>0.69443277474149478</v>
      </c>
    </row>
    <row r="473" spans="1:5">
      <c r="A473" s="3">
        <v>78.3</v>
      </c>
      <c r="B473" s="2">
        <v>9.3000000000000007</v>
      </c>
      <c r="C473">
        <f t="shared" si="21"/>
        <v>9.7333263314821483</v>
      </c>
      <c r="D473" s="2">
        <f t="shared" si="22"/>
        <v>0.43332633148214761</v>
      </c>
      <c r="E473" s="2">
        <f t="shared" si="23"/>
        <v>0.18777170955577607</v>
      </c>
    </row>
    <row r="474" spans="1:5">
      <c r="A474" s="3">
        <v>78.400000000000006</v>
      </c>
      <c r="B474" s="2">
        <v>10.199999999999999</v>
      </c>
      <c r="C474">
        <f t="shared" si="21"/>
        <v>9.754288271473067</v>
      </c>
      <c r="D474" s="2">
        <f t="shared" si="22"/>
        <v>-0.4457117285269323</v>
      </c>
      <c r="E474" s="2">
        <f t="shared" si="23"/>
        <v>0.1986589449464658</v>
      </c>
    </row>
    <row r="475" spans="1:5">
      <c r="A475" s="3">
        <v>78.400000000000006</v>
      </c>
      <c r="B475" s="2">
        <v>8.9</v>
      </c>
      <c r="C475">
        <f t="shared" si="21"/>
        <v>9.754288271473067</v>
      </c>
      <c r="D475" s="2">
        <f t="shared" si="22"/>
        <v>0.85428827147306663</v>
      </c>
      <c r="E475" s="2">
        <f t="shared" si="23"/>
        <v>0.72980845077643997</v>
      </c>
    </row>
    <row r="476" spans="1:5">
      <c r="A476" s="3">
        <v>78.400000000000006</v>
      </c>
      <c r="B476" s="2">
        <v>10</v>
      </c>
      <c r="C476">
        <f t="shared" si="21"/>
        <v>9.754288271473067</v>
      </c>
      <c r="D476" s="2">
        <f t="shared" si="22"/>
        <v>-0.24571172852693302</v>
      </c>
      <c r="E476" s="2">
        <f t="shared" si="23"/>
        <v>6.0374253535693229E-2</v>
      </c>
    </row>
    <row r="477" spans="1:5">
      <c r="A477" s="3">
        <v>78.5</v>
      </c>
      <c r="B477" s="2">
        <v>9.6999999999999993</v>
      </c>
      <c r="C477">
        <f t="shared" si="21"/>
        <v>9.7752502114639785</v>
      </c>
      <c r="D477" s="2">
        <f t="shared" si="22"/>
        <v>7.5250211463979255E-2</v>
      </c>
      <c r="E477" s="2">
        <f t="shared" si="23"/>
        <v>5.6625943253735952E-3</v>
      </c>
    </row>
    <row r="478" spans="1:5">
      <c r="A478" s="3">
        <v>78.5</v>
      </c>
      <c r="B478" s="2">
        <v>8.9</v>
      </c>
      <c r="C478">
        <f t="shared" si="21"/>
        <v>9.7752502114639785</v>
      </c>
      <c r="D478" s="2">
        <f t="shared" si="22"/>
        <v>0.87525021146397819</v>
      </c>
      <c r="E478" s="2">
        <f t="shared" si="23"/>
        <v>0.76606293266773851</v>
      </c>
    </row>
    <row r="479" spans="1:5">
      <c r="A479" s="3">
        <v>78.5</v>
      </c>
      <c r="B479" s="2">
        <v>9.6</v>
      </c>
      <c r="C479">
        <f t="shared" si="21"/>
        <v>9.7752502114639785</v>
      </c>
      <c r="D479" s="2">
        <f t="shared" si="22"/>
        <v>0.1752502114639789</v>
      </c>
      <c r="E479" s="2">
        <f t="shared" si="23"/>
        <v>3.0712636618169323E-2</v>
      </c>
    </row>
    <row r="480" spans="1:5">
      <c r="A480" s="3">
        <v>78.5</v>
      </c>
      <c r="B480" s="2">
        <v>8.8000000000000007</v>
      </c>
      <c r="C480">
        <f t="shared" si="21"/>
        <v>9.7752502114639785</v>
      </c>
      <c r="D480" s="2">
        <f t="shared" si="22"/>
        <v>0.97525021146397783</v>
      </c>
      <c r="E480" s="2">
        <f t="shared" si="23"/>
        <v>0.95111297496053349</v>
      </c>
    </row>
    <row r="481" spans="1:5">
      <c r="A481" s="3">
        <v>78.5</v>
      </c>
      <c r="B481" s="2">
        <v>9.6</v>
      </c>
      <c r="C481">
        <f t="shared" si="21"/>
        <v>9.7752502114639785</v>
      </c>
      <c r="D481" s="2">
        <f t="shared" si="22"/>
        <v>0.1752502114639789</v>
      </c>
      <c r="E481" s="2">
        <f t="shared" si="23"/>
        <v>3.0712636618169323E-2</v>
      </c>
    </row>
    <row r="482" spans="1:5">
      <c r="A482" s="3">
        <v>78.5</v>
      </c>
      <c r="B482" s="2">
        <v>8.8000000000000007</v>
      </c>
      <c r="C482">
        <f t="shared" si="21"/>
        <v>9.7752502114639785</v>
      </c>
      <c r="D482" s="2">
        <f t="shared" si="22"/>
        <v>0.97525021146397783</v>
      </c>
      <c r="E482" s="2">
        <f t="shared" si="23"/>
        <v>0.95111297496053349</v>
      </c>
    </row>
    <row r="483" spans="1:5">
      <c r="A483" s="3">
        <v>78.599999999999994</v>
      </c>
      <c r="B483" s="2">
        <v>8.6999999999999993</v>
      </c>
      <c r="C483">
        <f t="shared" si="21"/>
        <v>9.7962121514548937</v>
      </c>
      <c r="D483" s="2">
        <f t="shared" si="22"/>
        <v>1.0962121514548944</v>
      </c>
      <c r="E483" s="2">
        <f t="shared" si="23"/>
        <v>1.2016810809973684</v>
      </c>
    </row>
    <row r="484" spans="1:5">
      <c r="A484" s="3">
        <v>78.7</v>
      </c>
      <c r="B484" s="2">
        <v>11</v>
      </c>
      <c r="C484">
        <f t="shared" si="21"/>
        <v>9.8171740914458088</v>
      </c>
      <c r="D484" s="2">
        <f t="shared" si="22"/>
        <v>-1.1828259085541912</v>
      </c>
      <c r="E484" s="2">
        <f t="shared" si="23"/>
        <v>1.3990771299470479</v>
      </c>
    </row>
    <row r="485" spans="1:5">
      <c r="A485" s="3">
        <v>78.7</v>
      </c>
      <c r="B485" s="2">
        <v>8.6999999999999993</v>
      </c>
      <c r="C485">
        <f t="shared" si="21"/>
        <v>9.8171740914458088</v>
      </c>
      <c r="D485" s="2">
        <f t="shared" si="22"/>
        <v>1.1171740914458095</v>
      </c>
      <c r="E485" s="2">
        <f t="shared" si="23"/>
        <v>1.2480779505977699</v>
      </c>
    </row>
    <row r="486" spans="1:5">
      <c r="A486" s="3">
        <v>78.8</v>
      </c>
      <c r="B486" s="2">
        <v>10.3</v>
      </c>
      <c r="C486">
        <f t="shared" si="21"/>
        <v>9.8381360314367239</v>
      </c>
      <c r="D486" s="2">
        <f t="shared" si="22"/>
        <v>-0.46186396856327683</v>
      </c>
      <c r="E486" s="2">
        <f t="shared" si="23"/>
        <v>0.21331832545701956</v>
      </c>
    </row>
    <row r="487" spans="1:5">
      <c r="A487" s="3">
        <v>78.8</v>
      </c>
      <c r="B487" s="2">
        <v>9.8000000000000007</v>
      </c>
      <c r="C487">
        <f t="shared" si="21"/>
        <v>9.8381360314367239</v>
      </c>
      <c r="D487" s="2">
        <f t="shared" si="22"/>
        <v>3.8136031436723172E-2</v>
      </c>
      <c r="E487" s="2">
        <f t="shared" si="23"/>
        <v>1.454356893742738E-3</v>
      </c>
    </row>
    <row r="488" spans="1:5">
      <c r="A488" s="3">
        <v>78.8</v>
      </c>
      <c r="B488" s="2">
        <v>9.6</v>
      </c>
      <c r="C488">
        <f t="shared" si="21"/>
        <v>9.8381360314367239</v>
      </c>
      <c r="D488" s="2">
        <f t="shared" si="22"/>
        <v>0.23813603143672424</v>
      </c>
      <c r="E488" s="2">
        <f t="shared" si="23"/>
        <v>5.6708769468432514E-2</v>
      </c>
    </row>
    <row r="489" spans="1:5">
      <c r="A489" s="3">
        <v>78.8</v>
      </c>
      <c r="B489" s="2">
        <v>9.4</v>
      </c>
      <c r="C489">
        <f t="shared" si="21"/>
        <v>9.8381360314367239</v>
      </c>
      <c r="D489" s="2">
        <f t="shared" si="22"/>
        <v>0.43813603143672353</v>
      </c>
      <c r="E489" s="2">
        <f t="shared" si="23"/>
        <v>0.1919631820431216</v>
      </c>
    </row>
    <row r="490" spans="1:5">
      <c r="A490" s="3">
        <v>78.900000000000006</v>
      </c>
      <c r="B490" s="2">
        <v>8.1</v>
      </c>
      <c r="C490">
        <f t="shared" si="21"/>
        <v>9.859097971427639</v>
      </c>
      <c r="D490" s="2">
        <f t="shared" si="22"/>
        <v>1.7590979714276394</v>
      </c>
      <c r="E490" s="2">
        <f t="shared" si="23"/>
        <v>3.0944256730808357</v>
      </c>
    </row>
    <row r="491" spans="1:5">
      <c r="A491" s="3">
        <v>79</v>
      </c>
      <c r="B491" s="2">
        <v>11.9</v>
      </c>
      <c r="C491">
        <f t="shared" si="21"/>
        <v>9.8800599114185541</v>
      </c>
      <c r="D491" s="2">
        <f t="shared" si="22"/>
        <v>-2.0199400885814462</v>
      </c>
      <c r="E491" s="2">
        <f t="shared" si="23"/>
        <v>4.0801579614584211</v>
      </c>
    </row>
    <row r="492" spans="1:5">
      <c r="A492" s="3">
        <v>79.099999999999994</v>
      </c>
      <c r="B492" s="2">
        <v>9.1999999999999993</v>
      </c>
      <c r="C492">
        <f t="shared" si="21"/>
        <v>9.9010218514094657</v>
      </c>
      <c r="D492" s="2">
        <f t="shared" si="22"/>
        <v>0.70102185140946638</v>
      </c>
      <c r="E492" s="2">
        <f t="shared" si="23"/>
        <v>0.49143163615355595</v>
      </c>
    </row>
    <row r="493" spans="1:5">
      <c r="A493" s="3">
        <v>79.099999999999994</v>
      </c>
      <c r="B493" s="2">
        <v>10</v>
      </c>
      <c r="C493">
        <f t="shared" si="21"/>
        <v>9.9010218514094657</v>
      </c>
      <c r="D493" s="2">
        <f t="shared" si="22"/>
        <v>-9.8978148590534332E-2</v>
      </c>
      <c r="E493" s="2">
        <f t="shared" si="23"/>
        <v>9.7966738984098939E-3</v>
      </c>
    </row>
    <row r="494" spans="1:5">
      <c r="A494" s="3">
        <v>79.2</v>
      </c>
      <c r="B494" s="2">
        <v>10.6</v>
      </c>
      <c r="C494">
        <f t="shared" si="21"/>
        <v>9.9219837914003843</v>
      </c>
      <c r="D494" s="2">
        <f t="shared" si="22"/>
        <v>-0.67801620859961531</v>
      </c>
      <c r="E494" s="2">
        <f t="shared" si="23"/>
        <v>0.45970597912379707</v>
      </c>
    </row>
    <row r="495" spans="1:5">
      <c r="A495" s="3">
        <v>79.3</v>
      </c>
      <c r="B495" s="2">
        <v>9.4</v>
      </c>
      <c r="C495">
        <f t="shared" si="21"/>
        <v>9.9429457313912959</v>
      </c>
      <c r="D495" s="2">
        <f t="shared" si="22"/>
        <v>0.54294573139129554</v>
      </c>
      <c r="E495" s="2">
        <f t="shared" si="23"/>
        <v>0.29479006723602885</v>
      </c>
    </row>
    <row r="496" spans="1:5">
      <c r="A496" s="3">
        <v>79.3</v>
      </c>
      <c r="B496" s="2">
        <v>9.5</v>
      </c>
      <c r="C496">
        <f t="shared" si="21"/>
        <v>9.9429457313912959</v>
      </c>
      <c r="D496" s="2">
        <f t="shared" si="22"/>
        <v>0.44294573139129589</v>
      </c>
      <c r="E496" s="2">
        <f t="shared" si="23"/>
        <v>0.19620092095777006</v>
      </c>
    </row>
    <row r="497" spans="1:5">
      <c r="A497" s="3">
        <v>79.400000000000006</v>
      </c>
      <c r="B497" s="2">
        <v>10.8</v>
      </c>
      <c r="C497">
        <f t="shared" si="21"/>
        <v>9.963907671382211</v>
      </c>
      <c r="D497" s="2">
        <f t="shared" si="22"/>
        <v>-0.8360923286177897</v>
      </c>
      <c r="E497" s="2">
        <f t="shared" si="23"/>
        <v>0.6990503819735181</v>
      </c>
    </row>
    <row r="498" spans="1:5">
      <c r="A498" s="3">
        <v>79.400000000000006</v>
      </c>
      <c r="B498" s="2">
        <v>11.5</v>
      </c>
      <c r="C498">
        <f t="shared" si="21"/>
        <v>9.963907671382211</v>
      </c>
      <c r="D498" s="2">
        <f t="shared" si="22"/>
        <v>-1.536092328617789</v>
      </c>
      <c r="E498" s="2">
        <f t="shared" si="23"/>
        <v>2.3595796420384216</v>
      </c>
    </row>
    <row r="499" spans="1:5">
      <c r="A499" s="3">
        <v>79.400000000000006</v>
      </c>
      <c r="B499" s="2">
        <v>11.2</v>
      </c>
      <c r="C499">
        <f t="shared" si="21"/>
        <v>9.963907671382211</v>
      </c>
      <c r="D499" s="2">
        <f t="shared" si="22"/>
        <v>-1.2360923286177883</v>
      </c>
      <c r="E499" s="2">
        <f t="shared" si="23"/>
        <v>1.5279242448677464</v>
      </c>
    </row>
    <row r="500" spans="1:5">
      <c r="A500" s="3">
        <v>79.400000000000006</v>
      </c>
      <c r="B500" s="2">
        <v>10.1</v>
      </c>
      <c r="C500">
        <f t="shared" si="21"/>
        <v>9.963907671382211</v>
      </c>
      <c r="D500" s="2">
        <f t="shared" si="22"/>
        <v>-0.13609232861778864</v>
      </c>
      <c r="E500" s="2">
        <f t="shared" si="23"/>
        <v>1.8521121908612173E-2</v>
      </c>
    </row>
    <row r="501" spans="1:5">
      <c r="A501" s="3">
        <v>79.5</v>
      </c>
      <c r="B501" s="2">
        <v>9.6999999999999993</v>
      </c>
      <c r="C501">
        <f t="shared" si="21"/>
        <v>9.9848696113731261</v>
      </c>
      <c r="D501" s="2">
        <f t="shared" si="22"/>
        <v>0.28486961137312683</v>
      </c>
      <c r="E501" s="2">
        <f t="shared" si="23"/>
        <v>8.1150695483876309E-2</v>
      </c>
    </row>
    <row r="502" spans="1:5">
      <c r="A502" s="3">
        <v>79.5</v>
      </c>
      <c r="B502" s="2">
        <v>9</v>
      </c>
      <c r="C502">
        <f t="shared" si="21"/>
        <v>9.9848696113731261</v>
      </c>
      <c r="D502" s="2">
        <f t="shared" si="22"/>
        <v>0.98486961137312612</v>
      </c>
      <c r="E502" s="2">
        <f t="shared" si="23"/>
        <v>0.96996815140625248</v>
      </c>
    </row>
    <row r="503" spans="1:5">
      <c r="A503" s="3">
        <v>79.599999999999994</v>
      </c>
      <c r="B503" s="2">
        <v>10</v>
      </c>
      <c r="C503">
        <f t="shared" si="21"/>
        <v>10.005831551364038</v>
      </c>
      <c r="D503" s="2">
        <f t="shared" si="22"/>
        <v>5.8315513640376793E-3</v>
      </c>
      <c r="E503" s="2">
        <f t="shared" si="23"/>
        <v>3.4006991311409715E-5</v>
      </c>
    </row>
    <row r="504" spans="1:5">
      <c r="A504" s="3">
        <v>79.599999999999994</v>
      </c>
      <c r="B504" s="2">
        <v>9.4</v>
      </c>
      <c r="C504">
        <f t="shared" si="21"/>
        <v>10.005831551364038</v>
      </c>
      <c r="D504" s="2">
        <f t="shared" si="22"/>
        <v>0.60583155136403732</v>
      </c>
      <c r="E504" s="2">
        <f t="shared" si="23"/>
        <v>0.36703186862815618</v>
      </c>
    </row>
    <row r="505" spans="1:5">
      <c r="A505" s="3">
        <v>79.599999999999994</v>
      </c>
      <c r="B505" s="2">
        <v>9.3000000000000007</v>
      </c>
      <c r="C505">
        <f t="shared" si="21"/>
        <v>10.005831551364038</v>
      </c>
      <c r="D505" s="2">
        <f t="shared" si="22"/>
        <v>0.70583155136403697</v>
      </c>
      <c r="E505" s="2">
        <f t="shared" si="23"/>
        <v>0.49819817890096318</v>
      </c>
    </row>
    <row r="506" spans="1:5">
      <c r="A506" s="3">
        <v>79.7</v>
      </c>
      <c r="B506" s="2">
        <v>9.4</v>
      </c>
      <c r="C506">
        <f t="shared" si="21"/>
        <v>10.026793491354956</v>
      </c>
      <c r="D506" s="2">
        <f t="shared" si="22"/>
        <v>0.62679349135495599</v>
      </c>
      <c r="E506" s="2">
        <f t="shared" si="23"/>
        <v>0.3928700808049353</v>
      </c>
    </row>
    <row r="507" spans="1:5">
      <c r="A507" s="3">
        <v>79.7</v>
      </c>
      <c r="B507" s="2">
        <v>6.6</v>
      </c>
      <c r="C507">
        <f t="shared" si="21"/>
        <v>10.026793491354956</v>
      </c>
      <c r="D507" s="2">
        <f t="shared" si="22"/>
        <v>3.4267934913549567</v>
      </c>
      <c r="E507" s="2">
        <f t="shared" si="23"/>
        <v>11.742913632392694</v>
      </c>
    </row>
    <row r="508" spans="1:5">
      <c r="A508" s="3">
        <v>79.8</v>
      </c>
      <c r="B508" s="2">
        <v>11.5</v>
      </c>
      <c r="C508">
        <f t="shared" si="21"/>
        <v>10.047755431345868</v>
      </c>
      <c r="D508" s="2">
        <f t="shared" si="22"/>
        <v>-1.4522445686541321</v>
      </c>
      <c r="E508" s="2">
        <f t="shared" si="23"/>
        <v>2.1090142871854263</v>
      </c>
    </row>
    <row r="509" spans="1:5">
      <c r="A509" s="3">
        <v>79.8</v>
      </c>
      <c r="B509" s="2">
        <v>9</v>
      </c>
      <c r="C509">
        <f t="shared" si="21"/>
        <v>10.047755431345868</v>
      </c>
      <c r="D509" s="2">
        <f t="shared" si="22"/>
        <v>1.0477554313458679</v>
      </c>
      <c r="E509" s="2">
        <f t="shared" si="23"/>
        <v>1.0977914439147658</v>
      </c>
    </row>
    <row r="510" spans="1:5">
      <c r="A510" s="3">
        <v>79.900000000000006</v>
      </c>
      <c r="B510" s="2">
        <v>10.199999999999999</v>
      </c>
      <c r="C510">
        <f t="shared" si="21"/>
        <v>10.068717371336787</v>
      </c>
      <c r="D510" s="2">
        <f t="shared" si="22"/>
        <v>-0.13128262866321272</v>
      </c>
      <c r="E510" s="2">
        <f t="shared" si="23"/>
        <v>1.7235128588723003E-2</v>
      </c>
    </row>
    <row r="511" spans="1:5">
      <c r="A511" s="3">
        <v>79.900000000000006</v>
      </c>
      <c r="B511" s="2">
        <v>9.1</v>
      </c>
      <c r="C511">
        <f t="shared" si="21"/>
        <v>10.068717371336787</v>
      </c>
      <c r="D511" s="2">
        <f t="shared" si="22"/>
        <v>0.96871737133678693</v>
      </c>
      <c r="E511" s="2">
        <f t="shared" si="23"/>
        <v>0.93841334552965439</v>
      </c>
    </row>
    <row r="512" spans="1:5">
      <c r="A512" s="3">
        <v>79.900000000000006</v>
      </c>
      <c r="B512" s="2">
        <v>7.2</v>
      </c>
      <c r="C512">
        <f t="shared" si="21"/>
        <v>10.068717371336787</v>
      </c>
      <c r="D512" s="2">
        <f t="shared" si="22"/>
        <v>2.8687173713367864</v>
      </c>
      <c r="E512" s="2">
        <f t="shared" si="23"/>
        <v>8.2295393566094415</v>
      </c>
    </row>
    <row r="513" spans="1:5">
      <c r="A513" s="3">
        <v>79.900000000000006</v>
      </c>
      <c r="B513" s="2">
        <v>9</v>
      </c>
      <c r="C513">
        <f t="shared" si="21"/>
        <v>10.068717371336787</v>
      </c>
      <c r="D513" s="2">
        <f t="shared" si="22"/>
        <v>1.0687173713367866</v>
      </c>
      <c r="E513" s="2">
        <f t="shared" si="23"/>
        <v>1.1421568197970109</v>
      </c>
    </row>
    <row r="514" spans="1:5">
      <c r="A514" s="3">
        <v>79.900000000000006</v>
      </c>
      <c r="B514" s="2">
        <v>9.6999999999999993</v>
      </c>
      <c r="C514">
        <f t="shared" si="21"/>
        <v>10.068717371336787</v>
      </c>
      <c r="D514" s="2">
        <f t="shared" si="22"/>
        <v>0.36871737133678728</v>
      </c>
      <c r="E514" s="2">
        <f t="shared" si="23"/>
        <v>0.13595249992551028</v>
      </c>
    </row>
    <row r="515" spans="1:5">
      <c r="A515" s="3">
        <v>79.900000000000006</v>
      </c>
      <c r="B515" s="2">
        <v>9.6</v>
      </c>
      <c r="C515">
        <f t="shared" ref="C515:C578" si="24">$K$4*A515+$K$5</f>
        <v>10.068717371336787</v>
      </c>
      <c r="D515" s="2">
        <f t="shared" ref="D515:D578" si="25">C515-B515</f>
        <v>0.46871737133678693</v>
      </c>
      <c r="E515" s="2">
        <f t="shared" ref="E515:E578" si="26">D515^2</f>
        <v>0.2196959741928674</v>
      </c>
    </row>
    <row r="516" spans="1:5">
      <c r="A516" s="3">
        <v>79.900000000000006</v>
      </c>
      <c r="B516" s="2">
        <v>8.4</v>
      </c>
      <c r="C516">
        <f t="shared" si="24"/>
        <v>10.068717371336787</v>
      </c>
      <c r="D516" s="2">
        <f t="shared" si="25"/>
        <v>1.6687173713367862</v>
      </c>
      <c r="E516" s="2">
        <f t="shared" si="26"/>
        <v>2.7846176654011536</v>
      </c>
    </row>
    <row r="517" spans="1:5">
      <c r="A517" s="3">
        <v>80</v>
      </c>
      <c r="B517" s="2">
        <v>10.7</v>
      </c>
      <c r="C517">
        <f t="shared" si="24"/>
        <v>10.089679311327698</v>
      </c>
      <c r="D517" s="2">
        <f t="shared" si="25"/>
        <v>-0.61032068867230116</v>
      </c>
      <c r="E517" s="2">
        <f t="shared" si="26"/>
        <v>0.37249134302143194</v>
      </c>
    </row>
    <row r="518" spans="1:5">
      <c r="A518" s="3">
        <v>80</v>
      </c>
      <c r="B518" s="2">
        <v>11.7</v>
      </c>
      <c r="C518">
        <f t="shared" si="24"/>
        <v>10.089679311327698</v>
      </c>
      <c r="D518" s="2">
        <f t="shared" si="25"/>
        <v>-1.6103206886723012</v>
      </c>
      <c r="E518" s="2">
        <f t="shared" si="26"/>
        <v>2.5931327203660341</v>
      </c>
    </row>
    <row r="519" spans="1:5">
      <c r="A519" s="3">
        <v>80</v>
      </c>
      <c r="B519" s="2">
        <v>10.1</v>
      </c>
      <c r="C519">
        <f t="shared" si="24"/>
        <v>10.089679311327698</v>
      </c>
      <c r="D519" s="2">
        <f t="shared" si="25"/>
        <v>-1.0320688672301515E-2</v>
      </c>
      <c r="E519" s="2">
        <f t="shared" si="26"/>
        <v>1.065166146705728E-4</v>
      </c>
    </row>
    <row r="520" spans="1:5">
      <c r="A520" s="3">
        <v>80.099999999999994</v>
      </c>
      <c r="B520" s="2">
        <v>9.5</v>
      </c>
      <c r="C520">
        <f t="shared" si="24"/>
        <v>10.110641251318613</v>
      </c>
      <c r="D520" s="2">
        <f t="shared" si="25"/>
        <v>0.61064125131861324</v>
      </c>
      <c r="E520" s="2">
        <f t="shared" si="26"/>
        <v>0.3728827378119618</v>
      </c>
    </row>
    <row r="521" spans="1:5">
      <c r="A521" s="3">
        <v>80.099999999999994</v>
      </c>
      <c r="B521" s="2">
        <v>9.4</v>
      </c>
      <c r="C521">
        <f t="shared" si="24"/>
        <v>10.110641251318613</v>
      </c>
      <c r="D521" s="2">
        <f t="shared" si="25"/>
        <v>0.71064125131861289</v>
      </c>
      <c r="E521" s="2">
        <f t="shared" si="26"/>
        <v>0.5050109880756839</v>
      </c>
    </row>
    <row r="522" spans="1:5">
      <c r="A522" s="3">
        <v>80.099999999999994</v>
      </c>
      <c r="B522" s="2">
        <v>11</v>
      </c>
      <c r="C522">
        <f t="shared" si="24"/>
        <v>10.110641251318613</v>
      </c>
      <c r="D522" s="2">
        <f t="shared" si="25"/>
        <v>-0.88935874868138676</v>
      </c>
      <c r="E522" s="2">
        <f t="shared" si="26"/>
        <v>0.79095898385612207</v>
      </c>
    </row>
    <row r="523" spans="1:5">
      <c r="A523" s="3">
        <v>80.099999999999994</v>
      </c>
      <c r="B523" s="2">
        <v>9.1</v>
      </c>
      <c r="C523">
        <f t="shared" si="24"/>
        <v>10.110641251318613</v>
      </c>
      <c r="D523" s="2">
        <f t="shared" si="25"/>
        <v>1.0106412513186136</v>
      </c>
      <c r="E523" s="2">
        <f t="shared" si="26"/>
        <v>1.0213957388668531</v>
      </c>
    </row>
    <row r="524" spans="1:5">
      <c r="A524" s="3">
        <v>80.099999999999994</v>
      </c>
      <c r="B524" s="2">
        <v>10</v>
      </c>
      <c r="C524">
        <f t="shared" si="24"/>
        <v>10.110641251318613</v>
      </c>
      <c r="D524" s="2">
        <f t="shared" si="25"/>
        <v>0.11064125131861324</v>
      </c>
      <c r="E524" s="2">
        <f t="shared" si="26"/>
        <v>1.2241486493348537E-2</v>
      </c>
    </row>
    <row r="525" spans="1:5">
      <c r="A525" s="3">
        <v>80.2</v>
      </c>
      <c r="B525" s="2">
        <v>9.8000000000000007</v>
      </c>
      <c r="C525">
        <f t="shared" si="24"/>
        <v>10.131603191309528</v>
      </c>
      <c r="D525" s="2">
        <f t="shared" si="25"/>
        <v>0.33160319130952765</v>
      </c>
      <c r="E525" s="2">
        <f t="shared" si="26"/>
        <v>0.10996067648666319</v>
      </c>
    </row>
    <row r="526" spans="1:5">
      <c r="A526" s="3">
        <v>80.2</v>
      </c>
      <c r="B526" s="2">
        <v>10.1</v>
      </c>
      <c r="C526">
        <f t="shared" si="24"/>
        <v>10.131603191309528</v>
      </c>
      <c r="D526" s="2">
        <f t="shared" si="25"/>
        <v>3.1603191309528711E-2</v>
      </c>
      <c r="E526" s="2">
        <f t="shared" si="26"/>
        <v>9.9876170094667107E-4</v>
      </c>
    </row>
    <row r="527" spans="1:5">
      <c r="A527" s="3">
        <v>80.2</v>
      </c>
      <c r="B527" s="2">
        <v>10.1</v>
      </c>
      <c r="C527">
        <f t="shared" si="24"/>
        <v>10.131603191309528</v>
      </c>
      <c r="D527" s="2">
        <f t="shared" si="25"/>
        <v>3.1603191309528711E-2</v>
      </c>
      <c r="E527" s="2">
        <f t="shared" si="26"/>
        <v>9.9876170094667107E-4</v>
      </c>
    </row>
    <row r="528" spans="1:5">
      <c r="A528" s="3">
        <v>80.2</v>
      </c>
      <c r="B528" s="2">
        <v>8.8000000000000007</v>
      </c>
      <c r="C528">
        <f t="shared" si="24"/>
        <v>10.131603191309528</v>
      </c>
      <c r="D528" s="2">
        <f t="shared" si="25"/>
        <v>1.3316031913095276</v>
      </c>
      <c r="E528" s="2">
        <f t="shared" si="26"/>
        <v>1.7731670591057185</v>
      </c>
    </row>
    <row r="529" spans="1:5">
      <c r="A529" s="3">
        <v>80.2</v>
      </c>
      <c r="B529" s="2">
        <v>9.1</v>
      </c>
      <c r="C529">
        <f t="shared" si="24"/>
        <v>10.131603191309528</v>
      </c>
      <c r="D529" s="2">
        <f t="shared" si="25"/>
        <v>1.0316031913095287</v>
      </c>
      <c r="E529" s="2">
        <f t="shared" si="26"/>
        <v>1.064205144320004</v>
      </c>
    </row>
    <row r="530" spans="1:5">
      <c r="A530" s="3">
        <v>80.2</v>
      </c>
      <c r="B530" s="2">
        <v>8.9</v>
      </c>
      <c r="C530">
        <f t="shared" si="24"/>
        <v>10.131603191309528</v>
      </c>
      <c r="D530" s="2">
        <f t="shared" si="25"/>
        <v>1.231603191309528</v>
      </c>
      <c r="E530" s="2">
        <f t="shared" si="26"/>
        <v>1.5168464208438139</v>
      </c>
    </row>
    <row r="531" spans="1:5">
      <c r="A531" s="3">
        <v>80.2</v>
      </c>
      <c r="B531" s="2">
        <v>9.9</v>
      </c>
      <c r="C531">
        <f t="shared" si="24"/>
        <v>10.131603191309528</v>
      </c>
      <c r="D531" s="2">
        <f t="shared" si="25"/>
        <v>0.231603191309528</v>
      </c>
      <c r="E531" s="2">
        <f t="shared" si="26"/>
        <v>5.3640038224757824E-2</v>
      </c>
    </row>
    <row r="532" spans="1:5">
      <c r="A532" s="3">
        <v>80.2</v>
      </c>
      <c r="B532" s="2">
        <v>9.9</v>
      </c>
      <c r="C532">
        <f t="shared" si="24"/>
        <v>10.131603191309528</v>
      </c>
      <c r="D532" s="2">
        <f t="shared" si="25"/>
        <v>0.231603191309528</v>
      </c>
      <c r="E532" s="2">
        <f t="shared" si="26"/>
        <v>5.3640038224757824E-2</v>
      </c>
    </row>
    <row r="533" spans="1:5">
      <c r="A533" s="3">
        <v>80.3</v>
      </c>
      <c r="B533" s="2">
        <v>9.4</v>
      </c>
      <c r="C533">
        <f t="shared" si="24"/>
        <v>10.152565131300443</v>
      </c>
      <c r="D533" s="2">
        <f t="shared" si="25"/>
        <v>0.75256513130044311</v>
      </c>
      <c r="E533" s="2">
        <f t="shared" si="26"/>
        <v>0.56635427684925321</v>
      </c>
    </row>
    <row r="534" spans="1:5">
      <c r="A534" s="3">
        <v>80.3</v>
      </c>
      <c r="B534" s="2">
        <v>10.8</v>
      </c>
      <c r="C534">
        <f t="shared" si="24"/>
        <v>10.152565131300443</v>
      </c>
      <c r="D534" s="2">
        <f t="shared" si="25"/>
        <v>-0.64743486869955724</v>
      </c>
      <c r="E534" s="2">
        <f t="shared" si="26"/>
        <v>0.41917190920801295</v>
      </c>
    </row>
    <row r="535" spans="1:5">
      <c r="A535" s="3">
        <v>80.3</v>
      </c>
      <c r="B535" s="2">
        <v>9.8000000000000007</v>
      </c>
      <c r="C535">
        <f t="shared" si="24"/>
        <v>10.152565131300443</v>
      </c>
      <c r="D535" s="2">
        <f t="shared" si="25"/>
        <v>0.35256513130044276</v>
      </c>
      <c r="E535" s="2">
        <f t="shared" si="26"/>
        <v>0.12430217180889844</v>
      </c>
    </row>
    <row r="536" spans="1:5">
      <c r="A536" s="3">
        <v>80.3</v>
      </c>
      <c r="B536" s="2">
        <v>10.9</v>
      </c>
      <c r="C536">
        <f t="shared" si="24"/>
        <v>10.152565131300443</v>
      </c>
      <c r="D536" s="2">
        <f t="shared" si="25"/>
        <v>-0.74743486869955689</v>
      </c>
      <c r="E536" s="2">
        <f t="shared" si="26"/>
        <v>0.55865888294792387</v>
      </c>
    </row>
    <row r="537" spans="1:5">
      <c r="A537" s="3">
        <v>80.3</v>
      </c>
      <c r="B537" s="2">
        <v>9.9</v>
      </c>
      <c r="C537">
        <f t="shared" si="24"/>
        <v>10.152565131300443</v>
      </c>
      <c r="D537" s="2">
        <f t="shared" si="25"/>
        <v>0.25256513130044311</v>
      </c>
      <c r="E537" s="2">
        <f t="shared" si="26"/>
        <v>6.3789145548810072E-2</v>
      </c>
    </row>
    <row r="538" spans="1:5">
      <c r="A538" s="3">
        <v>80.3</v>
      </c>
      <c r="B538" s="2">
        <v>10.3</v>
      </c>
      <c r="C538">
        <f t="shared" si="24"/>
        <v>10.152565131300443</v>
      </c>
      <c r="D538" s="2">
        <f t="shared" si="25"/>
        <v>-0.14743486869955724</v>
      </c>
      <c r="E538" s="2">
        <f t="shared" si="26"/>
        <v>2.1737040508455683E-2</v>
      </c>
    </row>
    <row r="539" spans="1:5">
      <c r="A539" s="3">
        <v>80.3</v>
      </c>
      <c r="B539" s="2">
        <v>9.4</v>
      </c>
      <c r="C539">
        <f t="shared" si="24"/>
        <v>10.152565131300443</v>
      </c>
      <c r="D539" s="2">
        <f t="shared" si="25"/>
        <v>0.75256513130044311</v>
      </c>
      <c r="E539" s="2">
        <f t="shared" si="26"/>
        <v>0.56635427684925321</v>
      </c>
    </row>
    <row r="540" spans="1:5">
      <c r="A540" s="3">
        <v>80.400000000000006</v>
      </c>
      <c r="B540" s="2">
        <v>9.1999999999999993</v>
      </c>
      <c r="C540">
        <f t="shared" si="24"/>
        <v>10.173527071291359</v>
      </c>
      <c r="D540" s="2">
        <f t="shared" si="25"/>
        <v>0.97352707129135929</v>
      </c>
      <c r="E540" s="2">
        <f t="shared" si="26"/>
        <v>0.94775495853713132</v>
      </c>
    </row>
    <row r="541" spans="1:5">
      <c r="A541" s="3">
        <v>80.400000000000006</v>
      </c>
      <c r="B541" s="2">
        <v>9.1999999999999993</v>
      </c>
      <c r="C541">
        <f t="shared" si="24"/>
        <v>10.173527071291359</v>
      </c>
      <c r="D541" s="2">
        <f t="shared" si="25"/>
        <v>0.97352707129135929</v>
      </c>
      <c r="E541" s="2">
        <f t="shared" si="26"/>
        <v>0.94775495853713132</v>
      </c>
    </row>
    <row r="542" spans="1:5">
      <c r="A542" s="3">
        <v>80.5</v>
      </c>
      <c r="B542" s="2">
        <v>11.6</v>
      </c>
      <c r="C542">
        <f t="shared" si="24"/>
        <v>10.194489011282274</v>
      </c>
      <c r="D542" s="2">
        <f t="shared" si="25"/>
        <v>-1.405510988717726</v>
      </c>
      <c r="E542" s="2">
        <f t="shared" si="26"/>
        <v>1.9754611394062795</v>
      </c>
    </row>
    <row r="543" spans="1:5">
      <c r="A543" s="3">
        <v>80.599999999999994</v>
      </c>
      <c r="B543" s="2">
        <v>9.9</v>
      </c>
      <c r="C543">
        <f t="shared" si="24"/>
        <v>10.215450951273185</v>
      </c>
      <c r="D543" s="2">
        <f t="shared" si="25"/>
        <v>0.3154509512731849</v>
      </c>
      <c r="E543" s="2">
        <f t="shared" si="26"/>
        <v>9.9509302659157278E-2</v>
      </c>
    </row>
    <row r="544" spans="1:5">
      <c r="A544" s="3">
        <v>80.599999999999994</v>
      </c>
      <c r="B544" s="2">
        <v>9.6</v>
      </c>
      <c r="C544">
        <f t="shared" si="24"/>
        <v>10.215450951273185</v>
      </c>
      <c r="D544" s="2">
        <f t="shared" si="25"/>
        <v>0.61545095127318561</v>
      </c>
      <c r="E544" s="2">
        <f t="shared" si="26"/>
        <v>0.37877987342306907</v>
      </c>
    </row>
    <row r="545" spans="1:5">
      <c r="A545" s="3">
        <v>80.599999999999994</v>
      </c>
      <c r="B545" s="2">
        <v>11.7</v>
      </c>
      <c r="C545">
        <f t="shared" si="24"/>
        <v>10.215450951273185</v>
      </c>
      <c r="D545" s="2">
        <f t="shared" si="25"/>
        <v>-1.484549048726814</v>
      </c>
      <c r="E545" s="2">
        <f t="shared" si="26"/>
        <v>2.2038858780756883</v>
      </c>
    </row>
    <row r="546" spans="1:5">
      <c r="A546" s="3">
        <v>80.599999999999994</v>
      </c>
      <c r="B546" s="2">
        <v>7.6</v>
      </c>
      <c r="C546">
        <f t="shared" si="24"/>
        <v>10.215450951273185</v>
      </c>
      <c r="D546" s="2">
        <f t="shared" si="25"/>
        <v>2.6154509512731856</v>
      </c>
      <c r="E546" s="2">
        <f t="shared" si="26"/>
        <v>6.8405836785158112</v>
      </c>
    </row>
    <row r="547" spans="1:5">
      <c r="A547" s="3">
        <v>80.7</v>
      </c>
      <c r="B547" s="2">
        <v>10.9</v>
      </c>
      <c r="C547">
        <f t="shared" si="24"/>
        <v>10.2364128912641</v>
      </c>
      <c r="D547" s="2">
        <f t="shared" si="25"/>
        <v>-0.66358710873589999</v>
      </c>
      <c r="E547" s="2">
        <f t="shared" si="26"/>
        <v>0.44034785088047118</v>
      </c>
    </row>
    <row r="548" spans="1:5">
      <c r="A548" s="3">
        <v>80.7</v>
      </c>
      <c r="B548" s="2">
        <v>9.9</v>
      </c>
      <c r="C548">
        <f t="shared" si="24"/>
        <v>10.2364128912641</v>
      </c>
      <c r="D548" s="2">
        <f t="shared" si="25"/>
        <v>0.33641289126410001</v>
      </c>
      <c r="E548" s="2">
        <f t="shared" si="26"/>
        <v>0.11317363340867118</v>
      </c>
    </row>
    <row r="549" spans="1:5">
      <c r="A549" s="3">
        <v>80.8</v>
      </c>
      <c r="B549" s="2">
        <v>10.1</v>
      </c>
      <c r="C549">
        <f t="shared" si="24"/>
        <v>10.257374831255015</v>
      </c>
      <c r="D549" s="2">
        <f t="shared" si="25"/>
        <v>0.15737483125501583</v>
      </c>
      <c r="E549" s="2">
        <f t="shared" si="26"/>
        <v>2.4766837512544708E-2</v>
      </c>
    </row>
    <row r="550" spans="1:5">
      <c r="A550" s="3">
        <v>80.8</v>
      </c>
      <c r="B550" s="2">
        <v>10.8</v>
      </c>
      <c r="C550">
        <f t="shared" si="24"/>
        <v>10.257374831255015</v>
      </c>
      <c r="D550" s="2">
        <f t="shared" si="25"/>
        <v>-0.54262516874498523</v>
      </c>
      <c r="E550" s="2">
        <f t="shared" si="26"/>
        <v>0.29444207375552367</v>
      </c>
    </row>
    <row r="551" spans="1:5">
      <c r="A551" s="3">
        <v>80.8</v>
      </c>
      <c r="B551" s="2">
        <v>9.1999999999999993</v>
      </c>
      <c r="C551">
        <f t="shared" si="24"/>
        <v>10.257374831255015</v>
      </c>
      <c r="D551" s="2">
        <f t="shared" si="25"/>
        <v>1.0573748312550162</v>
      </c>
      <c r="E551" s="2">
        <f t="shared" si="26"/>
        <v>1.1180415337715739</v>
      </c>
    </row>
    <row r="552" spans="1:5">
      <c r="A552" s="3">
        <v>81</v>
      </c>
      <c r="B552" s="2">
        <v>11.9</v>
      </c>
      <c r="C552">
        <f t="shared" si="24"/>
        <v>10.299298711236846</v>
      </c>
      <c r="D552" s="2">
        <f t="shared" si="25"/>
        <v>-1.6007012887631547</v>
      </c>
      <c r="E552" s="2">
        <f t="shared" si="26"/>
        <v>2.5622446158480243</v>
      </c>
    </row>
    <row r="553" spans="1:5">
      <c r="A553" s="3">
        <v>81</v>
      </c>
      <c r="B553" s="2">
        <v>10.1</v>
      </c>
      <c r="C553">
        <f t="shared" si="24"/>
        <v>10.299298711236846</v>
      </c>
      <c r="D553" s="2">
        <f t="shared" si="25"/>
        <v>0.19929871123684606</v>
      </c>
      <c r="E553" s="2">
        <f t="shared" si="26"/>
        <v>3.9719976300667752E-2</v>
      </c>
    </row>
    <row r="554" spans="1:5">
      <c r="A554" s="3">
        <v>81</v>
      </c>
      <c r="B554" s="2">
        <v>11.6</v>
      </c>
      <c r="C554">
        <f t="shared" si="24"/>
        <v>10.299298711236846</v>
      </c>
      <c r="D554" s="2">
        <f t="shared" si="25"/>
        <v>-1.3007012887631539</v>
      </c>
      <c r="E554" s="2">
        <f t="shared" si="26"/>
        <v>1.6918238425901295</v>
      </c>
    </row>
    <row r="555" spans="1:5">
      <c r="A555" s="3">
        <v>81</v>
      </c>
      <c r="B555" s="2">
        <v>10.6</v>
      </c>
      <c r="C555">
        <f t="shared" si="24"/>
        <v>10.299298711236846</v>
      </c>
      <c r="D555" s="2">
        <f t="shared" si="25"/>
        <v>-0.30070128876315394</v>
      </c>
      <c r="E555" s="2">
        <f t="shared" si="26"/>
        <v>9.0421265063821685E-2</v>
      </c>
    </row>
    <row r="556" spans="1:5">
      <c r="A556" s="3">
        <v>81</v>
      </c>
      <c r="B556" s="2">
        <v>10.8</v>
      </c>
      <c r="C556">
        <f t="shared" si="24"/>
        <v>10.299298711236846</v>
      </c>
      <c r="D556" s="2">
        <f t="shared" si="25"/>
        <v>-0.50070128876315501</v>
      </c>
      <c r="E556" s="2">
        <f t="shared" si="26"/>
        <v>0.25070178056908432</v>
      </c>
    </row>
    <row r="557" spans="1:5">
      <c r="A557" s="3">
        <v>81</v>
      </c>
      <c r="B557" s="2">
        <v>11.4</v>
      </c>
      <c r="C557">
        <f t="shared" si="24"/>
        <v>10.299298711236846</v>
      </c>
      <c r="D557" s="2">
        <f t="shared" si="25"/>
        <v>-1.1007012887631547</v>
      </c>
      <c r="E557" s="2">
        <f t="shared" si="26"/>
        <v>1.2115433270848694</v>
      </c>
    </row>
    <row r="558" spans="1:5">
      <c r="A558" s="3">
        <v>81</v>
      </c>
      <c r="B558" s="2">
        <v>11.6</v>
      </c>
      <c r="C558">
        <f t="shared" si="24"/>
        <v>10.299298711236846</v>
      </c>
      <c r="D558" s="2">
        <f t="shared" si="25"/>
        <v>-1.3007012887631539</v>
      </c>
      <c r="E558" s="2">
        <f t="shared" si="26"/>
        <v>1.6918238425901295</v>
      </c>
    </row>
    <row r="559" spans="1:5">
      <c r="A559" s="3">
        <v>81.099999999999994</v>
      </c>
      <c r="B559" s="2">
        <v>10.3</v>
      </c>
      <c r="C559">
        <f t="shared" si="24"/>
        <v>10.320260651227757</v>
      </c>
      <c r="D559" s="2">
        <f t="shared" si="25"/>
        <v>2.0260651227756554E-2</v>
      </c>
      <c r="E559" s="2">
        <f t="shared" si="26"/>
        <v>4.1049398817279316E-4</v>
      </c>
    </row>
    <row r="560" spans="1:5">
      <c r="A560" s="3">
        <v>81.099999999999994</v>
      </c>
      <c r="B560" s="2">
        <v>10.4</v>
      </c>
      <c r="C560">
        <f t="shared" si="24"/>
        <v>10.320260651227757</v>
      </c>
      <c r="D560" s="2">
        <f t="shared" si="25"/>
        <v>-7.973934877224309E-2</v>
      </c>
      <c r="E560" s="2">
        <f t="shared" si="26"/>
        <v>6.3583637426214258E-3</v>
      </c>
    </row>
    <row r="561" spans="1:5">
      <c r="A561" s="3">
        <v>81.2</v>
      </c>
      <c r="B561" s="2">
        <v>8.5</v>
      </c>
      <c r="C561">
        <f t="shared" si="24"/>
        <v>10.341222591218676</v>
      </c>
      <c r="D561" s="2">
        <f t="shared" si="25"/>
        <v>1.8412225912186759</v>
      </c>
      <c r="E561" s="2">
        <f t="shared" si="26"/>
        <v>3.3901006304140155</v>
      </c>
    </row>
    <row r="562" spans="1:5">
      <c r="A562" s="3">
        <v>81.2</v>
      </c>
      <c r="B562" s="2">
        <v>12.2</v>
      </c>
      <c r="C562">
        <f t="shared" si="24"/>
        <v>10.341222591218676</v>
      </c>
      <c r="D562" s="2">
        <f t="shared" si="25"/>
        <v>-1.8587774087813234</v>
      </c>
      <c r="E562" s="2">
        <f t="shared" si="26"/>
        <v>3.4550534553958108</v>
      </c>
    </row>
    <row r="563" spans="1:5">
      <c r="A563" s="3">
        <v>81.2</v>
      </c>
      <c r="B563" s="2">
        <v>8.5</v>
      </c>
      <c r="C563">
        <f t="shared" si="24"/>
        <v>10.341222591218676</v>
      </c>
      <c r="D563" s="2">
        <f t="shared" si="25"/>
        <v>1.8412225912186759</v>
      </c>
      <c r="E563" s="2">
        <f t="shared" si="26"/>
        <v>3.3901006304140155</v>
      </c>
    </row>
    <row r="564" spans="1:5">
      <c r="A564" s="3">
        <v>81.2</v>
      </c>
      <c r="B564" s="2">
        <v>10.199999999999999</v>
      </c>
      <c r="C564">
        <f t="shared" si="24"/>
        <v>10.341222591218676</v>
      </c>
      <c r="D564" s="2">
        <f t="shared" si="25"/>
        <v>0.14122259121867664</v>
      </c>
      <c r="E564" s="2">
        <f t="shared" si="26"/>
        <v>1.9943820270517446E-2</v>
      </c>
    </row>
    <row r="565" spans="1:5">
      <c r="A565" s="3">
        <v>81.3</v>
      </c>
      <c r="B565" s="2">
        <v>9.6999999999999993</v>
      </c>
      <c r="C565">
        <f t="shared" si="24"/>
        <v>10.362184531209587</v>
      </c>
      <c r="D565" s="2">
        <f t="shared" si="25"/>
        <v>0.6621845312095882</v>
      </c>
      <c r="E565" s="2">
        <f t="shared" si="26"/>
        <v>0.43848835337326209</v>
      </c>
    </row>
    <row r="566" spans="1:5">
      <c r="A566" s="3">
        <v>81.400000000000006</v>
      </c>
      <c r="B566" s="2">
        <v>9.8000000000000007</v>
      </c>
      <c r="C566">
        <f t="shared" si="24"/>
        <v>10.383146471200506</v>
      </c>
      <c r="D566" s="2">
        <f t="shared" si="25"/>
        <v>0.58314647120050545</v>
      </c>
      <c r="E566" s="2">
        <f t="shared" si="26"/>
        <v>0.34005980687360193</v>
      </c>
    </row>
    <row r="567" spans="1:5">
      <c r="A567" s="3">
        <v>81.400000000000006</v>
      </c>
      <c r="B567" s="2">
        <v>9.6</v>
      </c>
      <c r="C567">
        <f t="shared" si="24"/>
        <v>10.383146471200506</v>
      </c>
      <c r="D567" s="2">
        <f t="shared" si="25"/>
        <v>0.78314647120050651</v>
      </c>
      <c r="E567" s="2">
        <f t="shared" si="26"/>
        <v>0.61331839535380572</v>
      </c>
    </row>
    <row r="568" spans="1:5">
      <c r="A568" s="3">
        <v>81.400000000000006</v>
      </c>
      <c r="B568" s="2">
        <v>10.4</v>
      </c>
      <c r="C568">
        <f t="shared" si="24"/>
        <v>10.383146471200506</v>
      </c>
      <c r="D568" s="2">
        <f t="shared" si="25"/>
        <v>-1.68535287994942E-2</v>
      </c>
      <c r="E568" s="2">
        <f t="shared" si="26"/>
        <v>2.840414329953804E-4</v>
      </c>
    </row>
    <row r="569" spans="1:5">
      <c r="A569" s="3">
        <v>81.5</v>
      </c>
      <c r="B569" s="2">
        <v>10.1</v>
      </c>
      <c r="C569">
        <f t="shared" si="24"/>
        <v>10.404108411191418</v>
      </c>
      <c r="D569" s="2">
        <f t="shared" si="25"/>
        <v>0.30410841119141807</v>
      </c>
      <c r="E569" s="2">
        <f t="shared" si="26"/>
        <v>9.2481925757368619E-2</v>
      </c>
    </row>
    <row r="570" spans="1:5">
      <c r="A570" s="3">
        <v>81.5</v>
      </c>
      <c r="B570" s="2">
        <v>10.3</v>
      </c>
      <c r="C570">
        <f t="shared" si="24"/>
        <v>10.404108411191418</v>
      </c>
      <c r="D570" s="2">
        <f t="shared" si="25"/>
        <v>0.10410841119141701</v>
      </c>
      <c r="E570" s="2">
        <f t="shared" si="26"/>
        <v>1.0838561280801162E-2</v>
      </c>
    </row>
    <row r="571" spans="1:5">
      <c r="A571" s="3">
        <v>81.5</v>
      </c>
      <c r="B571" s="2">
        <v>10.7</v>
      </c>
      <c r="C571">
        <f t="shared" si="24"/>
        <v>10.404108411191418</v>
      </c>
      <c r="D571" s="2">
        <f t="shared" si="25"/>
        <v>-0.29589158880858157</v>
      </c>
      <c r="E571" s="2">
        <f t="shared" si="26"/>
        <v>8.7551832327666723E-2</v>
      </c>
    </row>
    <row r="572" spans="1:5">
      <c r="A572" s="3">
        <v>81.5</v>
      </c>
      <c r="B572" s="2">
        <v>9.8000000000000007</v>
      </c>
      <c r="C572">
        <f t="shared" si="24"/>
        <v>10.404108411191418</v>
      </c>
      <c r="D572" s="2">
        <f t="shared" si="25"/>
        <v>0.60410841119141701</v>
      </c>
      <c r="E572" s="2">
        <f t="shared" si="26"/>
        <v>0.36494697247221819</v>
      </c>
    </row>
    <row r="573" spans="1:5">
      <c r="A573" s="3">
        <v>81.599999999999994</v>
      </c>
      <c r="B573" s="2">
        <v>8.6</v>
      </c>
      <c r="C573">
        <f t="shared" si="24"/>
        <v>10.425070351182333</v>
      </c>
      <c r="D573" s="2">
        <f t="shared" si="25"/>
        <v>1.8250703511823332</v>
      </c>
      <c r="E573" s="2">
        <f t="shared" si="26"/>
        <v>3.3308817867648051</v>
      </c>
    </row>
    <row r="574" spans="1:5">
      <c r="A574" s="3">
        <v>81.599999999999994</v>
      </c>
      <c r="B574" s="2">
        <v>10.6</v>
      </c>
      <c r="C574">
        <f t="shared" si="24"/>
        <v>10.425070351182333</v>
      </c>
      <c r="D574" s="2">
        <f t="shared" si="25"/>
        <v>-0.17492964881766682</v>
      </c>
      <c r="E574" s="2">
        <f t="shared" si="26"/>
        <v>3.0600382035472242E-2</v>
      </c>
    </row>
    <row r="575" spans="1:5">
      <c r="A575" s="3">
        <v>81.7</v>
      </c>
      <c r="B575" s="2">
        <v>11</v>
      </c>
      <c r="C575">
        <f t="shared" si="24"/>
        <v>10.446032291173248</v>
      </c>
      <c r="D575" s="2">
        <f t="shared" si="25"/>
        <v>-0.55396770882675206</v>
      </c>
      <c r="E575" s="2">
        <f t="shared" si="26"/>
        <v>0.30688022242276114</v>
      </c>
    </row>
    <row r="576" spans="1:5">
      <c r="A576" s="3">
        <v>81.7</v>
      </c>
      <c r="B576" s="2">
        <v>9.6</v>
      </c>
      <c r="C576">
        <f t="shared" si="24"/>
        <v>10.446032291173248</v>
      </c>
      <c r="D576" s="2">
        <f t="shared" si="25"/>
        <v>0.8460322911732483</v>
      </c>
      <c r="E576" s="2">
        <f t="shared" si="26"/>
        <v>0.71577063770785598</v>
      </c>
    </row>
    <row r="577" spans="1:5">
      <c r="A577" s="3">
        <v>81.900000000000006</v>
      </c>
      <c r="B577" s="2">
        <v>10.199999999999999</v>
      </c>
      <c r="C577">
        <f t="shared" si="24"/>
        <v>10.487956171155078</v>
      </c>
      <c r="D577" s="2">
        <f t="shared" si="25"/>
        <v>0.28795617115507888</v>
      </c>
      <c r="E577" s="2">
        <f t="shared" si="26"/>
        <v>8.2918756506293087E-2</v>
      </c>
    </row>
    <row r="578" spans="1:5">
      <c r="A578" s="3">
        <v>81.900000000000006</v>
      </c>
      <c r="B578" s="2">
        <v>9.6999999999999993</v>
      </c>
      <c r="C578">
        <f t="shared" si="24"/>
        <v>10.487956171155078</v>
      </c>
      <c r="D578" s="2">
        <f t="shared" si="25"/>
        <v>0.78795617115507888</v>
      </c>
      <c r="E578" s="2">
        <f t="shared" si="26"/>
        <v>0.62087492766137198</v>
      </c>
    </row>
    <row r="579" spans="1:5">
      <c r="A579" s="3">
        <v>82</v>
      </c>
      <c r="B579" s="2">
        <v>10.3</v>
      </c>
      <c r="C579">
        <f t="shared" ref="C579:C642" si="27">$K$4*A579+$K$5</f>
        <v>10.508918111145993</v>
      </c>
      <c r="D579" s="2">
        <f t="shared" ref="D579:D642" si="28">C579-B579</f>
        <v>0.20891811114599257</v>
      </c>
      <c r="E579" s="2">
        <f t="shared" ref="E579:E642" si="29">D579^2</f>
        <v>4.3646777164809303E-2</v>
      </c>
    </row>
    <row r="580" spans="1:5">
      <c r="A580" s="3">
        <v>82</v>
      </c>
      <c r="B580" s="2">
        <v>10.1</v>
      </c>
      <c r="C580">
        <f t="shared" si="27"/>
        <v>10.508918111145993</v>
      </c>
      <c r="D580" s="2">
        <f t="shared" si="28"/>
        <v>0.40891811114599363</v>
      </c>
      <c r="E580" s="2">
        <f t="shared" si="29"/>
        <v>0.1672140216232072</v>
      </c>
    </row>
    <row r="581" spans="1:5">
      <c r="A581" s="3">
        <v>82</v>
      </c>
      <c r="B581" s="2">
        <v>10.199999999999999</v>
      </c>
      <c r="C581">
        <f t="shared" si="27"/>
        <v>10.508918111145993</v>
      </c>
      <c r="D581" s="2">
        <f t="shared" si="28"/>
        <v>0.30891811114599399</v>
      </c>
      <c r="E581" s="2">
        <f t="shared" si="29"/>
        <v>9.54303993940087E-2</v>
      </c>
    </row>
    <row r="582" spans="1:5">
      <c r="A582" s="3">
        <v>82.1</v>
      </c>
      <c r="B582" s="2">
        <v>10.9</v>
      </c>
      <c r="C582">
        <f t="shared" si="27"/>
        <v>10.529880051136905</v>
      </c>
      <c r="D582" s="2">
        <f t="shared" si="28"/>
        <v>-0.37011994886309552</v>
      </c>
      <c r="E582" s="2">
        <f t="shared" si="29"/>
        <v>0.13698877654642044</v>
      </c>
    </row>
    <row r="583" spans="1:5">
      <c r="A583" s="3">
        <v>82.1</v>
      </c>
      <c r="B583" s="2">
        <v>10.7</v>
      </c>
      <c r="C583">
        <f t="shared" si="27"/>
        <v>10.529880051136905</v>
      </c>
      <c r="D583" s="2">
        <f t="shared" si="28"/>
        <v>-0.17011994886309445</v>
      </c>
      <c r="E583" s="2">
        <f t="shared" si="29"/>
        <v>2.8940797001181871E-2</v>
      </c>
    </row>
    <row r="584" spans="1:5">
      <c r="A584" s="3">
        <v>82.2</v>
      </c>
      <c r="B584" s="2">
        <v>11</v>
      </c>
      <c r="C584">
        <f t="shared" si="27"/>
        <v>10.55084199112782</v>
      </c>
      <c r="D584" s="2">
        <f t="shared" si="28"/>
        <v>-0.44915800887218005</v>
      </c>
      <c r="E584" s="2">
        <f t="shared" si="29"/>
        <v>0.20174291693402138</v>
      </c>
    </row>
    <row r="585" spans="1:5">
      <c r="A585" s="3">
        <v>82.2</v>
      </c>
      <c r="B585" s="2">
        <v>9.6999999999999993</v>
      </c>
      <c r="C585">
        <f t="shared" si="27"/>
        <v>10.55084199112782</v>
      </c>
      <c r="D585" s="2">
        <f t="shared" si="28"/>
        <v>0.85084199112782066</v>
      </c>
      <c r="E585" s="2">
        <f t="shared" si="29"/>
        <v>0.72393209386635449</v>
      </c>
    </row>
    <row r="586" spans="1:5">
      <c r="A586" s="3">
        <v>82.2</v>
      </c>
      <c r="B586" s="2">
        <v>10</v>
      </c>
      <c r="C586">
        <f t="shared" si="27"/>
        <v>10.55084199112782</v>
      </c>
      <c r="D586" s="2">
        <f t="shared" si="28"/>
        <v>0.55084199112781995</v>
      </c>
      <c r="E586" s="2">
        <f t="shared" si="29"/>
        <v>0.30342689918966126</v>
      </c>
    </row>
    <row r="587" spans="1:5">
      <c r="A587" s="3">
        <v>82.2</v>
      </c>
      <c r="B587" s="2">
        <v>12.1</v>
      </c>
      <c r="C587">
        <f t="shared" si="27"/>
        <v>10.55084199112782</v>
      </c>
      <c r="D587" s="2">
        <f t="shared" si="28"/>
        <v>-1.5491580088721797</v>
      </c>
      <c r="E587" s="2">
        <f t="shared" si="29"/>
        <v>2.3998905364528165</v>
      </c>
    </row>
    <row r="588" spans="1:5">
      <c r="A588" s="3">
        <v>82.2</v>
      </c>
      <c r="B588" s="2">
        <v>11.5</v>
      </c>
      <c r="C588">
        <f t="shared" si="27"/>
        <v>10.55084199112782</v>
      </c>
      <c r="D588" s="2">
        <f t="shared" si="28"/>
        <v>-0.94915800887218005</v>
      </c>
      <c r="E588" s="2">
        <f t="shared" si="29"/>
        <v>0.9009009258062014</v>
      </c>
    </row>
    <row r="589" spans="1:5">
      <c r="A589" s="3">
        <v>82.2</v>
      </c>
      <c r="B589" s="2">
        <v>11.8</v>
      </c>
      <c r="C589">
        <f t="shared" si="27"/>
        <v>10.55084199112782</v>
      </c>
      <c r="D589" s="2">
        <f t="shared" si="28"/>
        <v>-1.2491580088721808</v>
      </c>
      <c r="E589" s="2">
        <f t="shared" si="29"/>
        <v>1.5603957311295111</v>
      </c>
    </row>
    <row r="590" spans="1:5">
      <c r="A590" s="3">
        <v>82.2</v>
      </c>
      <c r="B590" s="2">
        <v>11.4</v>
      </c>
      <c r="C590">
        <f t="shared" si="27"/>
        <v>10.55084199112782</v>
      </c>
      <c r="D590" s="2">
        <f t="shared" si="28"/>
        <v>-0.8491580088721804</v>
      </c>
      <c r="E590" s="2">
        <f t="shared" si="29"/>
        <v>0.72106932403176605</v>
      </c>
    </row>
    <row r="591" spans="1:5">
      <c r="A591" s="3">
        <v>82.2</v>
      </c>
      <c r="B591" s="2">
        <v>10.199999999999999</v>
      </c>
      <c r="C591">
        <f t="shared" si="27"/>
        <v>10.55084199112782</v>
      </c>
      <c r="D591" s="2">
        <f t="shared" si="28"/>
        <v>0.35084199112782066</v>
      </c>
      <c r="E591" s="2">
        <f t="shared" si="29"/>
        <v>0.1230901027385338</v>
      </c>
    </row>
    <row r="592" spans="1:5">
      <c r="A592" s="3">
        <v>82.3</v>
      </c>
      <c r="B592" s="2">
        <v>10.4</v>
      </c>
      <c r="C592">
        <f t="shared" si="27"/>
        <v>10.571803931118735</v>
      </c>
      <c r="D592" s="2">
        <f t="shared" si="28"/>
        <v>0.17180393111873471</v>
      </c>
      <c r="E592" s="2">
        <f t="shared" si="29"/>
        <v>2.951659074785094E-2</v>
      </c>
    </row>
    <row r="593" spans="1:5">
      <c r="A593" s="3">
        <v>82.3</v>
      </c>
      <c r="B593" s="2">
        <v>10.9</v>
      </c>
      <c r="C593">
        <f t="shared" si="27"/>
        <v>10.571803931118735</v>
      </c>
      <c r="D593" s="2">
        <f t="shared" si="28"/>
        <v>-0.32819606888126529</v>
      </c>
      <c r="E593" s="2">
        <f t="shared" si="29"/>
        <v>0.10771265962911623</v>
      </c>
    </row>
    <row r="594" spans="1:5">
      <c r="A594" s="3">
        <v>82.3</v>
      </c>
      <c r="B594" s="2">
        <v>10.9</v>
      </c>
      <c r="C594">
        <f t="shared" si="27"/>
        <v>10.571803931118735</v>
      </c>
      <c r="D594" s="2">
        <f t="shared" si="28"/>
        <v>-0.32819606888126529</v>
      </c>
      <c r="E594" s="2">
        <f t="shared" si="29"/>
        <v>0.10771265962911623</v>
      </c>
    </row>
    <row r="595" spans="1:5">
      <c r="A595" s="3">
        <v>82.4</v>
      </c>
      <c r="B595" s="2">
        <v>10.1</v>
      </c>
      <c r="C595">
        <f t="shared" si="27"/>
        <v>10.59276587110965</v>
      </c>
      <c r="D595" s="2">
        <f t="shared" si="28"/>
        <v>0.49276587110965053</v>
      </c>
      <c r="E595" s="2">
        <f t="shared" si="29"/>
        <v>0.24281820373045271</v>
      </c>
    </row>
    <row r="596" spans="1:5">
      <c r="A596" s="3">
        <v>82.4</v>
      </c>
      <c r="B596" s="2">
        <v>9.9</v>
      </c>
      <c r="C596">
        <f t="shared" si="27"/>
        <v>10.59276587110965</v>
      </c>
      <c r="D596" s="2">
        <f t="shared" si="28"/>
        <v>0.69276587110964982</v>
      </c>
      <c r="E596" s="2">
        <f t="shared" si="29"/>
        <v>0.47992455217431196</v>
      </c>
    </row>
    <row r="597" spans="1:5">
      <c r="A597" s="3">
        <v>82.5</v>
      </c>
      <c r="B597" s="2">
        <v>11.9</v>
      </c>
      <c r="C597">
        <f t="shared" si="27"/>
        <v>10.613727811100565</v>
      </c>
      <c r="D597" s="2">
        <f t="shared" si="28"/>
        <v>-1.2862721888994351</v>
      </c>
      <c r="E597" s="2">
        <f t="shared" si="29"/>
        <v>1.6544961439361439</v>
      </c>
    </row>
    <row r="598" spans="1:5">
      <c r="A598" s="3">
        <v>82.5</v>
      </c>
      <c r="B598" s="2">
        <v>11</v>
      </c>
      <c r="C598">
        <f t="shared" si="27"/>
        <v>10.613727811100565</v>
      </c>
      <c r="D598" s="2">
        <f t="shared" si="28"/>
        <v>-0.38627218889943471</v>
      </c>
      <c r="E598" s="2">
        <f t="shared" si="29"/>
        <v>0.14920620391716058</v>
      </c>
    </row>
    <row r="599" spans="1:5">
      <c r="A599" s="3">
        <v>82.5</v>
      </c>
      <c r="B599" s="2">
        <v>10.9</v>
      </c>
      <c r="C599">
        <f t="shared" si="27"/>
        <v>10.613727811100565</v>
      </c>
      <c r="D599" s="2">
        <f t="shared" si="28"/>
        <v>-0.28627218889943506</v>
      </c>
      <c r="E599" s="2">
        <f t="shared" si="29"/>
        <v>8.1951766137273827E-2</v>
      </c>
    </row>
    <row r="600" spans="1:5">
      <c r="A600" s="3">
        <v>82.5</v>
      </c>
      <c r="B600" s="2">
        <v>11.2</v>
      </c>
      <c r="C600">
        <f t="shared" si="27"/>
        <v>10.613727811100565</v>
      </c>
      <c r="D600" s="2">
        <f t="shared" si="28"/>
        <v>-0.586272188899434</v>
      </c>
      <c r="E600" s="2">
        <f t="shared" si="29"/>
        <v>0.34371507947693364</v>
      </c>
    </row>
    <row r="601" spans="1:5">
      <c r="A601" s="3">
        <v>82.5</v>
      </c>
      <c r="B601" s="2">
        <v>10.6</v>
      </c>
      <c r="C601">
        <f t="shared" si="27"/>
        <v>10.613727811100565</v>
      </c>
      <c r="D601" s="2">
        <f t="shared" si="28"/>
        <v>1.3727811100565646E-2</v>
      </c>
      <c r="E601" s="2">
        <f t="shared" si="29"/>
        <v>1.8845279761281337E-4</v>
      </c>
    </row>
    <row r="602" spans="1:5">
      <c r="A602" s="3">
        <v>82.6</v>
      </c>
      <c r="B602" s="2">
        <v>11.5</v>
      </c>
      <c r="C602">
        <f t="shared" si="27"/>
        <v>10.634689751091477</v>
      </c>
      <c r="D602" s="2">
        <f t="shared" si="28"/>
        <v>-0.86531024890852315</v>
      </c>
      <c r="E602" s="2">
        <f t="shared" si="29"/>
        <v>0.74876182686613024</v>
      </c>
    </row>
    <row r="603" spans="1:5">
      <c r="A603" s="3">
        <v>82.6</v>
      </c>
      <c r="B603" s="2">
        <v>9.4</v>
      </c>
      <c r="C603">
        <f t="shared" si="27"/>
        <v>10.634689751091477</v>
      </c>
      <c r="D603" s="2">
        <f t="shared" si="28"/>
        <v>1.2346897510914765</v>
      </c>
      <c r="E603" s="2">
        <f t="shared" si="29"/>
        <v>1.5244587814503321</v>
      </c>
    </row>
    <row r="604" spans="1:5">
      <c r="A604" s="3">
        <v>82.6</v>
      </c>
      <c r="B604" s="2">
        <v>8.9</v>
      </c>
      <c r="C604">
        <f t="shared" si="27"/>
        <v>10.634689751091477</v>
      </c>
      <c r="D604" s="2">
        <f t="shared" si="28"/>
        <v>1.7346897510914765</v>
      </c>
      <c r="E604" s="2">
        <f t="shared" si="29"/>
        <v>3.0091485325418086</v>
      </c>
    </row>
    <row r="605" spans="1:5">
      <c r="A605" s="3">
        <v>82.7</v>
      </c>
      <c r="B605" s="2">
        <v>12.7</v>
      </c>
      <c r="C605">
        <f t="shared" si="27"/>
        <v>10.655651691082396</v>
      </c>
      <c r="D605" s="2">
        <f t="shared" si="28"/>
        <v>-2.0443483089176038</v>
      </c>
      <c r="E605" s="2">
        <f t="shared" si="29"/>
        <v>4.1793600081742666</v>
      </c>
    </row>
    <row r="606" spans="1:5">
      <c r="A606" s="3">
        <v>82.8</v>
      </c>
      <c r="B606" s="2">
        <v>11.6</v>
      </c>
      <c r="C606">
        <f t="shared" si="27"/>
        <v>10.676613631073307</v>
      </c>
      <c r="D606" s="2">
        <f t="shared" si="28"/>
        <v>-0.92338636892669257</v>
      </c>
      <c r="E606" s="2">
        <f t="shared" si="29"/>
        <v>0.85264238631962197</v>
      </c>
    </row>
    <row r="607" spans="1:5">
      <c r="A607" s="3">
        <v>82.8</v>
      </c>
      <c r="B607" s="2">
        <v>10.6</v>
      </c>
      <c r="C607">
        <f t="shared" si="27"/>
        <v>10.676613631073307</v>
      </c>
      <c r="D607" s="2">
        <f t="shared" si="28"/>
        <v>7.6613631073307431E-2</v>
      </c>
      <c r="E607" s="2">
        <f t="shared" si="29"/>
        <v>5.869648466236858E-3</v>
      </c>
    </row>
    <row r="608" spans="1:5">
      <c r="A608" s="3">
        <v>82.8</v>
      </c>
      <c r="B608" s="2">
        <v>10.1</v>
      </c>
      <c r="C608">
        <f t="shared" si="27"/>
        <v>10.676613631073307</v>
      </c>
      <c r="D608" s="2">
        <f t="shared" si="28"/>
        <v>0.57661363107330743</v>
      </c>
      <c r="E608" s="2">
        <f t="shared" si="29"/>
        <v>0.33248327953954426</v>
      </c>
    </row>
    <row r="609" spans="1:5">
      <c r="A609" s="3">
        <v>82.8</v>
      </c>
      <c r="B609" s="2">
        <v>11.4</v>
      </c>
      <c r="C609">
        <f t="shared" si="27"/>
        <v>10.676613631073307</v>
      </c>
      <c r="D609" s="2">
        <f t="shared" si="28"/>
        <v>-0.72338636892669328</v>
      </c>
      <c r="E609" s="2">
        <f t="shared" si="29"/>
        <v>0.52328783874894602</v>
      </c>
    </row>
    <row r="610" spans="1:5">
      <c r="A610" s="3">
        <v>82.8</v>
      </c>
      <c r="B610" s="2">
        <v>10.199999999999999</v>
      </c>
      <c r="C610">
        <f t="shared" si="27"/>
        <v>10.676613631073307</v>
      </c>
      <c r="D610" s="2">
        <f t="shared" si="28"/>
        <v>0.47661363107330779</v>
      </c>
      <c r="E610" s="2">
        <f t="shared" si="29"/>
        <v>0.22716055332488314</v>
      </c>
    </row>
    <row r="611" spans="1:5">
      <c r="A611" s="3">
        <v>82.9</v>
      </c>
      <c r="B611" s="2">
        <v>10.1</v>
      </c>
      <c r="C611">
        <f t="shared" si="27"/>
        <v>10.697575571064226</v>
      </c>
      <c r="D611" s="2">
        <f t="shared" si="28"/>
        <v>0.5975755710642261</v>
      </c>
      <c r="E611" s="2">
        <f t="shared" si="29"/>
        <v>0.35709656313273591</v>
      </c>
    </row>
    <row r="612" spans="1:5">
      <c r="A612" s="3">
        <v>82.9</v>
      </c>
      <c r="B612" s="2">
        <v>9.6</v>
      </c>
      <c r="C612">
        <f t="shared" si="27"/>
        <v>10.697575571064226</v>
      </c>
      <c r="D612" s="2">
        <f t="shared" si="28"/>
        <v>1.0975755710642261</v>
      </c>
      <c r="E612" s="2">
        <f t="shared" si="29"/>
        <v>1.204672134196962</v>
      </c>
    </row>
    <row r="613" spans="1:5">
      <c r="A613" s="3">
        <v>82.9</v>
      </c>
      <c r="B613" s="2">
        <v>11.5</v>
      </c>
      <c r="C613">
        <f t="shared" si="27"/>
        <v>10.697575571064226</v>
      </c>
      <c r="D613" s="2">
        <f t="shared" si="28"/>
        <v>-0.80242442893577426</v>
      </c>
      <c r="E613" s="2">
        <f t="shared" si="29"/>
        <v>0.64388496415290342</v>
      </c>
    </row>
    <row r="614" spans="1:5">
      <c r="A614" s="3">
        <v>82.9</v>
      </c>
      <c r="B614" s="2">
        <v>11</v>
      </c>
      <c r="C614">
        <f t="shared" si="27"/>
        <v>10.697575571064226</v>
      </c>
      <c r="D614" s="2">
        <f t="shared" si="28"/>
        <v>-0.30242442893577426</v>
      </c>
      <c r="E614" s="2">
        <f t="shared" si="29"/>
        <v>9.1460535217129171E-2</v>
      </c>
    </row>
    <row r="615" spans="1:5">
      <c r="A615" s="3">
        <v>82.9</v>
      </c>
      <c r="B615" s="2">
        <v>11</v>
      </c>
      <c r="C615">
        <f t="shared" si="27"/>
        <v>10.697575571064226</v>
      </c>
      <c r="D615" s="2">
        <f t="shared" si="28"/>
        <v>-0.30242442893577426</v>
      </c>
      <c r="E615" s="2">
        <f t="shared" si="29"/>
        <v>9.1460535217129171E-2</v>
      </c>
    </row>
    <row r="616" spans="1:5">
      <c r="A616" s="3">
        <v>83</v>
      </c>
      <c r="B616" s="2">
        <v>10.3</v>
      </c>
      <c r="C616">
        <f t="shared" si="27"/>
        <v>10.718537511055137</v>
      </c>
      <c r="D616" s="2">
        <f t="shared" si="28"/>
        <v>0.41853751105513659</v>
      </c>
      <c r="E616" s="2">
        <f t="shared" si="29"/>
        <v>0.1751736481602286</v>
      </c>
    </row>
    <row r="617" spans="1:5">
      <c r="A617" s="3">
        <v>83</v>
      </c>
      <c r="B617" s="2">
        <v>10.4</v>
      </c>
      <c r="C617">
        <f t="shared" si="27"/>
        <v>10.718537511055137</v>
      </c>
      <c r="D617" s="2">
        <f t="shared" si="28"/>
        <v>0.31853751105513695</v>
      </c>
      <c r="E617" s="2">
        <f t="shared" si="29"/>
        <v>0.10146614594920149</v>
      </c>
    </row>
    <row r="618" spans="1:5">
      <c r="A618" s="3">
        <v>83</v>
      </c>
      <c r="B618" s="2">
        <v>8.6999999999999993</v>
      </c>
      <c r="C618">
        <f t="shared" si="27"/>
        <v>10.718537511055137</v>
      </c>
      <c r="D618" s="2">
        <f t="shared" si="28"/>
        <v>2.018537511055138</v>
      </c>
      <c r="E618" s="2">
        <f t="shared" si="29"/>
        <v>4.0744936835366712</v>
      </c>
    </row>
    <row r="619" spans="1:5">
      <c r="A619" s="3">
        <v>83</v>
      </c>
      <c r="B619" s="2">
        <v>10</v>
      </c>
      <c r="C619">
        <f t="shared" si="27"/>
        <v>10.718537511055137</v>
      </c>
      <c r="D619" s="2">
        <f t="shared" si="28"/>
        <v>0.7185375110551373</v>
      </c>
      <c r="E619" s="2">
        <f t="shared" si="29"/>
        <v>0.51629615479331159</v>
      </c>
    </row>
    <row r="620" spans="1:5">
      <c r="A620" s="3">
        <v>83</v>
      </c>
      <c r="B620" s="2">
        <v>10.3</v>
      </c>
      <c r="C620">
        <f t="shared" si="27"/>
        <v>10.718537511055137</v>
      </c>
      <c r="D620" s="2">
        <f t="shared" si="28"/>
        <v>0.41853751105513659</v>
      </c>
      <c r="E620" s="2">
        <f t="shared" si="29"/>
        <v>0.1751736481602286</v>
      </c>
    </row>
    <row r="621" spans="1:5">
      <c r="A621" s="3">
        <v>83</v>
      </c>
      <c r="B621" s="2">
        <v>10.4</v>
      </c>
      <c r="C621">
        <f t="shared" si="27"/>
        <v>10.718537511055137</v>
      </c>
      <c r="D621" s="2">
        <f t="shared" si="28"/>
        <v>0.31853751105513695</v>
      </c>
      <c r="E621" s="2">
        <f t="shared" si="29"/>
        <v>0.10146614594920149</v>
      </c>
    </row>
    <row r="622" spans="1:5">
      <c r="A622" s="3">
        <v>83</v>
      </c>
      <c r="B622" s="2">
        <v>11.9</v>
      </c>
      <c r="C622">
        <f t="shared" si="27"/>
        <v>10.718537511055137</v>
      </c>
      <c r="D622" s="2">
        <f t="shared" si="28"/>
        <v>-1.1814624889448631</v>
      </c>
      <c r="E622" s="2">
        <f t="shared" si="29"/>
        <v>1.3958536127837906</v>
      </c>
    </row>
    <row r="623" spans="1:5">
      <c r="A623" s="3">
        <v>83.1</v>
      </c>
      <c r="B623" s="2">
        <v>11.2</v>
      </c>
      <c r="C623">
        <f t="shared" si="27"/>
        <v>10.739499451046052</v>
      </c>
      <c r="D623" s="2">
        <f t="shared" si="28"/>
        <v>-0.46050054895394688</v>
      </c>
      <c r="E623" s="2">
        <f t="shared" si="29"/>
        <v>0.21206075558688642</v>
      </c>
    </row>
    <row r="624" spans="1:5">
      <c r="A624" s="3">
        <v>83.1</v>
      </c>
      <c r="B624" s="2">
        <v>9.3000000000000007</v>
      </c>
      <c r="C624">
        <f t="shared" si="27"/>
        <v>10.739499451046052</v>
      </c>
      <c r="D624" s="2">
        <f t="shared" si="28"/>
        <v>1.4394994510460517</v>
      </c>
      <c r="E624" s="2">
        <f t="shared" si="29"/>
        <v>2.0721586695618841</v>
      </c>
    </row>
    <row r="625" spans="1:5">
      <c r="A625" s="3">
        <v>83.1</v>
      </c>
      <c r="B625" s="2">
        <v>10</v>
      </c>
      <c r="C625">
        <f t="shared" si="27"/>
        <v>10.739499451046052</v>
      </c>
      <c r="D625" s="2">
        <f t="shared" si="28"/>
        <v>0.73949945104605241</v>
      </c>
      <c r="E625" s="2">
        <f t="shared" si="29"/>
        <v>0.54685943809741289</v>
      </c>
    </row>
    <row r="626" spans="1:5">
      <c r="A626" s="3">
        <v>83.2</v>
      </c>
      <c r="B626" s="2">
        <v>9.6</v>
      </c>
      <c r="C626">
        <f t="shared" si="27"/>
        <v>10.760461391036968</v>
      </c>
      <c r="D626" s="2">
        <f t="shared" si="28"/>
        <v>1.1604613910369679</v>
      </c>
      <c r="E626" s="2">
        <f t="shared" si="29"/>
        <v>1.3466706400874544</v>
      </c>
    </row>
    <row r="627" spans="1:5">
      <c r="A627" s="3">
        <v>83.2</v>
      </c>
      <c r="B627" s="2">
        <v>11.4</v>
      </c>
      <c r="C627">
        <f t="shared" si="27"/>
        <v>10.760461391036968</v>
      </c>
      <c r="D627" s="2">
        <f t="shared" si="28"/>
        <v>-0.63953860896303283</v>
      </c>
      <c r="E627" s="2">
        <f t="shared" si="29"/>
        <v>0.40900963235437099</v>
      </c>
    </row>
    <row r="628" spans="1:5">
      <c r="A628" s="3">
        <v>83.2</v>
      </c>
      <c r="B628" s="2">
        <v>11.5</v>
      </c>
      <c r="C628">
        <f t="shared" si="27"/>
        <v>10.760461391036968</v>
      </c>
      <c r="D628" s="2">
        <f t="shared" si="28"/>
        <v>-0.73953860896303247</v>
      </c>
      <c r="E628" s="2">
        <f t="shared" si="29"/>
        <v>0.54691735414697706</v>
      </c>
    </row>
    <row r="629" spans="1:5">
      <c r="A629" s="3">
        <v>83.2</v>
      </c>
      <c r="B629" s="2">
        <v>11</v>
      </c>
      <c r="C629">
        <f t="shared" si="27"/>
        <v>10.760461391036968</v>
      </c>
      <c r="D629" s="2">
        <f t="shared" si="28"/>
        <v>-0.23953860896303247</v>
      </c>
      <c r="E629" s="2">
        <f t="shared" si="29"/>
        <v>5.7378745183944584E-2</v>
      </c>
    </row>
    <row r="630" spans="1:5">
      <c r="A630" s="3">
        <v>83.3</v>
      </c>
      <c r="B630" s="2">
        <v>11.8</v>
      </c>
      <c r="C630">
        <f t="shared" si="27"/>
        <v>10.781423331027883</v>
      </c>
      <c r="D630" s="2">
        <f t="shared" si="28"/>
        <v>-1.0185766689721181</v>
      </c>
      <c r="E630" s="2">
        <f t="shared" si="29"/>
        <v>1.0374984305743358</v>
      </c>
    </row>
    <row r="631" spans="1:5">
      <c r="A631" s="3">
        <v>83.3</v>
      </c>
      <c r="B631" s="2">
        <v>10.9</v>
      </c>
      <c r="C631">
        <f t="shared" si="27"/>
        <v>10.781423331027883</v>
      </c>
      <c r="D631" s="2">
        <f t="shared" si="28"/>
        <v>-0.11857666897211772</v>
      </c>
      <c r="E631" s="2">
        <f t="shared" si="29"/>
        <v>1.4060426424523185E-2</v>
      </c>
    </row>
    <row r="632" spans="1:5">
      <c r="A632" s="3">
        <v>83.3</v>
      </c>
      <c r="B632" s="2">
        <v>9.9</v>
      </c>
      <c r="C632">
        <f t="shared" si="27"/>
        <v>10.781423331027883</v>
      </c>
      <c r="D632" s="2">
        <f t="shared" si="28"/>
        <v>0.88142333102788228</v>
      </c>
      <c r="E632" s="2">
        <f t="shared" si="29"/>
        <v>0.77690708848028778</v>
      </c>
    </row>
    <row r="633" spans="1:5">
      <c r="A633" s="3">
        <v>83.4</v>
      </c>
      <c r="B633" s="2">
        <v>9.9</v>
      </c>
      <c r="C633">
        <f t="shared" si="27"/>
        <v>10.802385271018798</v>
      </c>
      <c r="D633" s="2">
        <f t="shared" si="28"/>
        <v>0.9023852710187974</v>
      </c>
      <c r="E633" s="2">
        <f t="shared" si="29"/>
        <v>0.81429917735166846</v>
      </c>
    </row>
    <row r="634" spans="1:5">
      <c r="A634" s="3">
        <v>83.4</v>
      </c>
      <c r="B634" s="2">
        <v>11</v>
      </c>
      <c r="C634">
        <f t="shared" si="27"/>
        <v>10.802385271018798</v>
      </c>
      <c r="D634" s="2">
        <f t="shared" si="28"/>
        <v>-0.19761472898120225</v>
      </c>
      <c r="E634" s="2">
        <f t="shared" si="29"/>
        <v>3.9051581110314017E-2</v>
      </c>
    </row>
    <row r="635" spans="1:5">
      <c r="A635" s="3">
        <v>83.5</v>
      </c>
      <c r="B635" s="2">
        <v>9.8000000000000007</v>
      </c>
      <c r="C635">
        <f t="shared" si="27"/>
        <v>10.823347211009709</v>
      </c>
      <c r="D635" s="2">
        <f t="shared" si="28"/>
        <v>1.0233472110097086</v>
      </c>
      <c r="E635" s="2">
        <f t="shared" si="29"/>
        <v>1.0472395142813491</v>
      </c>
    </row>
    <row r="636" spans="1:5">
      <c r="A636" s="3">
        <v>83.5</v>
      </c>
      <c r="B636" s="2">
        <v>13.1</v>
      </c>
      <c r="C636">
        <f t="shared" si="27"/>
        <v>10.823347211009709</v>
      </c>
      <c r="D636" s="2">
        <f t="shared" si="28"/>
        <v>-2.2766527889902903</v>
      </c>
      <c r="E636" s="2">
        <f t="shared" si="29"/>
        <v>5.1831479216172678</v>
      </c>
    </row>
    <row r="637" spans="1:5">
      <c r="A637" s="3">
        <v>83.5</v>
      </c>
      <c r="B637" s="2">
        <v>11</v>
      </c>
      <c r="C637">
        <f t="shared" si="27"/>
        <v>10.823347211009709</v>
      </c>
      <c r="D637" s="2">
        <f t="shared" si="28"/>
        <v>-0.17665278899029069</v>
      </c>
      <c r="E637" s="2">
        <f t="shared" si="29"/>
        <v>3.1206207858048167E-2</v>
      </c>
    </row>
    <row r="638" spans="1:5">
      <c r="A638" s="3">
        <v>83.5</v>
      </c>
      <c r="B638" s="2">
        <v>11.4</v>
      </c>
      <c r="C638">
        <f t="shared" si="27"/>
        <v>10.823347211009709</v>
      </c>
      <c r="D638" s="2">
        <f t="shared" si="28"/>
        <v>-0.57665278899029104</v>
      </c>
      <c r="E638" s="2">
        <f t="shared" si="29"/>
        <v>0.33252843905028112</v>
      </c>
    </row>
    <row r="639" spans="1:5">
      <c r="A639" s="3">
        <v>83.5</v>
      </c>
      <c r="B639" s="2">
        <v>11.7</v>
      </c>
      <c r="C639">
        <f t="shared" si="27"/>
        <v>10.823347211009709</v>
      </c>
      <c r="D639" s="2">
        <f t="shared" si="28"/>
        <v>-0.87665278899028998</v>
      </c>
      <c r="E639" s="2">
        <f t="shared" si="29"/>
        <v>0.76852011244445384</v>
      </c>
    </row>
    <row r="640" spans="1:5">
      <c r="A640" s="3">
        <v>83.6</v>
      </c>
      <c r="B640" s="2">
        <v>11.4</v>
      </c>
      <c r="C640">
        <f t="shared" si="27"/>
        <v>10.844309151000624</v>
      </c>
      <c r="D640" s="2">
        <f t="shared" si="28"/>
        <v>-0.55569084899937593</v>
      </c>
      <c r="E640" s="2">
        <f t="shared" si="29"/>
        <v>0.30879231966164722</v>
      </c>
    </row>
    <row r="641" spans="1:5">
      <c r="A641" s="3">
        <v>83.6</v>
      </c>
      <c r="B641" s="2">
        <v>10.8</v>
      </c>
      <c r="C641">
        <f t="shared" si="27"/>
        <v>10.844309151000624</v>
      </c>
      <c r="D641" s="2">
        <f t="shared" si="28"/>
        <v>4.4309151000623714E-2</v>
      </c>
      <c r="E641" s="2">
        <f t="shared" si="29"/>
        <v>1.9633008623960737E-3</v>
      </c>
    </row>
    <row r="642" spans="1:5">
      <c r="A642" s="3">
        <v>83.6</v>
      </c>
      <c r="B642" s="2">
        <v>10.9</v>
      </c>
      <c r="C642">
        <f t="shared" si="27"/>
        <v>10.844309151000624</v>
      </c>
      <c r="D642" s="2">
        <f t="shared" si="28"/>
        <v>-5.569084899937593E-2</v>
      </c>
      <c r="E642" s="2">
        <f t="shared" si="29"/>
        <v>3.101470662271291E-3</v>
      </c>
    </row>
    <row r="643" spans="1:5">
      <c r="A643" s="3">
        <v>83.6</v>
      </c>
      <c r="B643" s="2">
        <v>11.6</v>
      </c>
      <c r="C643">
        <f t="shared" ref="C643:C706" si="30">$K$4*A643+$K$5</f>
        <v>10.844309151000624</v>
      </c>
      <c r="D643" s="2">
        <f t="shared" ref="D643:D706" si="31">C643-B643</f>
        <v>-0.75569084899937522</v>
      </c>
      <c r="E643" s="2">
        <f t="shared" ref="E643:E706" si="32">D643^2</f>
        <v>0.57106865926139649</v>
      </c>
    </row>
    <row r="644" spans="1:5">
      <c r="A644" s="3">
        <v>83.7</v>
      </c>
      <c r="B644" s="2">
        <v>12.6</v>
      </c>
      <c r="C644">
        <f t="shared" si="30"/>
        <v>10.86527109099154</v>
      </c>
      <c r="D644" s="2">
        <f t="shared" si="31"/>
        <v>-1.7347289090084601</v>
      </c>
      <c r="E644" s="2">
        <f t="shared" si="32"/>
        <v>3.0092843877496822</v>
      </c>
    </row>
    <row r="645" spans="1:5">
      <c r="A645" s="3">
        <v>83.7</v>
      </c>
      <c r="B645" s="2">
        <v>12.2</v>
      </c>
      <c r="C645">
        <f t="shared" si="30"/>
        <v>10.86527109099154</v>
      </c>
      <c r="D645" s="2">
        <f t="shared" si="31"/>
        <v>-1.3347289090084598</v>
      </c>
      <c r="E645" s="2">
        <f t="shared" si="32"/>
        <v>1.7815012605429132</v>
      </c>
    </row>
    <row r="646" spans="1:5">
      <c r="A646" s="3">
        <v>83.7</v>
      </c>
      <c r="B646" s="2">
        <v>11.3</v>
      </c>
      <c r="C646">
        <f t="shared" si="30"/>
        <v>10.86527109099154</v>
      </c>
      <c r="D646" s="2">
        <f t="shared" si="31"/>
        <v>-0.43472890900846117</v>
      </c>
      <c r="E646" s="2">
        <f t="shared" si="32"/>
        <v>0.18898922432768692</v>
      </c>
    </row>
    <row r="647" spans="1:5">
      <c r="A647" s="3">
        <v>83.8</v>
      </c>
      <c r="B647" s="2">
        <v>10.5</v>
      </c>
      <c r="C647">
        <f t="shared" si="30"/>
        <v>10.886233030982455</v>
      </c>
      <c r="D647" s="2">
        <f t="shared" si="31"/>
        <v>0.38623303098245465</v>
      </c>
      <c r="E647" s="2">
        <f t="shared" si="32"/>
        <v>0.14917595422189378</v>
      </c>
    </row>
    <row r="648" spans="1:5">
      <c r="A648" s="3">
        <v>83.9</v>
      </c>
      <c r="B648" s="2">
        <v>11.5</v>
      </c>
      <c r="C648">
        <f t="shared" si="30"/>
        <v>10.90719497097337</v>
      </c>
      <c r="D648" s="2">
        <f t="shared" si="31"/>
        <v>-0.59280502902663024</v>
      </c>
      <c r="E648" s="2">
        <f t="shared" si="32"/>
        <v>0.3514178024392639</v>
      </c>
    </row>
    <row r="649" spans="1:5">
      <c r="A649" s="3">
        <v>83.9</v>
      </c>
      <c r="B649" s="2">
        <v>10.6</v>
      </c>
      <c r="C649">
        <f t="shared" si="30"/>
        <v>10.90719497097337</v>
      </c>
      <c r="D649" s="2">
        <f t="shared" si="31"/>
        <v>0.30719497097337012</v>
      </c>
      <c r="E649" s="2">
        <f t="shared" si="32"/>
        <v>9.4368750191329703E-2</v>
      </c>
    </row>
    <row r="650" spans="1:5">
      <c r="A650" s="3">
        <v>83.9</v>
      </c>
      <c r="B650" s="2">
        <v>10.3</v>
      </c>
      <c r="C650">
        <f t="shared" si="30"/>
        <v>10.90719497097337</v>
      </c>
      <c r="D650" s="2">
        <f t="shared" si="31"/>
        <v>0.60719497097336905</v>
      </c>
      <c r="E650" s="2">
        <f t="shared" si="32"/>
        <v>0.36868573277535049</v>
      </c>
    </row>
    <row r="651" spans="1:5">
      <c r="A651" s="3">
        <v>84</v>
      </c>
      <c r="B651" s="2">
        <v>10.9</v>
      </c>
      <c r="C651">
        <f t="shared" si="30"/>
        <v>10.928156910964285</v>
      </c>
      <c r="D651" s="2">
        <f t="shared" si="31"/>
        <v>2.8156910964284521E-2</v>
      </c>
      <c r="E651" s="2">
        <f t="shared" si="32"/>
        <v>7.928116350506459E-4</v>
      </c>
    </row>
    <row r="652" spans="1:5">
      <c r="A652" s="3">
        <v>84</v>
      </c>
      <c r="B652" s="2">
        <v>13.8</v>
      </c>
      <c r="C652">
        <f t="shared" si="30"/>
        <v>10.928156910964285</v>
      </c>
      <c r="D652" s="2">
        <f t="shared" si="31"/>
        <v>-2.8718430890357158</v>
      </c>
      <c r="E652" s="2">
        <f t="shared" si="32"/>
        <v>8.2474827280422023</v>
      </c>
    </row>
    <row r="653" spans="1:5">
      <c r="A653" s="3">
        <v>84</v>
      </c>
      <c r="B653" s="2">
        <v>12.7</v>
      </c>
      <c r="C653">
        <f t="shared" si="30"/>
        <v>10.928156910964285</v>
      </c>
      <c r="D653" s="2">
        <f t="shared" si="31"/>
        <v>-1.7718430890357144</v>
      </c>
      <c r="E653" s="2">
        <f t="shared" si="32"/>
        <v>3.1394279321636227</v>
      </c>
    </row>
    <row r="654" spans="1:5">
      <c r="A654" s="3">
        <v>84.1</v>
      </c>
      <c r="B654" s="2">
        <v>10.3</v>
      </c>
      <c r="C654">
        <f t="shared" si="30"/>
        <v>10.949118850955196</v>
      </c>
      <c r="D654" s="2">
        <f t="shared" si="31"/>
        <v>0.64911885095519573</v>
      </c>
      <c r="E654" s="2">
        <f t="shared" si="32"/>
        <v>0.42135528266539363</v>
      </c>
    </row>
    <row r="655" spans="1:5">
      <c r="A655" s="3">
        <v>84.1</v>
      </c>
      <c r="B655" s="2">
        <v>11.8</v>
      </c>
      <c r="C655">
        <f t="shared" si="30"/>
        <v>10.949118850955196</v>
      </c>
      <c r="D655" s="2">
        <f t="shared" si="31"/>
        <v>-0.85088114904480427</v>
      </c>
      <c r="E655" s="2">
        <f t="shared" si="32"/>
        <v>0.7239987297998064</v>
      </c>
    </row>
    <row r="656" spans="1:5">
      <c r="A656" s="3">
        <v>84.2</v>
      </c>
      <c r="B656" s="2">
        <v>10.9</v>
      </c>
      <c r="C656">
        <f t="shared" si="30"/>
        <v>10.970080790946115</v>
      </c>
      <c r="D656" s="2">
        <f t="shared" si="31"/>
        <v>7.0080790946114746E-2</v>
      </c>
      <c r="E656" s="2">
        <f t="shared" si="32"/>
        <v>4.9113172596330383E-3</v>
      </c>
    </row>
    <row r="657" spans="1:5">
      <c r="A657" s="3">
        <v>84.2</v>
      </c>
      <c r="B657" s="2">
        <v>12</v>
      </c>
      <c r="C657">
        <f t="shared" si="30"/>
        <v>10.970080790946115</v>
      </c>
      <c r="D657" s="2">
        <f t="shared" si="31"/>
        <v>-1.0299192090538849</v>
      </c>
      <c r="E657" s="2">
        <f t="shared" si="32"/>
        <v>1.0607335771781798</v>
      </c>
    </row>
    <row r="658" spans="1:5">
      <c r="A658" s="3">
        <v>84.2</v>
      </c>
      <c r="B658" s="2">
        <v>10.6</v>
      </c>
      <c r="C658">
        <f t="shared" si="30"/>
        <v>10.970080790946115</v>
      </c>
      <c r="D658" s="2">
        <f t="shared" si="31"/>
        <v>0.37008079094611546</v>
      </c>
      <c r="E658" s="2">
        <f t="shared" si="32"/>
        <v>0.13695979182730242</v>
      </c>
    </row>
    <row r="659" spans="1:5">
      <c r="A659" s="3">
        <v>84.3</v>
      </c>
      <c r="B659" s="2">
        <v>10.9</v>
      </c>
      <c r="C659">
        <f t="shared" si="30"/>
        <v>10.991042730937027</v>
      </c>
      <c r="D659" s="2">
        <f t="shared" si="31"/>
        <v>9.1042730937026306E-2</v>
      </c>
      <c r="E659" s="2">
        <f t="shared" si="32"/>
        <v>8.2887788564717669E-3</v>
      </c>
    </row>
    <row r="660" spans="1:5">
      <c r="A660" s="3">
        <v>84.3</v>
      </c>
      <c r="B660" s="2">
        <v>11.8</v>
      </c>
      <c r="C660">
        <f t="shared" si="30"/>
        <v>10.991042730937027</v>
      </c>
      <c r="D660" s="2">
        <f t="shared" si="31"/>
        <v>-0.80895726906297405</v>
      </c>
      <c r="E660" s="2">
        <f t="shared" si="32"/>
        <v>0.65441186316982503</v>
      </c>
    </row>
    <row r="661" spans="1:5">
      <c r="A661" s="3">
        <v>84.3</v>
      </c>
      <c r="B661" s="2">
        <v>10.6</v>
      </c>
      <c r="C661">
        <f t="shared" si="30"/>
        <v>10.991042730937027</v>
      </c>
      <c r="D661" s="2">
        <f t="shared" si="31"/>
        <v>0.39104273093702702</v>
      </c>
      <c r="E661" s="2">
        <f t="shared" si="32"/>
        <v>0.15291441741868811</v>
      </c>
    </row>
    <row r="662" spans="1:5">
      <c r="A662" s="3">
        <v>84.3</v>
      </c>
      <c r="B662" s="2">
        <v>11.5</v>
      </c>
      <c r="C662">
        <f t="shared" si="30"/>
        <v>10.991042730937027</v>
      </c>
      <c r="D662" s="2">
        <f t="shared" si="31"/>
        <v>-0.50895726906297334</v>
      </c>
      <c r="E662" s="2">
        <f t="shared" si="32"/>
        <v>0.25903750173203982</v>
      </c>
    </row>
    <row r="663" spans="1:5">
      <c r="A663" s="3">
        <v>84.4</v>
      </c>
      <c r="B663" s="2">
        <v>11.2</v>
      </c>
      <c r="C663">
        <f t="shared" si="30"/>
        <v>11.012004670927945</v>
      </c>
      <c r="D663" s="2">
        <f t="shared" si="31"/>
        <v>-0.18799532907205396</v>
      </c>
      <c r="E663" s="2">
        <f t="shared" si="32"/>
        <v>3.5342243752909855E-2</v>
      </c>
    </row>
    <row r="664" spans="1:5">
      <c r="A664" s="3">
        <v>84.5</v>
      </c>
      <c r="B664" s="2">
        <v>11.3</v>
      </c>
      <c r="C664">
        <f t="shared" si="30"/>
        <v>11.032966610918857</v>
      </c>
      <c r="D664" s="2">
        <f t="shared" si="31"/>
        <v>-0.26703338908114382</v>
      </c>
      <c r="E664" s="2">
        <f t="shared" si="32"/>
        <v>7.1306830884161537E-2</v>
      </c>
    </row>
    <row r="665" spans="1:5">
      <c r="A665" s="3">
        <v>84.5</v>
      </c>
      <c r="B665" s="2">
        <v>10.7</v>
      </c>
      <c r="C665">
        <f t="shared" si="30"/>
        <v>11.032966610918857</v>
      </c>
      <c r="D665" s="2">
        <f t="shared" si="31"/>
        <v>0.3329666109188576</v>
      </c>
      <c r="E665" s="2">
        <f t="shared" si="32"/>
        <v>0.11086676398678989</v>
      </c>
    </row>
    <row r="666" spans="1:5">
      <c r="A666" s="3">
        <v>84.5</v>
      </c>
      <c r="B666" s="2">
        <v>11.6</v>
      </c>
      <c r="C666">
        <f t="shared" si="30"/>
        <v>11.032966610918857</v>
      </c>
      <c r="D666" s="2">
        <f t="shared" si="31"/>
        <v>-0.56703338908114276</v>
      </c>
      <c r="E666" s="2">
        <f t="shared" si="32"/>
        <v>0.32152686433284661</v>
      </c>
    </row>
    <row r="667" spans="1:5">
      <c r="A667" s="3">
        <v>84.5</v>
      </c>
      <c r="B667" s="2">
        <v>10.8</v>
      </c>
      <c r="C667">
        <f t="shared" si="30"/>
        <v>11.032966610918857</v>
      </c>
      <c r="D667" s="2">
        <f t="shared" si="31"/>
        <v>0.23296661091885618</v>
      </c>
      <c r="E667" s="2">
        <f t="shared" si="32"/>
        <v>5.427344180301772E-2</v>
      </c>
    </row>
    <row r="668" spans="1:5">
      <c r="A668" s="3">
        <v>84.5</v>
      </c>
      <c r="B668" s="2">
        <v>11</v>
      </c>
      <c r="C668">
        <f t="shared" si="30"/>
        <v>11.032966610918857</v>
      </c>
      <c r="D668" s="2">
        <f t="shared" si="31"/>
        <v>3.2966610918856887E-2</v>
      </c>
      <c r="E668" s="2">
        <f t="shared" si="32"/>
        <v>1.0867974354752941E-3</v>
      </c>
    </row>
    <row r="669" spans="1:5">
      <c r="A669" s="3">
        <v>84.6</v>
      </c>
      <c r="B669" s="2">
        <v>11.1</v>
      </c>
      <c r="C669">
        <f t="shared" si="30"/>
        <v>11.053928550909772</v>
      </c>
      <c r="D669" s="2">
        <f t="shared" si="31"/>
        <v>-4.6071449090227645E-2</v>
      </c>
      <c r="E669" s="2">
        <f t="shared" si="32"/>
        <v>2.1225784212734375E-3</v>
      </c>
    </row>
    <row r="670" spans="1:5">
      <c r="A670" s="3">
        <v>84.6</v>
      </c>
      <c r="B670" s="2">
        <v>9.9</v>
      </c>
      <c r="C670">
        <f t="shared" si="30"/>
        <v>11.053928550909772</v>
      </c>
      <c r="D670" s="2">
        <f t="shared" si="31"/>
        <v>1.1539285509097716</v>
      </c>
      <c r="E670" s="2">
        <f t="shared" si="32"/>
        <v>1.3315511006047254</v>
      </c>
    </row>
    <row r="671" spans="1:5">
      <c r="A671" s="3">
        <v>84.7</v>
      </c>
      <c r="B671" s="2">
        <v>9.6</v>
      </c>
      <c r="C671">
        <f t="shared" si="30"/>
        <v>11.074890490900687</v>
      </c>
      <c r="D671" s="2">
        <f t="shared" si="31"/>
        <v>1.4748904909006875</v>
      </c>
      <c r="E671" s="2">
        <f t="shared" si="32"/>
        <v>2.1753019601492709</v>
      </c>
    </row>
    <row r="672" spans="1:5">
      <c r="A672" s="3">
        <v>84.7</v>
      </c>
      <c r="B672" s="2">
        <v>12.7</v>
      </c>
      <c r="C672">
        <f t="shared" si="30"/>
        <v>11.074890490900687</v>
      </c>
      <c r="D672" s="2">
        <f t="shared" si="31"/>
        <v>-1.6251095090993122</v>
      </c>
      <c r="E672" s="2">
        <f t="shared" si="32"/>
        <v>2.6409809165650073</v>
      </c>
    </row>
    <row r="673" spans="1:5">
      <c r="A673" s="3">
        <v>84.7</v>
      </c>
      <c r="B673" s="2">
        <v>11.2</v>
      </c>
      <c r="C673">
        <f t="shared" si="30"/>
        <v>11.074890490900687</v>
      </c>
      <c r="D673" s="2">
        <f t="shared" si="31"/>
        <v>-0.12510950909931218</v>
      </c>
      <c r="E673" s="2">
        <f t="shared" si="32"/>
        <v>1.5652389267070875E-2</v>
      </c>
    </row>
    <row r="674" spans="1:5">
      <c r="A674" s="3">
        <v>84.8</v>
      </c>
      <c r="B674" s="2">
        <v>10.7</v>
      </c>
      <c r="C674">
        <f t="shared" si="30"/>
        <v>11.095852430891602</v>
      </c>
      <c r="D674" s="2">
        <f t="shared" si="31"/>
        <v>0.39585243089160294</v>
      </c>
      <c r="E674" s="2">
        <f t="shared" si="32"/>
        <v>0.15669914704279128</v>
      </c>
    </row>
    <row r="675" spans="1:5">
      <c r="A675" s="3">
        <v>84.8</v>
      </c>
      <c r="B675" s="2">
        <v>12.4</v>
      </c>
      <c r="C675">
        <f t="shared" si="30"/>
        <v>11.095852430891602</v>
      </c>
      <c r="D675" s="2">
        <f t="shared" si="31"/>
        <v>-1.3041475691083981</v>
      </c>
      <c r="E675" s="2">
        <f t="shared" si="32"/>
        <v>1.7008008820113441</v>
      </c>
    </row>
    <row r="676" spans="1:5">
      <c r="A676" s="3">
        <v>85</v>
      </c>
      <c r="B676" s="2">
        <v>12.4</v>
      </c>
      <c r="C676">
        <f t="shared" si="30"/>
        <v>11.137776310873429</v>
      </c>
      <c r="D676" s="2">
        <f t="shared" si="31"/>
        <v>-1.2622236891265715</v>
      </c>
      <c r="E676" s="2">
        <f t="shared" si="32"/>
        <v>1.5932086413922917</v>
      </c>
    </row>
    <row r="677" spans="1:5">
      <c r="A677" s="3">
        <v>85</v>
      </c>
      <c r="B677" s="2">
        <v>11.6</v>
      </c>
      <c r="C677">
        <f t="shared" si="30"/>
        <v>11.137776310873429</v>
      </c>
      <c r="D677" s="2">
        <f t="shared" si="31"/>
        <v>-0.46222368912657075</v>
      </c>
      <c r="E677" s="2">
        <f t="shared" si="32"/>
        <v>0.21365073878977672</v>
      </c>
    </row>
    <row r="678" spans="1:5">
      <c r="A678" s="3">
        <v>85</v>
      </c>
      <c r="B678" s="2">
        <v>10.8</v>
      </c>
      <c r="C678">
        <f t="shared" si="30"/>
        <v>11.137776310873429</v>
      </c>
      <c r="D678" s="2">
        <f t="shared" si="31"/>
        <v>0.33777631087342819</v>
      </c>
      <c r="E678" s="2">
        <f t="shared" si="32"/>
        <v>0.11409283618726281</v>
      </c>
    </row>
    <row r="679" spans="1:5">
      <c r="A679" s="3">
        <v>85</v>
      </c>
      <c r="B679" s="2">
        <v>10.6</v>
      </c>
      <c r="C679">
        <f t="shared" si="30"/>
        <v>11.137776310873429</v>
      </c>
      <c r="D679" s="2">
        <f t="shared" si="31"/>
        <v>0.53777631087342925</v>
      </c>
      <c r="E679" s="2">
        <f t="shared" si="32"/>
        <v>0.2892033605366352</v>
      </c>
    </row>
    <row r="680" spans="1:5">
      <c r="A680" s="3">
        <v>85</v>
      </c>
      <c r="B680" s="2">
        <v>10.3</v>
      </c>
      <c r="C680">
        <f t="shared" si="30"/>
        <v>11.137776310873429</v>
      </c>
      <c r="D680" s="2">
        <f t="shared" si="31"/>
        <v>0.83777631087342819</v>
      </c>
      <c r="E680" s="2">
        <f t="shared" si="32"/>
        <v>0.70186914706069103</v>
      </c>
    </row>
    <row r="681" spans="1:5">
      <c r="A681" s="3">
        <v>85.1</v>
      </c>
      <c r="B681" s="2">
        <v>10.3</v>
      </c>
      <c r="C681">
        <f t="shared" si="30"/>
        <v>11.158738250864344</v>
      </c>
      <c r="D681" s="2">
        <f t="shared" si="31"/>
        <v>0.8587382508643433</v>
      </c>
      <c r="E681" s="2">
        <f t="shared" si="32"/>
        <v>0.73743138349755177</v>
      </c>
    </row>
    <row r="682" spans="1:5">
      <c r="A682" s="3">
        <v>85.1</v>
      </c>
      <c r="B682" s="2">
        <v>11.6</v>
      </c>
      <c r="C682">
        <f t="shared" si="30"/>
        <v>11.158738250864344</v>
      </c>
      <c r="D682" s="2">
        <f t="shared" si="31"/>
        <v>-0.44126174913565563</v>
      </c>
      <c r="E682" s="2">
        <f t="shared" si="32"/>
        <v>0.19471193125025829</v>
      </c>
    </row>
    <row r="683" spans="1:5">
      <c r="A683" s="3">
        <v>85.1</v>
      </c>
      <c r="B683" s="2">
        <v>11.5</v>
      </c>
      <c r="C683">
        <f t="shared" si="30"/>
        <v>11.158738250864344</v>
      </c>
      <c r="D683" s="2">
        <f t="shared" si="31"/>
        <v>-0.34126174913565599</v>
      </c>
      <c r="E683" s="2">
        <f t="shared" si="32"/>
        <v>0.1164595814231274</v>
      </c>
    </row>
    <row r="684" spans="1:5">
      <c r="A684" s="3">
        <v>85.1</v>
      </c>
      <c r="B684" s="2">
        <v>9.6</v>
      </c>
      <c r="C684">
        <f t="shared" si="30"/>
        <v>11.158738250864344</v>
      </c>
      <c r="D684" s="2">
        <f t="shared" si="31"/>
        <v>1.5587382508643444</v>
      </c>
      <c r="E684" s="2">
        <f t="shared" si="32"/>
        <v>2.4296649347076356</v>
      </c>
    </row>
    <row r="685" spans="1:5">
      <c r="A685" s="3">
        <v>85.2</v>
      </c>
      <c r="B685" s="2">
        <v>11.6</v>
      </c>
      <c r="C685">
        <f t="shared" si="30"/>
        <v>11.179700190855259</v>
      </c>
      <c r="D685" s="2">
        <f t="shared" si="31"/>
        <v>-0.42029980914474052</v>
      </c>
      <c r="E685" s="2">
        <f t="shared" si="32"/>
        <v>0.17665192956710532</v>
      </c>
    </row>
    <row r="686" spans="1:5">
      <c r="A686" s="3">
        <v>85.2</v>
      </c>
      <c r="B686" s="2">
        <v>9.8000000000000007</v>
      </c>
      <c r="C686">
        <f t="shared" si="30"/>
        <v>11.179700190855259</v>
      </c>
      <c r="D686" s="2">
        <f t="shared" si="31"/>
        <v>1.3797001908552584</v>
      </c>
      <c r="E686" s="2">
        <f t="shared" si="32"/>
        <v>1.9035726166460365</v>
      </c>
    </row>
    <row r="687" spans="1:5">
      <c r="A687" s="3">
        <v>85.2</v>
      </c>
      <c r="B687" s="2">
        <v>12.4</v>
      </c>
      <c r="C687">
        <f t="shared" si="30"/>
        <v>11.179700190855259</v>
      </c>
      <c r="D687" s="2">
        <f t="shared" si="31"/>
        <v>-1.2202998091447412</v>
      </c>
      <c r="E687" s="2">
        <f t="shared" si="32"/>
        <v>1.4891316241986918</v>
      </c>
    </row>
    <row r="688" spans="1:5">
      <c r="A688" s="3">
        <v>85.3</v>
      </c>
      <c r="B688" s="2">
        <v>12</v>
      </c>
      <c r="C688">
        <f t="shared" si="30"/>
        <v>11.200662130846174</v>
      </c>
      <c r="D688" s="2">
        <f t="shared" si="31"/>
        <v>-0.79933786915382576</v>
      </c>
      <c r="E688" s="2">
        <f t="shared" si="32"/>
        <v>0.63894102906337868</v>
      </c>
    </row>
    <row r="689" spans="1:5">
      <c r="A689" s="3">
        <v>85.4</v>
      </c>
      <c r="B689" s="2">
        <v>12.7</v>
      </c>
      <c r="C689">
        <f t="shared" si="30"/>
        <v>11.221624070837089</v>
      </c>
      <c r="D689" s="2">
        <f t="shared" si="31"/>
        <v>-1.4783759291629099</v>
      </c>
      <c r="E689" s="2">
        <f t="shared" si="32"/>
        <v>2.1855953879282972</v>
      </c>
    </row>
    <row r="690" spans="1:5">
      <c r="A690" s="3">
        <v>85.4</v>
      </c>
      <c r="B690" s="2">
        <v>11.6</v>
      </c>
      <c r="C690">
        <f t="shared" si="30"/>
        <v>11.221624070837089</v>
      </c>
      <c r="D690" s="2">
        <f t="shared" si="31"/>
        <v>-0.3783759291629103</v>
      </c>
      <c r="E690" s="2">
        <f t="shared" si="32"/>
        <v>0.14316834376989571</v>
      </c>
    </row>
    <row r="691" spans="1:5">
      <c r="A691" s="3">
        <v>85.4</v>
      </c>
      <c r="B691" s="2">
        <v>13.1</v>
      </c>
      <c r="C691">
        <f t="shared" si="30"/>
        <v>11.221624070837089</v>
      </c>
      <c r="D691" s="2">
        <f t="shared" si="31"/>
        <v>-1.8783759291629103</v>
      </c>
      <c r="E691" s="2">
        <f t="shared" si="32"/>
        <v>3.5282961312586267</v>
      </c>
    </row>
    <row r="692" spans="1:5">
      <c r="A692" s="3">
        <v>85.5</v>
      </c>
      <c r="B692" s="2">
        <v>12</v>
      </c>
      <c r="C692">
        <f t="shared" si="30"/>
        <v>11.242586010828004</v>
      </c>
      <c r="D692" s="2">
        <f t="shared" si="31"/>
        <v>-0.75741398917199554</v>
      </c>
      <c r="E692" s="2">
        <f t="shared" si="32"/>
        <v>0.57367595099343582</v>
      </c>
    </row>
    <row r="693" spans="1:5">
      <c r="A693" s="3">
        <v>85.5</v>
      </c>
      <c r="B693" s="2">
        <v>13.8</v>
      </c>
      <c r="C693">
        <f t="shared" si="30"/>
        <v>11.242586010828004</v>
      </c>
      <c r="D693" s="2">
        <f t="shared" si="31"/>
        <v>-2.5574139891719962</v>
      </c>
      <c r="E693" s="2">
        <f t="shared" si="32"/>
        <v>6.5403663120126234</v>
      </c>
    </row>
    <row r="694" spans="1:5">
      <c r="A694" s="3">
        <v>85.5</v>
      </c>
      <c r="B694" s="2">
        <v>10.9</v>
      </c>
      <c r="C694">
        <f t="shared" si="30"/>
        <v>11.242586010828004</v>
      </c>
      <c r="D694" s="2">
        <f t="shared" si="31"/>
        <v>0.34258601082800411</v>
      </c>
      <c r="E694" s="2">
        <f t="shared" si="32"/>
        <v>0.11736517481504535</v>
      </c>
    </row>
    <row r="695" spans="1:5">
      <c r="A695" s="3">
        <v>85.5</v>
      </c>
      <c r="B695" s="2">
        <v>10.4</v>
      </c>
      <c r="C695">
        <f t="shared" si="30"/>
        <v>11.242586010828004</v>
      </c>
      <c r="D695" s="2">
        <f t="shared" si="31"/>
        <v>0.84258601082800411</v>
      </c>
      <c r="E695" s="2">
        <f t="shared" si="32"/>
        <v>0.70995118564304949</v>
      </c>
    </row>
    <row r="696" spans="1:5">
      <c r="A696" s="3">
        <v>85.6</v>
      </c>
      <c r="B696" s="2">
        <v>10.8</v>
      </c>
      <c r="C696">
        <f t="shared" si="30"/>
        <v>11.263547950818916</v>
      </c>
      <c r="D696" s="2">
        <f t="shared" si="31"/>
        <v>0.46354795081891531</v>
      </c>
      <c r="E696" s="2">
        <f t="shared" si="32"/>
        <v>0.21487670270841552</v>
      </c>
    </row>
    <row r="697" spans="1:5">
      <c r="A697" s="3">
        <v>85.6</v>
      </c>
      <c r="B697" s="2">
        <v>12.7</v>
      </c>
      <c r="C697">
        <f t="shared" si="30"/>
        <v>11.263547950818916</v>
      </c>
      <c r="D697" s="2">
        <f t="shared" si="31"/>
        <v>-1.4364520491810833</v>
      </c>
      <c r="E697" s="2">
        <f t="shared" si="32"/>
        <v>2.0633944895965333</v>
      </c>
    </row>
    <row r="698" spans="1:5">
      <c r="A698" s="3">
        <v>85.6</v>
      </c>
      <c r="B698" s="2">
        <v>12.6</v>
      </c>
      <c r="C698">
        <f t="shared" si="30"/>
        <v>11.263547950818916</v>
      </c>
      <c r="D698" s="2">
        <f t="shared" si="31"/>
        <v>-1.3364520491810836</v>
      </c>
      <c r="E698" s="2">
        <f t="shared" si="32"/>
        <v>1.7861040797603176</v>
      </c>
    </row>
    <row r="699" spans="1:5">
      <c r="A699" s="3">
        <v>85.6</v>
      </c>
      <c r="B699" s="2">
        <v>11.2</v>
      </c>
      <c r="C699">
        <f t="shared" si="30"/>
        <v>11.263547950818916</v>
      </c>
      <c r="D699" s="2">
        <f t="shared" si="31"/>
        <v>6.3547950818916732E-2</v>
      </c>
      <c r="E699" s="2">
        <f t="shared" si="32"/>
        <v>4.0383420532834596E-3</v>
      </c>
    </row>
    <row r="700" spans="1:5">
      <c r="A700" s="3">
        <v>85.7</v>
      </c>
      <c r="B700" s="2">
        <v>11.1</v>
      </c>
      <c r="C700">
        <f t="shared" si="30"/>
        <v>11.284509890809835</v>
      </c>
      <c r="D700" s="2">
        <f t="shared" si="31"/>
        <v>0.18450989080983504</v>
      </c>
      <c r="E700" s="2">
        <f t="shared" si="32"/>
        <v>3.404389980665725E-2</v>
      </c>
    </row>
    <row r="701" spans="1:5">
      <c r="A701" s="3">
        <v>85.7</v>
      </c>
      <c r="B701" s="2">
        <v>11.2</v>
      </c>
      <c r="C701">
        <f t="shared" si="30"/>
        <v>11.284509890809835</v>
      </c>
      <c r="D701" s="2">
        <f t="shared" si="31"/>
        <v>8.4509890809835397E-2</v>
      </c>
      <c r="E701" s="2">
        <f t="shared" si="32"/>
        <v>7.141921644690301E-3</v>
      </c>
    </row>
    <row r="702" spans="1:5">
      <c r="A702" s="3">
        <v>85.7</v>
      </c>
      <c r="B702" s="2">
        <v>11.2</v>
      </c>
      <c r="C702">
        <f t="shared" si="30"/>
        <v>11.284509890809835</v>
      </c>
      <c r="D702" s="2">
        <f t="shared" si="31"/>
        <v>8.4509890809835397E-2</v>
      </c>
      <c r="E702" s="2">
        <f t="shared" si="32"/>
        <v>7.141921644690301E-3</v>
      </c>
    </row>
    <row r="703" spans="1:5">
      <c r="A703" s="3">
        <v>85.7</v>
      </c>
      <c r="B703" s="2">
        <v>11.3</v>
      </c>
      <c r="C703">
        <f t="shared" si="30"/>
        <v>11.284509890809835</v>
      </c>
      <c r="D703" s="2">
        <f t="shared" si="31"/>
        <v>-1.5490109190166024E-2</v>
      </c>
      <c r="E703" s="2">
        <f t="shared" si="32"/>
        <v>2.399434827232659E-4</v>
      </c>
    </row>
    <row r="704" spans="1:5">
      <c r="A704" s="3">
        <v>85.8</v>
      </c>
      <c r="B704" s="2">
        <v>11.3</v>
      </c>
      <c r="C704">
        <f t="shared" si="30"/>
        <v>11.305471830800746</v>
      </c>
      <c r="D704" s="2">
        <f t="shared" si="31"/>
        <v>5.4718308007455363E-3</v>
      </c>
      <c r="E704" s="2">
        <f t="shared" si="32"/>
        <v>2.9940932311987538E-5</v>
      </c>
    </row>
    <row r="705" spans="1:5">
      <c r="A705" s="3">
        <v>85.9</v>
      </c>
      <c r="B705" s="2">
        <v>11.3</v>
      </c>
      <c r="C705">
        <f t="shared" si="30"/>
        <v>11.326433770791665</v>
      </c>
      <c r="D705" s="2">
        <f t="shared" si="31"/>
        <v>2.6433770791664202E-2</v>
      </c>
      <c r="E705" s="2">
        <f t="shared" si="32"/>
        <v>6.9874423826623948E-4</v>
      </c>
    </row>
    <row r="706" spans="1:5">
      <c r="A706" s="3">
        <v>85.9</v>
      </c>
      <c r="B706" s="2">
        <v>9.5</v>
      </c>
      <c r="C706">
        <f t="shared" si="30"/>
        <v>11.326433770791665</v>
      </c>
      <c r="D706" s="2">
        <f t="shared" si="31"/>
        <v>1.8264337707916649</v>
      </c>
      <c r="E706" s="2">
        <f t="shared" si="32"/>
        <v>3.3358603190882601</v>
      </c>
    </row>
    <row r="707" spans="1:5">
      <c r="A707" s="3">
        <v>86</v>
      </c>
      <c r="B707" s="2">
        <v>11.7</v>
      </c>
      <c r="C707">
        <f t="shared" ref="C707:C770" si="33">$K$4*A707+$K$5</f>
        <v>11.347395710782576</v>
      </c>
      <c r="D707" s="2">
        <f t="shared" ref="D707:D770" si="34">C707-B707</f>
        <v>-0.35260428921742282</v>
      </c>
      <c r="E707" s="2">
        <f t="shared" ref="E707:E770" si="35">D707^2</f>
        <v>0.12432978477452396</v>
      </c>
    </row>
    <row r="708" spans="1:5">
      <c r="A708" s="3">
        <v>86</v>
      </c>
      <c r="B708" s="2">
        <v>9.8000000000000007</v>
      </c>
      <c r="C708">
        <f t="shared" si="33"/>
        <v>11.347395710782576</v>
      </c>
      <c r="D708" s="2">
        <f t="shared" si="34"/>
        <v>1.5473957107825758</v>
      </c>
      <c r="E708" s="2">
        <f t="shared" si="35"/>
        <v>2.3944334857483129</v>
      </c>
    </row>
    <row r="709" spans="1:5">
      <c r="A709" s="3">
        <v>86</v>
      </c>
      <c r="B709" s="2">
        <v>9.1</v>
      </c>
      <c r="C709">
        <f t="shared" si="33"/>
        <v>11.347395710782576</v>
      </c>
      <c r="D709" s="2">
        <f t="shared" si="34"/>
        <v>2.2473957107825768</v>
      </c>
      <c r="E709" s="2">
        <f t="shared" si="35"/>
        <v>5.0507874808439235</v>
      </c>
    </row>
    <row r="710" spans="1:5">
      <c r="A710" s="3">
        <v>86</v>
      </c>
      <c r="B710" s="2">
        <v>12</v>
      </c>
      <c r="C710">
        <f t="shared" si="33"/>
        <v>11.347395710782576</v>
      </c>
      <c r="D710" s="2">
        <f t="shared" si="34"/>
        <v>-0.65260428921742353</v>
      </c>
      <c r="E710" s="2">
        <f t="shared" si="35"/>
        <v>0.42589235830497857</v>
      </c>
    </row>
    <row r="711" spans="1:5">
      <c r="A711" s="3">
        <v>86</v>
      </c>
      <c r="B711" s="2">
        <v>10.7</v>
      </c>
      <c r="C711">
        <f t="shared" si="33"/>
        <v>11.347395710782576</v>
      </c>
      <c r="D711" s="2">
        <f t="shared" si="34"/>
        <v>0.64739571078257718</v>
      </c>
      <c r="E711" s="2">
        <f t="shared" si="35"/>
        <v>0.41912120633967831</v>
      </c>
    </row>
    <row r="712" spans="1:5">
      <c r="A712" s="3">
        <v>86</v>
      </c>
      <c r="B712" s="2">
        <v>10.8</v>
      </c>
      <c r="C712">
        <f t="shared" si="33"/>
        <v>11.347395710782576</v>
      </c>
      <c r="D712" s="2">
        <f t="shared" si="34"/>
        <v>0.54739571078257576</v>
      </c>
      <c r="E712" s="2">
        <f t="shared" si="35"/>
        <v>0.29964206418316131</v>
      </c>
    </row>
    <row r="713" spans="1:5">
      <c r="A713" s="3">
        <v>86</v>
      </c>
      <c r="B713" s="2">
        <v>11.6</v>
      </c>
      <c r="C713">
        <f t="shared" si="33"/>
        <v>11.347395710782576</v>
      </c>
      <c r="D713" s="2">
        <f t="shared" si="34"/>
        <v>-0.25260428921742317</v>
      </c>
      <c r="E713" s="2">
        <f t="shared" si="35"/>
        <v>6.3808926931039567E-2</v>
      </c>
    </row>
    <row r="714" spans="1:5">
      <c r="A714" s="3">
        <v>86.1</v>
      </c>
      <c r="B714" s="2">
        <v>11.4</v>
      </c>
      <c r="C714">
        <f t="shared" si="33"/>
        <v>11.368357650773492</v>
      </c>
      <c r="D714" s="2">
        <f t="shared" si="34"/>
        <v>-3.164234922650877E-2</v>
      </c>
      <c r="E714" s="2">
        <f t="shared" si="35"/>
        <v>1.0012382645723402E-3</v>
      </c>
    </row>
    <row r="715" spans="1:5">
      <c r="A715" s="3">
        <v>86.1</v>
      </c>
      <c r="B715" s="2">
        <v>10.3</v>
      </c>
      <c r="C715">
        <f t="shared" si="33"/>
        <v>11.368357650773492</v>
      </c>
      <c r="D715" s="2">
        <f t="shared" si="34"/>
        <v>1.0683576507734909</v>
      </c>
      <c r="E715" s="2">
        <f t="shared" si="35"/>
        <v>1.1413880699662522</v>
      </c>
    </row>
    <row r="716" spans="1:5">
      <c r="A716" s="3">
        <v>86.2</v>
      </c>
      <c r="B716" s="2">
        <v>13.6</v>
      </c>
      <c r="C716">
        <f t="shared" si="33"/>
        <v>11.389319590764407</v>
      </c>
      <c r="D716" s="2">
        <f t="shared" si="34"/>
        <v>-2.2106804092355929</v>
      </c>
      <c r="E716" s="2">
        <f t="shared" si="35"/>
        <v>4.8871078717780483</v>
      </c>
    </row>
    <row r="717" spans="1:5">
      <c r="A717" s="3">
        <v>86.2</v>
      </c>
      <c r="B717" s="2">
        <v>10.3</v>
      </c>
      <c r="C717">
        <f t="shared" si="33"/>
        <v>11.389319590764407</v>
      </c>
      <c r="D717" s="2">
        <f t="shared" si="34"/>
        <v>1.089319590764406</v>
      </c>
      <c r="E717" s="2">
        <f t="shared" si="35"/>
        <v>1.186617170823133</v>
      </c>
    </row>
    <row r="718" spans="1:5">
      <c r="A718" s="3">
        <v>86.2</v>
      </c>
      <c r="B718" s="2">
        <v>10.7</v>
      </c>
      <c r="C718">
        <f t="shared" si="33"/>
        <v>11.389319590764407</v>
      </c>
      <c r="D718" s="2">
        <f t="shared" si="34"/>
        <v>0.68931959076440741</v>
      </c>
      <c r="E718" s="2">
        <f t="shared" si="35"/>
        <v>0.47516149821161008</v>
      </c>
    </row>
    <row r="719" spans="1:5">
      <c r="A719" s="3">
        <v>86.3</v>
      </c>
      <c r="B719" s="2">
        <v>10.3</v>
      </c>
      <c r="C719">
        <f t="shared" si="33"/>
        <v>11.410281530755322</v>
      </c>
      <c r="D719" s="2">
        <f t="shared" si="34"/>
        <v>1.1102815307553211</v>
      </c>
      <c r="E719" s="2">
        <f t="shared" si="35"/>
        <v>1.2327250775363789</v>
      </c>
    </row>
    <row r="720" spans="1:5">
      <c r="A720" s="3">
        <v>86.4</v>
      </c>
      <c r="B720" s="2">
        <v>11</v>
      </c>
      <c r="C720">
        <f t="shared" si="33"/>
        <v>11.431243470746237</v>
      </c>
      <c r="D720" s="2">
        <f t="shared" si="34"/>
        <v>0.43124347074623692</v>
      </c>
      <c r="E720" s="2">
        <f t="shared" si="35"/>
        <v>0.1859709310612605</v>
      </c>
    </row>
    <row r="721" spans="1:5">
      <c r="A721" s="3">
        <v>86.6</v>
      </c>
      <c r="B721" s="2">
        <v>12.9</v>
      </c>
      <c r="C721">
        <f t="shared" si="33"/>
        <v>11.473167350728064</v>
      </c>
      <c r="D721" s="2">
        <f t="shared" si="34"/>
        <v>-1.4268326492719368</v>
      </c>
      <c r="E721" s="2">
        <f t="shared" si="35"/>
        <v>2.0358514090283739</v>
      </c>
    </row>
    <row r="722" spans="1:5">
      <c r="A722" s="3">
        <v>86.6</v>
      </c>
      <c r="B722" s="2">
        <v>10.4</v>
      </c>
      <c r="C722">
        <f t="shared" si="33"/>
        <v>11.473167350728064</v>
      </c>
      <c r="D722" s="2">
        <f t="shared" si="34"/>
        <v>1.0731673507280632</v>
      </c>
      <c r="E722" s="2">
        <f t="shared" si="35"/>
        <v>1.1516881626686899</v>
      </c>
    </row>
    <row r="723" spans="1:5">
      <c r="A723" s="3">
        <v>86.6</v>
      </c>
      <c r="B723" s="2">
        <v>12</v>
      </c>
      <c r="C723">
        <f t="shared" si="33"/>
        <v>11.473167350728064</v>
      </c>
      <c r="D723" s="2">
        <f t="shared" si="34"/>
        <v>-0.5268326492719364</v>
      </c>
      <c r="E723" s="2">
        <f t="shared" si="35"/>
        <v>0.27755264033888716</v>
      </c>
    </row>
    <row r="724" spans="1:5">
      <c r="A724" s="3">
        <v>86.7</v>
      </c>
      <c r="B724" s="2">
        <v>10.6</v>
      </c>
      <c r="C724">
        <f t="shared" si="33"/>
        <v>11.494129290718979</v>
      </c>
      <c r="D724" s="2">
        <f t="shared" si="34"/>
        <v>0.89412929071897906</v>
      </c>
      <c r="E724" s="2">
        <f t="shared" si="35"/>
        <v>0.79946718852162457</v>
      </c>
    </row>
    <row r="725" spans="1:5">
      <c r="A725" s="3">
        <v>86.7</v>
      </c>
      <c r="B725" s="2">
        <v>11.7</v>
      </c>
      <c r="C725">
        <f t="shared" si="33"/>
        <v>11.494129290718979</v>
      </c>
      <c r="D725" s="2">
        <f t="shared" si="34"/>
        <v>-0.20587070928102058</v>
      </c>
      <c r="E725" s="2">
        <f t="shared" si="35"/>
        <v>4.2382748939870492E-2</v>
      </c>
    </row>
    <row r="726" spans="1:5">
      <c r="A726" s="3">
        <v>86.7</v>
      </c>
      <c r="B726" s="2">
        <v>12.8</v>
      </c>
      <c r="C726">
        <f t="shared" si="33"/>
        <v>11.494129290718979</v>
      </c>
      <c r="D726" s="2">
        <f t="shared" si="34"/>
        <v>-1.305870709281022</v>
      </c>
      <c r="E726" s="2">
        <f t="shared" si="35"/>
        <v>1.7052983093581195</v>
      </c>
    </row>
    <row r="727" spans="1:5">
      <c r="A727" s="3">
        <v>86.7</v>
      </c>
      <c r="B727" s="2">
        <v>12.9</v>
      </c>
      <c r="C727">
        <f t="shared" si="33"/>
        <v>11.494129290718979</v>
      </c>
      <c r="D727" s="2">
        <f t="shared" si="34"/>
        <v>-1.4058707092810216</v>
      </c>
      <c r="E727" s="2">
        <f t="shared" si="35"/>
        <v>1.9764724512143228</v>
      </c>
    </row>
    <row r="728" spans="1:5">
      <c r="A728" s="3">
        <v>86.8</v>
      </c>
      <c r="B728" s="2">
        <v>11.4</v>
      </c>
      <c r="C728">
        <f t="shared" si="33"/>
        <v>11.515091230709894</v>
      </c>
      <c r="D728" s="2">
        <f t="shared" si="34"/>
        <v>0.11509123070989347</v>
      </c>
      <c r="E728" s="2">
        <f t="shared" si="35"/>
        <v>1.3245991386317924E-2</v>
      </c>
    </row>
    <row r="729" spans="1:5">
      <c r="A729" s="3">
        <v>86.8</v>
      </c>
      <c r="B729" s="2">
        <v>12.4</v>
      </c>
      <c r="C729">
        <f t="shared" si="33"/>
        <v>11.515091230709894</v>
      </c>
      <c r="D729" s="2">
        <f t="shared" si="34"/>
        <v>-0.88490876929010653</v>
      </c>
      <c r="E729" s="2">
        <f t="shared" si="35"/>
        <v>0.78306352996653095</v>
      </c>
    </row>
    <row r="730" spans="1:5">
      <c r="A730" s="3">
        <v>86.8</v>
      </c>
      <c r="B730" s="2">
        <v>11.1</v>
      </c>
      <c r="C730">
        <f t="shared" si="33"/>
        <v>11.515091230709894</v>
      </c>
      <c r="D730" s="2">
        <f t="shared" si="34"/>
        <v>0.41509123070989418</v>
      </c>
      <c r="E730" s="2">
        <f t="shared" si="35"/>
        <v>0.17230072981225458</v>
      </c>
    </row>
    <row r="731" spans="1:5">
      <c r="A731" s="3">
        <v>86.8</v>
      </c>
      <c r="B731" s="2">
        <v>11</v>
      </c>
      <c r="C731">
        <f t="shared" si="33"/>
        <v>11.515091230709894</v>
      </c>
      <c r="D731" s="2">
        <f t="shared" si="34"/>
        <v>0.51509123070989382</v>
      </c>
      <c r="E731" s="2">
        <f t="shared" si="35"/>
        <v>0.26531897595423304</v>
      </c>
    </row>
    <row r="732" spans="1:5">
      <c r="A732" s="3">
        <v>86.8</v>
      </c>
      <c r="B732" s="2">
        <v>13.1</v>
      </c>
      <c r="C732">
        <f t="shared" si="33"/>
        <v>11.515091230709894</v>
      </c>
      <c r="D732" s="2">
        <f t="shared" si="34"/>
        <v>-1.5849087692901058</v>
      </c>
      <c r="E732" s="2">
        <f t="shared" si="35"/>
        <v>2.5119358069726778</v>
      </c>
    </row>
    <row r="733" spans="1:5">
      <c r="A733" s="3">
        <v>86.9</v>
      </c>
      <c r="B733" s="2">
        <v>13.8</v>
      </c>
      <c r="C733">
        <f t="shared" si="33"/>
        <v>11.536053170700809</v>
      </c>
      <c r="D733" s="2">
        <f t="shared" si="34"/>
        <v>-2.2639468292991918</v>
      </c>
      <c r="E733" s="2">
        <f t="shared" si="35"/>
        <v>5.125455245893864</v>
      </c>
    </row>
    <row r="734" spans="1:5">
      <c r="A734" s="3">
        <v>86.9</v>
      </c>
      <c r="B734" s="2">
        <v>11</v>
      </c>
      <c r="C734">
        <f t="shared" si="33"/>
        <v>11.536053170700809</v>
      </c>
      <c r="D734" s="2">
        <f t="shared" si="34"/>
        <v>0.53605317070080893</v>
      </c>
      <c r="E734" s="2">
        <f t="shared" si="35"/>
        <v>0.28735300181839057</v>
      </c>
    </row>
    <row r="735" spans="1:5">
      <c r="A735" s="3">
        <v>87</v>
      </c>
      <c r="B735" s="2">
        <v>13</v>
      </c>
      <c r="C735">
        <f t="shared" si="33"/>
        <v>11.557015110691724</v>
      </c>
      <c r="D735" s="2">
        <f t="shared" si="34"/>
        <v>-1.442984889308276</v>
      </c>
      <c r="E735" s="2">
        <f t="shared" si="35"/>
        <v>2.0822053907720175</v>
      </c>
    </row>
    <row r="736" spans="1:5">
      <c r="A736" s="3">
        <v>87</v>
      </c>
      <c r="B736" s="2">
        <v>11.5</v>
      </c>
      <c r="C736">
        <f t="shared" si="33"/>
        <v>11.557015110691724</v>
      </c>
      <c r="D736" s="2">
        <f t="shared" si="34"/>
        <v>5.7015110691724047E-2</v>
      </c>
      <c r="E736" s="2">
        <f t="shared" si="35"/>
        <v>3.2507228471895457E-3</v>
      </c>
    </row>
    <row r="737" spans="1:5">
      <c r="A737" s="3">
        <v>87</v>
      </c>
      <c r="B737" s="2">
        <v>13.3</v>
      </c>
      <c r="C737">
        <f t="shared" si="33"/>
        <v>11.557015110691724</v>
      </c>
      <c r="D737" s="2">
        <f t="shared" si="34"/>
        <v>-1.7429848893082767</v>
      </c>
      <c r="E737" s="2">
        <f t="shared" si="35"/>
        <v>3.0379963243569854</v>
      </c>
    </row>
    <row r="738" spans="1:5">
      <c r="A738" s="3">
        <v>87</v>
      </c>
      <c r="B738" s="2">
        <v>11.6</v>
      </c>
      <c r="C738">
        <f t="shared" si="33"/>
        <v>11.557015110691724</v>
      </c>
      <c r="D738" s="2">
        <f t="shared" si="34"/>
        <v>-4.2984889308275598E-2</v>
      </c>
      <c r="E738" s="2">
        <f t="shared" si="35"/>
        <v>1.8477007088447059E-3</v>
      </c>
    </row>
    <row r="739" spans="1:5">
      <c r="A739" s="3">
        <v>87</v>
      </c>
      <c r="B739" s="2">
        <v>11.3</v>
      </c>
      <c r="C739">
        <f t="shared" si="33"/>
        <v>11.557015110691724</v>
      </c>
      <c r="D739" s="2">
        <f t="shared" si="34"/>
        <v>0.25701511069172334</v>
      </c>
      <c r="E739" s="2">
        <f t="shared" si="35"/>
        <v>6.6056767123878798E-2</v>
      </c>
    </row>
    <row r="740" spans="1:5">
      <c r="A740" s="3">
        <v>87</v>
      </c>
      <c r="B740" s="2">
        <v>10.199999999999999</v>
      </c>
      <c r="C740">
        <f t="shared" si="33"/>
        <v>11.557015110691724</v>
      </c>
      <c r="D740" s="2">
        <f t="shared" si="34"/>
        <v>1.3570151106917248</v>
      </c>
      <c r="E740" s="2">
        <f t="shared" si="35"/>
        <v>1.841490010645674</v>
      </c>
    </row>
    <row r="741" spans="1:5">
      <c r="A741" s="3">
        <v>87.1</v>
      </c>
      <c r="B741" s="2">
        <v>11.8</v>
      </c>
      <c r="C741">
        <f t="shared" si="33"/>
        <v>11.577977050682636</v>
      </c>
      <c r="D741" s="2">
        <f t="shared" si="34"/>
        <v>-0.2220229493173651</v>
      </c>
      <c r="E741" s="2">
        <f t="shared" si="35"/>
        <v>4.929419002358127E-2</v>
      </c>
    </row>
    <row r="742" spans="1:5">
      <c r="A742" s="3">
        <v>87.1</v>
      </c>
      <c r="B742" s="2">
        <v>11.1</v>
      </c>
      <c r="C742">
        <f t="shared" si="33"/>
        <v>11.577977050682636</v>
      </c>
      <c r="D742" s="2">
        <f t="shared" si="34"/>
        <v>0.47797705068263596</v>
      </c>
      <c r="E742" s="2">
        <f t="shared" si="35"/>
        <v>0.22846206097927116</v>
      </c>
    </row>
    <row r="743" spans="1:5">
      <c r="A743" s="3">
        <v>87.2</v>
      </c>
      <c r="B743" s="2">
        <v>12.2</v>
      </c>
      <c r="C743">
        <f t="shared" si="33"/>
        <v>11.598938990673554</v>
      </c>
      <c r="D743" s="2">
        <f t="shared" si="34"/>
        <v>-0.60106100932644502</v>
      </c>
      <c r="E743" s="2">
        <f t="shared" si="35"/>
        <v>0.36127433693252481</v>
      </c>
    </row>
    <row r="744" spans="1:5">
      <c r="A744" s="3">
        <v>87.3</v>
      </c>
      <c r="B744" s="2">
        <v>11.3</v>
      </c>
      <c r="C744">
        <f t="shared" si="33"/>
        <v>11.619900930664466</v>
      </c>
      <c r="D744" s="2">
        <f t="shared" si="34"/>
        <v>0.31990093066446512</v>
      </c>
      <c r="E744" s="2">
        <f t="shared" si="35"/>
        <v>0.10233660543999092</v>
      </c>
    </row>
    <row r="745" spans="1:5">
      <c r="A745" s="3">
        <v>87.3</v>
      </c>
      <c r="B745" s="2">
        <v>10.9</v>
      </c>
      <c r="C745">
        <f t="shared" si="33"/>
        <v>11.619900930664466</v>
      </c>
      <c r="D745" s="2">
        <f t="shared" si="34"/>
        <v>0.71990093066446548</v>
      </c>
      <c r="E745" s="2">
        <f t="shared" si="35"/>
        <v>0.51825734997156359</v>
      </c>
    </row>
    <row r="746" spans="1:5">
      <c r="A746" s="3">
        <v>87.3</v>
      </c>
      <c r="B746" s="2">
        <v>10.9</v>
      </c>
      <c r="C746">
        <f t="shared" si="33"/>
        <v>11.619900930664466</v>
      </c>
      <c r="D746" s="2">
        <f t="shared" si="34"/>
        <v>0.71990093066446548</v>
      </c>
      <c r="E746" s="2">
        <f t="shared" si="35"/>
        <v>0.51825734997156359</v>
      </c>
    </row>
    <row r="747" spans="1:5">
      <c r="A747" s="3">
        <v>87.3</v>
      </c>
      <c r="B747" s="2">
        <v>11.7</v>
      </c>
      <c r="C747">
        <f t="shared" si="33"/>
        <v>11.619900930664466</v>
      </c>
      <c r="D747" s="2">
        <f t="shared" si="34"/>
        <v>-8.0099069335533457E-2</v>
      </c>
      <c r="E747" s="2">
        <f t="shared" si="35"/>
        <v>6.4158609084185962E-3</v>
      </c>
    </row>
    <row r="748" spans="1:5">
      <c r="A748" s="3">
        <v>87.3</v>
      </c>
      <c r="B748" s="2">
        <v>11.5</v>
      </c>
      <c r="C748">
        <f t="shared" si="33"/>
        <v>11.619900930664466</v>
      </c>
      <c r="D748" s="2">
        <f t="shared" si="34"/>
        <v>0.11990093066446583</v>
      </c>
      <c r="E748" s="2">
        <f t="shared" si="35"/>
        <v>1.4376233174205043E-2</v>
      </c>
    </row>
    <row r="749" spans="1:5">
      <c r="A749" s="3">
        <v>87.4</v>
      </c>
      <c r="B749" s="2">
        <v>13</v>
      </c>
      <c r="C749">
        <f t="shared" si="33"/>
        <v>11.640862870655384</v>
      </c>
      <c r="D749" s="2">
        <f t="shared" si="34"/>
        <v>-1.3591371293446155</v>
      </c>
      <c r="E749" s="2">
        <f t="shared" si="35"/>
        <v>1.8472537363631221</v>
      </c>
    </row>
    <row r="750" spans="1:5">
      <c r="A750" s="3">
        <v>87.4</v>
      </c>
      <c r="B750" s="2">
        <v>11.8</v>
      </c>
      <c r="C750">
        <f t="shared" si="33"/>
        <v>11.640862870655384</v>
      </c>
      <c r="D750" s="2">
        <f t="shared" si="34"/>
        <v>-0.15913712934461621</v>
      </c>
      <c r="E750" s="2">
        <f t="shared" si="35"/>
        <v>2.5324625936045109E-2</v>
      </c>
    </row>
    <row r="751" spans="1:5">
      <c r="A751" s="3">
        <v>87.4</v>
      </c>
      <c r="B751" s="2">
        <v>11.8</v>
      </c>
      <c r="C751">
        <f t="shared" si="33"/>
        <v>11.640862870655384</v>
      </c>
      <c r="D751" s="2">
        <f t="shared" si="34"/>
        <v>-0.15913712934461621</v>
      </c>
      <c r="E751" s="2">
        <f t="shared" si="35"/>
        <v>2.5324625936045109E-2</v>
      </c>
    </row>
    <row r="752" spans="1:5">
      <c r="A752" s="3">
        <v>87.5</v>
      </c>
      <c r="B752" s="2">
        <v>12.2</v>
      </c>
      <c r="C752">
        <f t="shared" si="33"/>
        <v>11.661824810646296</v>
      </c>
      <c r="D752" s="2">
        <f t="shared" si="34"/>
        <v>-0.53817518935370323</v>
      </c>
      <c r="E752" s="2">
        <f t="shared" si="35"/>
        <v>0.28963253443589432</v>
      </c>
    </row>
    <row r="753" spans="1:5">
      <c r="A753" s="3">
        <v>87.5</v>
      </c>
      <c r="B753" s="2">
        <v>15</v>
      </c>
      <c r="C753">
        <f t="shared" si="33"/>
        <v>11.661824810646296</v>
      </c>
      <c r="D753" s="2">
        <f t="shared" si="34"/>
        <v>-3.3381751893537039</v>
      </c>
      <c r="E753" s="2">
        <f t="shared" si="35"/>
        <v>11.143413594816638</v>
      </c>
    </row>
    <row r="754" spans="1:5">
      <c r="A754" s="3">
        <v>87.6</v>
      </c>
      <c r="B754" s="2">
        <v>11.9</v>
      </c>
      <c r="C754">
        <f t="shared" si="33"/>
        <v>11.682786750637211</v>
      </c>
      <c r="D754" s="2">
        <f t="shared" si="34"/>
        <v>-0.21721324936278918</v>
      </c>
      <c r="E754" s="2">
        <f t="shared" si="35"/>
        <v>4.7181595698741238E-2</v>
      </c>
    </row>
    <row r="755" spans="1:5">
      <c r="A755" s="3">
        <v>87.6</v>
      </c>
      <c r="B755" s="2">
        <v>11.3</v>
      </c>
      <c r="C755">
        <f t="shared" si="33"/>
        <v>11.682786750637211</v>
      </c>
      <c r="D755" s="2">
        <f t="shared" si="34"/>
        <v>0.38278675063721046</v>
      </c>
      <c r="E755" s="2">
        <f t="shared" si="35"/>
        <v>0.14652569646339395</v>
      </c>
    </row>
    <row r="756" spans="1:5">
      <c r="A756" s="3">
        <v>87.7</v>
      </c>
      <c r="B756" s="2">
        <v>9.9</v>
      </c>
      <c r="C756">
        <f t="shared" si="33"/>
        <v>11.703748690628126</v>
      </c>
      <c r="D756" s="2">
        <f t="shared" si="34"/>
        <v>1.8037486906281259</v>
      </c>
      <c r="E756" s="2">
        <f t="shared" si="35"/>
        <v>3.2535093389426786</v>
      </c>
    </row>
    <row r="757" spans="1:5">
      <c r="A757" s="3">
        <v>87.7</v>
      </c>
      <c r="B757" s="2">
        <v>10.8</v>
      </c>
      <c r="C757">
        <f t="shared" si="33"/>
        <v>11.703748690628126</v>
      </c>
      <c r="D757" s="2">
        <f t="shared" si="34"/>
        <v>0.90374869062812557</v>
      </c>
      <c r="E757" s="2">
        <f t="shared" si="35"/>
        <v>0.81676169581205138</v>
      </c>
    </row>
    <row r="758" spans="1:5">
      <c r="A758" s="3">
        <v>87.7</v>
      </c>
      <c r="B758" s="2">
        <v>12.2</v>
      </c>
      <c r="C758">
        <f t="shared" si="33"/>
        <v>11.703748690628126</v>
      </c>
      <c r="D758" s="2">
        <f t="shared" si="34"/>
        <v>-0.49625130937187301</v>
      </c>
      <c r="E758" s="2">
        <f t="shared" si="35"/>
        <v>0.24626536205329841</v>
      </c>
    </row>
    <row r="759" spans="1:5">
      <c r="A759" s="3">
        <v>87.7</v>
      </c>
      <c r="B759" s="2">
        <v>12.4</v>
      </c>
      <c r="C759">
        <f t="shared" si="33"/>
        <v>11.703748690628126</v>
      </c>
      <c r="D759" s="2">
        <f t="shared" si="34"/>
        <v>-0.69625130937187407</v>
      </c>
      <c r="E759" s="2">
        <f t="shared" si="35"/>
        <v>0.4847658858020491</v>
      </c>
    </row>
    <row r="760" spans="1:5">
      <c r="A760" s="3">
        <v>87.7</v>
      </c>
      <c r="B760" s="2">
        <v>14.1</v>
      </c>
      <c r="C760">
        <f t="shared" si="33"/>
        <v>11.703748690628126</v>
      </c>
      <c r="D760" s="2">
        <f t="shared" si="34"/>
        <v>-2.3962513093718734</v>
      </c>
      <c r="E760" s="2">
        <f t="shared" si="35"/>
        <v>5.7420203376664176</v>
      </c>
    </row>
    <row r="761" spans="1:5">
      <c r="A761" s="3">
        <v>87.8</v>
      </c>
      <c r="B761" s="2">
        <v>12.4</v>
      </c>
      <c r="C761">
        <f t="shared" si="33"/>
        <v>11.724710630619038</v>
      </c>
      <c r="D761" s="2">
        <f t="shared" si="34"/>
        <v>-0.67528936938096251</v>
      </c>
      <c r="E761" s="2">
        <f t="shared" si="35"/>
        <v>0.45601573239893806</v>
      </c>
    </row>
    <row r="762" spans="1:5">
      <c r="A762" s="3">
        <v>87.8</v>
      </c>
      <c r="B762" s="2">
        <v>11.7</v>
      </c>
      <c r="C762">
        <f t="shared" si="33"/>
        <v>11.724710630619038</v>
      </c>
      <c r="D762" s="2">
        <f t="shared" si="34"/>
        <v>2.4710630619038554E-2</v>
      </c>
      <c r="E762" s="2">
        <f t="shared" si="35"/>
        <v>6.1061526559056572E-4</v>
      </c>
    </row>
    <row r="763" spans="1:5">
      <c r="A763" s="3">
        <v>88</v>
      </c>
      <c r="B763" s="2">
        <v>12.6</v>
      </c>
      <c r="C763">
        <f t="shared" si="33"/>
        <v>11.766634510600868</v>
      </c>
      <c r="D763" s="2">
        <f t="shared" si="34"/>
        <v>-0.83336548939913158</v>
      </c>
      <c r="E763" s="2">
        <f t="shared" si="35"/>
        <v>0.69449803892145412</v>
      </c>
    </row>
    <row r="764" spans="1:5">
      <c r="A764" s="3">
        <v>88</v>
      </c>
      <c r="B764" s="2">
        <v>10.6</v>
      </c>
      <c r="C764">
        <f t="shared" si="33"/>
        <v>11.766634510600868</v>
      </c>
      <c r="D764" s="2">
        <f t="shared" si="34"/>
        <v>1.1666345106008684</v>
      </c>
      <c r="E764" s="2">
        <f t="shared" si="35"/>
        <v>1.3610360813249278</v>
      </c>
    </row>
    <row r="765" spans="1:5">
      <c r="A765" s="3">
        <v>88.1</v>
      </c>
      <c r="B765" s="2">
        <v>13.1</v>
      </c>
      <c r="C765">
        <f t="shared" si="33"/>
        <v>11.787596450591783</v>
      </c>
      <c r="D765" s="2">
        <f t="shared" si="34"/>
        <v>-1.3124035494082165</v>
      </c>
      <c r="E765" s="2">
        <f t="shared" si="35"/>
        <v>1.7224030764992848</v>
      </c>
    </row>
    <row r="766" spans="1:5">
      <c r="A766" s="3">
        <v>88.2</v>
      </c>
      <c r="B766" s="2">
        <v>12</v>
      </c>
      <c r="C766">
        <f t="shared" si="33"/>
        <v>11.808558390582698</v>
      </c>
      <c r="D766" s="2">
        <f t="shared" si="34"/>
        <v>-0.19144160941730171</v>
      </c>
      <c r="E766" s="2">
        <f t="shared" si="35"/>
        <v>3.6649889816286703E-2</v>
      </c>
    </row>
    <row r="767" spans="1:5">
      <c r="A767" s="3">
        <v>88.2</v>
      </c>
      <c r="B767" s="2">
        <v>11.7</v>
      </c>
      <c r="C767">
        <f t="shared" si="33"/>
        <v>11.808558390582698</v>
      </c>
      <c r="D767" s="2">
        <f t="shared" si="34"/>
        <v>0.108558390582699</v>
      </c>
      <c r="E767" s="2">
        <f t="shared" si="35"/>
        <v>1.1784924165905831E-2</v>
      </c>
    </row>
    <row r="768" spans="1:5">
      <c r="A768" s="3">
        <v>88.2</v>
      </c>
      <c r="B768" s="2">
        <v>12.9</v>
      </c>
      <c r="C768">
        <f t="shared" si="33"/>
        <v>11.808558390582698</v>
      </c>
      <c r="D768" s="2">
        <f t="shared" si="34"/>
        <v>-1.0914416094173021</v>
      </c>
      <c r="E768" s="2">
        <f t="shared" si="35"/>
        <v>1.1912447867674305</v>
      </c>
    </row>
    <row r="769" spans="1:5">
      <c r="A769" s="3">
        <v>88.2</v>
      </c>
      <c r="B769" s="2">
        <v>14.3</v>
      </c>
      <c r="C769">
        <f t="shared" si="33"/>
        <v>11.808558390582698</v>
      </c>
      <c r="D769" s="2">
        <f t="shared" si="34"/>
        <v>-2.4914416094173024</v>
      </c>
      <c r="E769" s="2">
        <f t="shared" si="35"/>
        <v>6.2072812931358783</v>
      </c>
    </row>
    <row r="770" spans="1:5">
      <c r="A770" s="3">
        <v>88.3</v>
      </c>
      <c r="B770" s="2">
        <v>12.9</v>
      </c>
      <c r="C770">
        <f t="shared" si="33"/>
        <v>11.829520330573613</v>
      </c>
      <c r="D770" s="2">
        <f t="shared" si="34"/>
        <v>-1.0704796694263869</v>
      </c>
      <c r="E770" s="2">
        <f t="shared" si="35"/>
        <v>1.1459267226552268</v>
      </c>
    </row>
    <row r="771" spans="1:5">
      <c r="A771" s="3">
        <v>88.4</v>
      </c>
      <c r="B771" s="2">
        <v>11.4</v>
      </c>
      <c r="C771">
        <f t="shared" ref="C771:C834" si="36">$K$4*A771+$K$5</f>
        <v>11.850482270564529</v>
      </c>
      <c r="D771" s="2">
        <f t="shared" ref="D771:D834" si="37">C771-B771</f>
        <v>0.45048227056452816</v>
      </c>
      <c r="E771" s="2">
        <f t="shared" ref="E771:E834" si="38">D771^2</f>
        <v>0.20293427609297277</v>
      </c>
    </row>
    <row r="772" spans="1:5">
      <c r="A772" s="3">
        <v>88.4</v>
      </c>
      <c r="B772" s="2">
        <v>11.8</v>
      </c>
      <c r="C772">
        <f t="shared" si="36"/>
        <v>11.850482270564529</v>
      </c>
      <c r="D772" s="2">
        <f t="shared" si="37"/>
        <v>5.0482270564527809E-2</v>
      </c>
      <c r="E772" s="2">
        <f t="shared" si="38"/>
        <v>2.5484596413501907E-3</v>
      </c>
    </row>
    <row r="773" spans="1:5">
      <c r="A773" s="3">
        <v>88.5</v>
      </c>
      <c r="B773" s="2">
        <v>11.7</v>
      </c>
      <c r="C773">
        <f t="shared" si="36"/>
        <v>11.871444210555444</v>
      </c>
      <c r="D773" s="2">
        <f t="shared" si="37"/>
        <v>0.17144421055544434</v>
      </c>
      <c r="E773" s="2">
        <f t="shared" si="38"/>
        <v>2.9393117332979533E-2</v>
      </c>
    </row>
    <row r="774" spans="1:5">
      <c r="A774" s="3">
        <v>88.5</v>
      </c>
      <c r="B774" s="2">
        <v>12.4</v>
      </c>
      <c r="C774">
        <f t="shared" si="36"/>
        <v>11.871444210555444</v>
      </c>
      <c r="D774" s="2">
        <f t="shared" si="37"/>
        <v>-0.52855578944455672</v>
      </c>
      <c r="E774" s="2">
        <f t="shared" si="38"/>
        <v>0.27937122255535857</v>
      </c>
    </row>
    <row r="775" spans="1:5">
      <c r="A775" s="3">
        <v>88.5</v>
      </c>
      <c r="B775" s="2">
        <v>11.9</v>
      </c>
      <c r="C775">
        <f t="shared" si="36"/>
        <v>11.871444210555444</v>
      </c>
      <c r="D775" s="2">
        <f t="shared" si="37"/>
        <v>-2.8555789444556723E-2</v>
      </c>
      <c r="E775" s="2">
        <f t="shared" si="38"/>
        <v>8.1543311080185712E-4</v>
      </c>
    </row>
    <row r="776" spans="1:5">
      <c r="A776" s="3">
        <v>88.5</v>
      </c>
      <c r="B776" s="2">
        <v>10.8</v>
      </c>
      <c r="C776">
        <f t="shared" si="36"/>
        <v>11.871444210555444</v>
      </c>
      <c r="D776" s="2">
        <f t="shared" si="37"/>
        <v>1.0714442105554429</v>
      </c>
      <c r="E776" s="2">
        <f t="shared" si="38"/>
        <v>1.1479926963327762</v>
      </c>
    </row>
    <row r="777" spans="1:5">
      <c r="A777" s="3">
        <v>88.5</v>
      </c>
      <c r="B777" s="2">
        <v>12.1</v>
      </c>
      <c r="C777">
        <f t="shared" si="36"/>
        <v>11.871444210555444</v>
      </c>
      <c r="D777" s="2">
        <f t="shared" si="37"/>
        <v>-0.22855578944455601</v>
      </c>
      <c r="E777" s="2">
        <f t="shared" si="38"/>
        <v>5.2237748888624223E-2</v>
      </c>
    </row>
    <row r="778" spans="1:5">
      <c r="A778" s="3">
        <v>88.6</v>
      </c>
      <c r="B778" s="2">
        <v>10.4</v>
      </c>
      <c r="C778">
        <f t="shared" si="36"/>
        <v>11.892406150546355</v>
      </c>
      <c r="D778" s="2">
        <f t="shared" si="37"/>
        <v>1.4924061505463548</v>
      </c>
      <c r="E778" s="2">
        <f t="shared" si="38"/>
        <v>2.2272761181885889</v>
      </c>
    </row>
    <row r="779" spans="1:5">
      <c r="A779" s="3">
        <v>88.6</v>
      </c>
      <c r="B779" s="2">
        <v>12.5</v>
      </c>
      <c r="C779">
        <f t="shared" si="36"/>
        <v>11.892406150546355</v>
      </c>
      <c r="D779" s="2">
        <f t="shared" si="37"/>
        <v>-0.60759384945364481</v>
      </c>
      <c r="E779" s="2">
        <f t="shared" si="38"/>
        <v>0.36917028589389839</v>
      </c>
    </row>
    <row r="780" spans="1:5">
      <c r="A780" s="3">
        <v>88.6</v>
      </c>
      <c r="B780" s="2">
        <v>10.6</v>
      </c>
      <c r="C780">
        <f t="shared" si="36"/>
        <v>11.892406150546355</v>
      </c>
      <c r="D780" s="2">
        <f t="shared" si="37"/>
        <v>1.2924061505463555</v>
      </c>
      <c r="E780" s="2">
        <f t="shared" si="38"/>
        <v>1.670313657970049</v>
      </c>
    </row>
    <row r="781" spans="1:5">
      <c r="A781" s="3">
        <v>88.6</v>
      </c>
      <c r="B781" s="2">
        <v>12</v>
      </c>
      <c r="C781">
        <f t="shared" si="36"/>
        <v>11.892406150546355</v>
      </c>
      <c r="D781" s="2">
        <f t="shared" si="37"/>
        <v>-0.10759384945364481</v>
      </c>
      <c r="E781" s="2">
        <f t="shared" si="38"/>
        <v>1.1576436440253583E-2</v>
      </c>
    </row>
    <row r="782" spans="1:5">
      <c r="A782" s="3">
        <v>88.6</v>
      </c>
      <c r="B782" s="2">
        <v>12.9</v>
      </c>
      <c r="C782">
        <f t="shared" si="36"/>
        <v>11.892406150546355</v>
      </c>
      <c r="D782" s="2">
        <f t="shared" si="37"/>
        <v>-1.0075938494536452</v>
      </c>
      <c r="E782" s="2">
        <f t="shared" si="38"/>
        <v>1.015245365456815</v>
      </c>
    </row>
    <row r="783" spans="1:5">
      <c r="A783" s="3">
        <v>88.6</v>
      </c>
      <c r="B783" s="2">
        <v>12.2</v>
      </c>
      <c r="C783">
        <f t="shared" si="36"/>
        <v>11.892406150546355</v>
      </c>
      <c r="D783" s="2">
        <f t="shared" si="37"/>
        <v>-0.3075938494536441</v>
      </c>
      <c r="E783" s="2">
        <f t="shared" si="38"/>
        <v>9.4613976221711069E-2</v>
      </c>
    </row>
    <row r="784" spans="1:5">
      <c r="A784" s="3">
        <v>88.7</v>
      </c>
      <c r="B784" s="2">
        <v>10.9</v>
      </c>
      <c r="C784">
        <f t="shared" si="36"/>
        <v>11.913368090537274</v>
      </c>
      <c r="D784" s="2">
        <f t="shared" si="37"/>
        <v>1.0133680905372735</v>
      </c>
      <c r="E784" s="2">
        <f t="shared" si="38"/>
        <v>1.0269148869191598</v>
      </c>
    </row>
    <row r="785" spans="1:5">
      <c r="A785" s="3">
        <v>88.7</v>
      </c>
      <c r="B785" s="2">
        <v>12.6</v>
      </c>
      <c r="C785">
        <f t="shared" si="36"/>
        <v>11.913368090537274</v>
      </c>
      <c r="D785" s="2">
        <f t="shared" si="37"/>
        <v>-0.68663190946272579</v>
      </c>
      <c r="E785" s="2">
        <f t="shared" si="38"/>
        <v>0.47146337909242886</v>
      </c>
    </row>
    <row r="786" spans="1:5">
      <c r="A786" s="3">
        <v>88.7</v>
      </c>
      <c r="B786" s="2">
        <v>12.2</v>
      </c>
      <c r="C786">
        <f t="shared" si="36"/>
        <v>11.913368090537274</v>
      </c>
      <c r="D786" s="2">
        <f t="shared" si="37"/>
        <v>-0.28663190946272543</v>
      </c>
      <c r="E786" s="2">
        <f t="shared" si="38"/>
        <v>8.2157851522248027E-2</v>
      </c>
    </row>
    <row r="787" spans="1:5">
      <c r="A787" s="3">
        <v>88.8</v>
      </c>
      <c r="B787" s="2">
        <v>11.4</v>
      </c>
      <c r="C787">
        <f t="shared" si="36"/>
        <v>11.934330030528185</v>
      </c>
      <c r="D787" s="2">
        <f t="shared" si="37"/>
        <v>0.53433003052818506</v>
      </c>
      <c r="E787" s="2">
        <f t="shared" si="38"/>
        <v>0.28550858152425118</v>
      </c>
    </row>
    <row r="788" spans="1:5">
      <c r="A788" s="3">
        <v>88.8</v>
      </c>
      <c r="B788" s="2">
        <v>13.1</v>
      </c>
      <c r="C788">
        <f t="shared" si="36"/>
        <v>11.934330030528185</v>
      </c>
      <c r="D788" s="2">
        <f t="shared" si="37"/>
        <v>-1.1656699694718142</v>
      </c>
      <c r="E788" s="2">
        <f t="shared" si="38"/>
        <v>1.3587864777284202</v>
      </c>
    </row>
    <row r="789" spans="1:5">
      <c r="A789" s="3">
        <v>88.9</v>
      </c>
      <c r="B789" s="2">
        <v>12.3</v>
      </c>
      <c r="C789">
        <f t="shared" si="36"/>
        <v>11.955291970519101</v>
      </c>
      <c r="D789" s="2">
        <f t="shared" si="37"/>
        <v>-0.34470802948090018</v>
      </c>
      <c r="E789" s="2">
        <f t="shared" si="38"/>
        <v>0.11882362558860515</v>
      </c>
    </row>
    <row r="790" spans="1:5">
      <c r="A790" s="3">
        <v>88.9</v>
      </c>
      <c r="B790" s="2">
        <v>12.3</v>
      </c>
      <c r="C790">
        <f t="shared" si="36"/>
        <v>11.955291970519101</v>
      </c>
      <c r="D790" s="2">
        <f t="shared" si="37"/>
        <v>-0.34470802948090018</v>
      </c>
      <c r="E790" s="2">
        <f t="shared" si="38"/>
        <v>0.11882362558860515</v>
      </c>
    </row>
    <row r="791" spans="1:5">
      <c r="A791" s="3">
        <v>88.9</v>
      </c>
      <c r="B791" s="2">
        <v>12.5</v>
      </c>
      <c r="C791">
        <f t="shared" si="36"/>
        <v>11.955291970519101</v>
      </c>
      <c r="D791" s="2">
        <f t="shared" si="37"/>
        <v>-0.54470802948089947</v>
      </c>
      <c r="E791" s="2">
        <f t="shared" si="38"/>
        <v>0.29670683738096443</v>
      </c>
    </row>
    <row r="792" spans="1:5">
      <c r="A792" s="3">
        <v>88.9</v>
      </c>
      <c r="B792" s="2">
        <v>11.5</v>
      </c>
      <c r="C792">
        <f t="shared" si="36"/>
        <v>11.955291970519101</v>
      </c>
      <c r="D792" s="2">
        <f t="shared" si="37"/>
        <v>0.45529197051910053</v>
      </c>
      <c r="E792" s="2">
        <f t="shared" si="38"/>
        <v>0.20729077841916552</v>
      </c>
    </row>
    <row r="793" spans="1:5">
      <c r="A793" s="3">
        <v>89</v>
      </c>
      <c r="B793" s="2">
        <v>11.8</v>
      </c>
      <c r="C793">
        <f t="shared" si="36"/>
        <v>11.976253910510016</v>
      </c>
      <c r="D793" s="2">
        <f t="shared" si="37"/>
        <v>0.17625391051001493</v>
      </c>
      <c r="E793" s="2">
        <f t="shared" si="38"/>
        <v>3.1065440970072352E-2</v>
      </c>
    </row>
    <row r="794" spans="1:5">
      <c r="A794" s="3">
        <v>89</v>
      </c>
      <c r="B794" s="2">
        <v>13.8</v>
      </c>
      <c r="C794">
        <f t="shared" si="36"/>
        <v>11.976253910510016</v>
      </c>
      <c r="D794" s="2">
        <f t="shared" si="37"/>
        <v>-1.8237460894899851</v>
      </c>
      <c r="E794" s="2">
        <f t="shared" si="38"/>
        <v>3.3260497989300126</v>
      </c>
    </row>
    <row r="795" spans="1:5">
      <c r="A795" s="3">
        <v>89</v>
      </c>
      <c r="B795" s="2">
        <v>10.4</v>
      </c>
      <c r="C795">
        <f t="shared" si="36"/>
        <v>11.976253910510016</v>
      </c>
      <c r="D795" s="2">
        <f t="shared" si="37"/>
        <v>1.5762539105100153</v>
      </c>
      <c r="E795" s="2">
        <f t="shared" si="38"/>
        <v>2.4845763903981153</v>
      </c>
    </row>
    <row r="796" spans="1:5">
      <c r="A796" s="3">
        <v>89</v>
      </c>
      <c r="B796" s="2">
        <v>11.4</v>
      </c>
      <c r="C796">
        <f t="shared" si="36"/>
        <v>11.976253910510016</v>
      </c>
      <c r="D796" s="2">
        <f t="shared" si="37"/>
        <v>0.57625391051001529</v>
      </c>
      <c r="E796" s="2">
        <f t="shared" si="38"/>
        <v>0.33206856937808471</v>
      </c>
    </row>
    <row r="797" spans="1:5">
      <c r="A797" s="3">
        <v>89</v>
      </c>
      <c r="B797" s="2">
        <v>12</v>
      </c>
      <c r="C797">
        <f t="shared" si="36"/>
        <v>11.976253910510016</v>
      </c>
      <c r="D797" s="2">
        <f t="shared" si="37"/>
        <v>-2.3746089489984357E-2</v>
      </c>
      <c r="E797" s="2">
        <f t="shared" si="38"/>
        <v>5.638767660663455E-4</v>
      </c>
    </row>
    <row r="798" spans="1:5">
      <c r="A798" s="3">
        <v>89</v>
      </c>
      <c r="B798" s="2">
        <v>12.2</v>
      </c>
      <c r="C798">
        <f t="shared" si="36"/>
        <v>11.976253910510016</v>
      </c>
      <c r="D798" s="2">
        <f t="shared" si="37"/>
        <v>-0.22374608948998365</v>
      </c>
      <c r="E798" s="2">
        <f t="shared" si="38"/>
        <v>5.0062312562059771E-2</v>
      </c>
    </row>
    <row r="799" spans="1:5">
      <c r="A799" s="3">
        <v>89.1</v>
      </c>
      <c r="B799" s="2">
        <v>11.5</v>
      </c>
      <c r="C799">
        <f t="shared" si="36"/>
        <v>11.997215850500931</v>
      </c>
      <c r="D799" s="2">
        <f t="shared" si="37"/>
        <v>0.49721585050093076</v>
      </c>
      <c r="E799" s="2">
        <f t="shared" si="38"/>
        <v>0.24722360198936391</v>
      </c>
    </row>
    <row r="800" spans="1:5">
      <c r="A800" s="3">
        <v>89.1</v>
      </c>
      <c r="B800" s="2">
        <v>11.9</v>
      </c>
      <c r="C800">
        <f t="shared" si="36"/>
        <v>11.997215850500931</v>
      </c>
      <c r="D800" s="2">
        <f t="shared" si="37"/>
        <v>9.7215850500930401E-2</v>
      </c>
      <c r="E800" s="2">
        <f t="shared" si="38"/>
        <v>9.4509215886192498E-3</v>
      </c>
    </row>
    <row r="801" spans="1:5">
      <c r="A801" s="3">
        <v>89.2</v>
      </c>
      <c r="B801" s="2">
        <v>11.9</v>
      </c>
      <c r="C801">
        <f t="shared" si="36"/>
        <v>12.018177790491846</v>
      </c>
      <c r="D801" s="2">
        <f t="shared" si="37"/>
        <v>0.11817779049184551</v>
      </c>
      <c r="E801" s="2">
        <f t="shared" si="38"/>
        <v>1.3965990165534532E-2</v>
      </c>
    </row>
    <row r="802" spans="1:5">
      <c r="A802" s="3">
        <v>89.2</v>
      </c>
      <c r="B802" s="2">
        <v>11.6</v>
      </c>
      <c r="C802">
        <f t="shared" si="36"/>
        <v>12.018177790491846</v>
      </c>
      <c r="D802" s="2">
        <f t="shared" si="37"/>
        <v>0.41817779049184622</v>
      </c>
      <c r="E802" s="2">
        <f t="shared" si="38"/>
        <v>0.17487266446064242</v>
      </c>
    </row>
    <row r="803" spans="1:5">
      <c r="A803" s="3">
        <v>89.4</v>
      </c>
      <c r="B803" s="2">
        <v>11.7</v>
      </c>
      <c r="C803">
        <f t="shared" si="36"/>
        <v>12.060101670473676</v>
      </c>
      <c r="D803" s="2">
        <f t="shared" si="37"/>
        <v>0.3601016704736768</v>
      </c>
      <c r="E803" s="2">
        <f t="shared" si="38"/>
        <v>0.12967321307793253</v>
      </c>
    </row>
    <row r="804" spans="1:5">
      <c r="A804" s="3">
        <v>89.4</v>
      </c>
      <c r="B804" s="2">
        <v>11.5</v>
      </c>
      <c r="C804">
        <f t="shared" si="36"/>
        <v>12.060101670473676</v>
      </c>
      <c r="D804" s="2">
        <f t="shared" si="37"/>
        <v>0.56010167047367609</v>
      </c>
      <c r="E804" s="2">
        <f t="shared" si="38"/>
        <v>0.31371388126740246</v>
      </c>
    </row>
    <row r="805" spans="1:5">
      <c r="A805" s="3">
        <v>89.4</v>
      </c>
      <c r="B805" s="2">
        <v>11.6</v>
      </c>
      <c r="C805">
        <f t="shared" si="36"/>
        <v>12.060101670473676</v>
      </c>
      <c r="D805" s="2">
        <f t="shared" si="37"/>
        <v>0.46010167047367645</v>
      </c>
      <c r="E805" s="2">
        <f t="shared" si="38"/>
        <v>0.21169354717266756</v>
      </c>
    </row>
    <row r="806" spans="1:5">
      <c r="A806" s="3">
        <v>89.5</v>
      </c>
      <c r="B806" s="2">
        <v>12.7</v>
      </c>
      <c r="C806">
        <f t="shared" si="36"/>
        <v>12.081063610464588</v>
      </c>
      <c r="D806" s="2">
        <f t="shared" si="37"/>
        <v>-0.61893638953541164</v>
      </c>
      <c r="E806" s="2">
        <f t="shared" si="38"/>
        <v>0.3830822542911308</v>
      </c>
    </row>
    <row r="807" spans="1:5">
      <c r="A807" s="3">
        <v>89.5</v>
      </c>
      <c r="B807" s="2">
        <v>11.7</v>
      </c>
      <c r="C807">
        <f t="shared" si="36"/>
        <v>12.081063610464588</v>
      </c>
      <c r="D807" s="2">
        <f t="shared" si="37"/>
        <v>0.38106361046458836</v>
      </c>
      <c r="E807" s="2">
        <f t="shared" si="38"/>
        <v>0.14520947522030753</v>
      </c>
    </row>
    <row r="808" spans="1:5">
      <c r="A808" s="3">
        <v>89.6</v>
      </c>
      <c r="B808" s="2">
        <v>11.4</v>
      </c>
      <c r="C808">
        <f t="shared" si="36"/>
        <v>12.102025550455503</v>
      </c>
      <c r="D808" s="2">
        <f t="shared" si="37"/>
        <v>0.70202555045550241</v>
      </c>
      <c r="E808" s="2">
        <f t="shared" si="38"/>
        <v>0.49283987349235114</v>
      </c>
    </row>
    <row r="809" spans="1:5">
      <c r="A809" s="3">
        <v>89.6</v>
      </c>
      <c r="B809" s="2">
        <v>11.9</v>
      </c>
      <c r="C809">
        <f t="shared" si="36"/>
        <v>12.102025550455503</v>
      </c>
      <c r="D809" s="2">
        <f t="shared" si="37"/>
        <v>0.20202555045550241</v>
      </c>
      <c r="E809" s="2">
        <f t="shared" si="38"/>
        <v>4.0814323036848753E-2</v>
      </c>
    </row>
    <row r="810" spans="1:5">
      <c r="A810" s="3">
        <v>89.6</v>
      </c>
      <c r="B810" s="2">
        <v>12.5</v>
      </c>
      <c r="C810">
        <f t="shared" si="36"/>
        <v>12.102025550455503</v>
      </c>
      <c r="D810" s="2">
        <f t="shared" si="37"/>
        <v>-0.39797444954449723</v>
      </c>
      <c r="E810" s="2">
        <f t="shared" si="38"/>
        <v>0.15838366249024557</v>
      </c>
    </row>
    <row r="811" spans="1:5">
      <c r="A811" s="3">
        <v>89.6</v>
      </c>
      <c r="B811" s="2">
        <v>10.8</v>
      </c>
      <c r="C811">
        <f t="shared" si="36"/>
        <v>12.102025550455503</v>
      </c>
      <c r="D811" s="2">
        <f t="shared" si="37"/>
        <v>1.3020255504555021</v>
      </c>
      <c r="E811" s="2">
        <f t="shared" si="38"/>
        <v>1.6952705340389531</v>
      </c>
    </row>
    <row r="812" spans="1:5">
      <c r="A812" s="3">
        <v>89.8</v>
      </c>
      <c r="B812" s="2">
        <v>12.7</v>
      </c>
      <c r="C812">
        <f t="shared" si="36"/>
        <v>12.143949430437333</v>
      </c>
      <c r="D812" s="2">
        <f t="shared" si="37"/>
        <v>-0.5560505695626663</v>
      </c>
      <c r="E812" s="2">
        <f t="shared" si="38"/>
        <v>0.30919223591096562</v>
      </c>
    </row>
    <row r="813" spans="1:5">
      <c r="A813" s="3">
        <v>89.8</v>
      </c>
      <c r="B813" s="2">
        <v>10.9</v>
      </c>
      <c r="C813">
        <f t="shared" si="36"/>
        <v>12.143949430437333</v>
      </c>
      <c r="D813" s="2">
        <f t="shared" si="37"/>
        <v>1.2439494304373326</v>
      </c>
      <c r="E813" s="2">
        <f t="shared" si="38"/>
        <v>1.5474101854853644</v>
      </c>
    </row>
    <row r="814" spans="1:5">
      <c r="A814" s="3">
        <v>89.8</v>
      </c>
      <c r="B814" s="2">
        <v>11.5</v>
      </c>
      <c r="C814">
        <f t="shared" si="36"/>
        <v>12.143949430437333</v>
      </c>
      <c r="D814" s="2">
        <f t="shared" si="37"/>
        <v>0.64394943043733299</v>
      </c>
      <c r="E814" s="2">
        <f t="shared" si="38"/>
        <v>0.41467086896056554</v>
      </c>
    </row>
    <row r="815" spans="1:5">
      <c r="A815" s="3">
        <v>89.9</v>
      </c>
      <c r="B815" s="2">
        <v>11.5</v>
      </c>
      <c r="C815">
        <f t="shared" si="36"/>
        <v>12.164911370428248</v>
      </c>
      <c r="D815" s="2">
        <f t="shared" si="37"/>
        <v>0.66491137042824811</v>
      </c>
      <c r="E815" s="2">
        <f t="shared" si="38"/>
        <v>0.44210713052477096</v>
      </c>
    </row>
    <row r="816" spans="1:5">
      <c r="A816" s="3">
        <v>89.9</v>
      </c>
      <c r="B816" s="2">
        <v>11</v>
      </c>
      <c r="C816">
        <f t="shared" si="36"/>
        <v>12.164911370428248</v>
      </c>
      <c r="D816" s="2">
        <f t="shared" si="37"/>
        <v>1.1649113704282481</v>
      </c>
      <c r="E816" s="2">
        <f t="shared" si="38"/>
        <v>1.3570185009530191</v>
      </c>
    </row>
    <row r="817" spans="1:5">
      <c r="A817" s="3">
        <v>89.9</v>
      </c>
      <c r="B817" s="2">
        <v>11.7</v>
      </c>
      <c r="C817">
        <f t="shared" si="36"/>
        <v>12.164911370428248</v>
      </c>
      <c r="D817" s="2">
        <f t="shared" si="37"/>
        <v>0.46491137042824882</v>
      </c>
      <c r="E817" s="2">
        <f t="shared" si="38"/>
        <v>0.21614258235347239</v>
      </c>
    </row>
    <row r="818" spans="1:5">
      <c r="A818" s="3">
        <v>90</v>
      </c>
      <c r="B818" s="2">
        <v>11.1</v>
      </c>
      <c r="C818">
        <f t="shared" si="36"/>
        <v>12.185873310419163</v>
      </c>
      <c r="D818" s="2">
        <f t="shared" si="37"/>
        <v>1.0858733104191636</v>
      </c>
      <c r="E818" s="2">
        <f t="shared" si="38"/>
        <v>1.1791208462806733</v>
      </c>
    </row>
    <row r="819" spans="1:5">
      <c r="A819" s="3">
        <v>90.1</v>
      </c>
      <c r="B819" s="2">
        <v>12.3</v>
      </c>
      <c r="C819">
        <f t="shared" si="36"/>
        <v>12.206835250410075</v>
      </c>
      <c r="D819" s="2">
        <f t="shared" si="37"/>
        <v>-9.3164749589925933E-2</v>
      </c>
      <c r="E819" s="2">
        <f t="shared" si="38"/>
        <v>8.6796705661536036E-3</v>
      </c>
    </row>
    <row r="820" spans="1:5">
      <c r="A820" s="3">
        <v>90.1</v>
      </c>
      <c r="B820" s="2">
        <v>11.6</v>
      </c>
      <c r="C820">
        <f t="shared" si="36"/>
        <v>12.206835250410075</v>
      </c>
      <c r="D820" s="2">
        <f t="shared" si="37"/>
        <v>0.60683525041007513</v>
      </c>
      <c r="E820" s="2">
        <f t="shared" si="38"/>
        <v>0.36824902114025859</v>
      </c>
    </row>
    <row r="821" spans="1:5">
      <c r="A821" s="3">
        <v>90.2</v>
      </c>
      <c r="B821" s="2">
        <v>11.5</v>
      </c>
      <c r="C821">
        <f t="shared" si="36"/>
        <v>12.227797190400993</v>
      </c>
      <c r="D821" s="2">
        <f t="shared" si="37"/>
        <v>0.72779719040099344</v>
      </c>
      <c r="E821" s="2">
        <f t="shared" si="38"/>
        <v>0.52968875035557994</v>
      </c>
    </row>
    <row r="822" spans="1:5">
      <c r="A822" s="3">
        <v>90.2</v>
      </c>
      <c r="B822" s="2">
        <v>11.8</v>
      </c>
      <c r="C822">
        <f t="shared" si="36"/>
        <v>12.227797190400993</v>
      </c>
      <c r="D822" s="2">
        <f t="shared" si="37"/>
        <v>0.42779719040099273</v>
      </c>
      <c r="E822" s="2">
        <f t="shared" si="38"/>
        <v>0.18301043611498322</v>
      </c>
    </row>
    <row r="823" spans="1:5">
      <c r="A823" s="3">
        <v>90.2</v>
      </c>
      <c r="B823" s="2">
        <v>12.4</v>
      </c>
      <c r="C823">
        <f t="shared" si="36"/>
        <v>12.227797190400993</v>
      </c>
      <c r="D823" s="2">
        <f t="shared" si="37"/>
        <v>-0.17220280959900691</v>
      </c>
      <c r="E823" s="2">
        <f t="shared" si="38"/>
        <v>2.9653807633791825E-2</v>
      </c>
    </row>
    <row r="824" spans="1:5">
      <c r="A824" s="3">
        <v>90.3</v>
      </c>
      <c r="B824" s="2">
        <v>12.5</v>
      </c>
      <c r="C824">
        <f t="shared" si="36"/>
        <v>12.248759130391905</v>
      </c>
      <c r="D824" s="2">
        <f t="shared" si="37"/>
        <v>-0.251240869608095</v>
      </c>
      <c r="E824" s="2">
        <f t="shared" si="38"/>
        <v>6.3121974561431787E-2</v>
      </c>
    </row>
    <row r="825" spans="1:5">
      <c r="A825" s="3">
        <v>90.3</v>
      </c>
      <c r="B825" s="2">
        <v>11.2</v>
      </c>
      <c r="C825">
        <f t="shared" si="36"/>
        <v>12.248759130391905</v>
      </c>
      <c r="D825" s="2">
        <f t="shared" si="37"/>
        <v>1.0487591303919057</v>
      </c>
      <c r="E825" s="2">
        <f t="shared" si="38"/>
        <v>1.0998957135803862</v>
      </c>
    </row>
    <row r="826" spans="1:5">
      <c r="A826" s="3">
        <v>90.4</v>
      </c>
      <c r="B826" s="2">
        <v>11.9</v>
      </c>
      <c r="C826">
        <f t="shared" si="36"/>
        <v>12.26972107038282</v>
      </c>
      <c r="D826" s="2">
        <f t="shared" si="37"/>
        <v>0.36972107038281976</v>
      </c>
      <c r="E826" s="2">
        <f t="shared" si="38"/>
        <v>0.13669366988501797</v>
      </c>
    </row>
    <row r="827" spans="1:5">
      <c r="A827" s="3">
        <v>90.4</v>
      </c>
      <c r="B827" s="2">
        <v>12.5</v>
      </c>
      <c r="C827">
        <f t="shared" si="36"/>
        <v>12.26972107038282</v>
      </c>
      <c r="D827" s="2">
        <f t="shared" si="37"/>
        <v>-0.23027892961717988</v>
      </c>
      <c r="E827" s="2">
        <f t="shared" si="38"/>
        <v>5.3028385425634088E-2</v>
      </c>
    </row>
    <row r="828" spans="1:5">
      <c r="A828" s="3">
        <v>90.5</v>
      </c>
      <c r="B828" s="2">
        <v>11.7</v>
      </c>
      <c r="C828">
        <f t="shared" si="36"/>
        <v>12.290683010373735</v>
      </c>
      <c r="D828" s="2">
        <f t="shared" si="37"/>
        <v>0.59068301037373594</v>
      </c>
      <c r="E828" s="2">
        <f t="shared" si="38"/>
        <v>0.34890641874417905</v>
      </c>
    </row>
    <row r="829" spans="1:5">
      <c r="A829" s="3">
        <v>90.6</v>
      </c>
      <c r="B829" s="2">
        <v>12.9</v>
      </c>
      <c r="C829">
        <f t="shared" si="36"/>
        <v>12.31164495036465</v>
      </c>
      <c r="D829" s="2">
        <f t="shared" si="37"/>
        <v>-0.58835504963535001</v>
      </c>
      <c r="E829" s="2">
        <f t="shared" si="38"/>
        <v>0.34616166443141516</v>
      </c>
    </row>
    <row r="830" spans="1:5">
      <c r="A830" s="3">
        <v>90.7</v>
      </c>
      <c r="B830" s="2">
        <v>11.3</v>
      </c>
      <c r="C830">
        <f t="shared" si="36"/>
        <v>12.332606890355565</v>
      </c>
      <c r="D830" s="2">
        <f t="shared" si="37"/>
        <v>1.0326068903555647</v>
      </c>
      <c r="E830" s="2">
        <f t="shared" si="38"/>
        <v>1.0662769900097893</v>
      </c>
    </row>
    <row r="831" spans="1:5">
      <c r="A831" s="3">
        <v>90.9</v>
      </c>
      <c r="B831" s="2">
        <v>12.7</v>
      </c>
      <c r="C831">
        <f t="shared" si="36"/>
        <v>12.374530770337396</v>
      </c>
      <c r="D831" s="2">
        <f t="shared" si="37"/>
        <v>-0.32546922966260361</v>
      </c>
      <c r="E831" s="2">
        <f t="shared" si="38"/>
        <v>0.10593021945716861</v>
      </c>
    </row>
    <row r="832" spans="1:5">
      <c r="A832" s="3">
        <v>90.9</v>
      </c>
      <c r="B832" s="2">
        <v>12.5</v>
      </c>
      <c r="C832">
        <f t="shared" si="36"/>
        <v>12.374530770337396</v>
      </c>
      <c r="D832" s="2">
        <f t="shared" si="37"/>
        <v>-0.12546922966260432</v>
      </c>
      <c r="E832" s="2">
        <f t="shared" si="38"/>
        <v>1.5742527592127346E-2</v>
      </c>
    </row>
    <row r="833" spans="1:5">
      <c r="A833" s="3">
        <v>91</v>
      </c>
      <c r="B833" s="2">
        <v>12.5</v>
      </c>
      <c r="C833">
        <f t="shared" si="36"/>
        <v>12.395492710328307</v>
      </c>
      <c r="D833" s="2">
        <f t="shared" si="37"/>
        <v>-0.10450728967169276</v>
      </c>
      <c r="E833" s="2">
        <f t="shared" si="38"/>
        <v>1.09217735945231E-2</v>
      </c>
    </row>
    <row r="834" spans="1:5">
      <c r="A834" s="3">
        <v>91</v>
      </c>
      <c r="B834" s="2">
        <v>14</v>
      </c>
      <c r="C834">
        <f t="shared" si="36"/>
        <v>12.395492710328307</v>
      </c>
      <c r="D834" s="2">
        <f t="shared" si="37"/>
        <v>-1.6045072896716928</v>
      </c>
      <c r="E834" s="2">
        <f t="shared" si="38"/>
        <v>2.5744436426096016</v>
      </c>
    </row>
    <row r="835" spans="1:5">
      <c r="A835" s="3">
        <v>91</v>
      </c>
      <c r="B835" s="2">
        <v>12.4</v>
      </c>
      <c r="C835">
        <f t="shared" ref="C835:C898" si="39">$K$4*A835+$K$5</f>
        <v>12.395492710328307</v>
      </c>
      <c r="D835" s="2">
        <f t="shared" ref="D835:D898" si="40">C835-B835</f>
        <v>-4.5072896716931155E-3</v>
      </c>
      <c r="E835" s="2">
        <f t="shared" ref="E835:E898" si="41">D835^2</f>
        <v>2.0315660184551433E-5</v>
      </c>
    </row>
    <row r="836" spans="1:5">
      <c r="A836" s="3">
        <v>91.1</v>
      </c>
      <c r="B836" s="2">
        <v>11.8</v>
      </c>
      <c r="C836">
        <f t="shared" si="39"/>
        <v>12.416454650319222</v>
      </c>
      <c r="D836" s="2">
        <f t="shared" si="40"/>
        <v>0.61645465031922164</v>
      </c>
      <c r="E836" s="2">
        <f t="shared" si="41"/>
        <v>0.38001633590019385</v>
      </c>
    </row>
    <row r="837" spans="1:5">
      <c r="A837" s="3">
        <v>91.2</v>
      </c>
      <c r="B837" s="2">
        <v>13.3</v>
      </c>
      <c r="C837">
        <f t="shared" si="39"/>
        <v>12.437416590310137</v>
      </c>
      <c r="D837" s="2">
        <f t="shared" si="40"/>
        <v>-0.86258340968986325</v>
      </c>
      <c r="E837" s="2">
        <f t="shared" si="41"/>
        <v>0.7440501386721905</v>
      </c>
    </row>
    <row r="838" spans="1:5">
      <c r="A838" s="3">
        <v>91.2</v>
      </c>
      <c r="B838" s="2">
        <v>11.6</v>
      </c>
      <c r="C838">
        <f t="shared" si="39"/>
        <v>12.437416590310137</v>
      </c>
      <c r="D838" s="2">
        <f t="shared" si="40"/>
        <v>0.83741659031013782</v>
      </c>
      <c r="E838" s="2">
        <f t="shared" si="41"/>
        <v>0.70126654572665725</v>
      </c>
    </row>
    <row r="839" spans="1:5">
      <c r="A839" s="3">
        <v>91.2</v>
      </c>
      <c r="B839" s="2">
        <v>12.2</v>
      </c>
      <c r="C839">
        <f t="shared" si="39"/>
        <v>12.437416590310137</v>
      </c>
      <c r="D839" s="2">
        <f t="shared" si="40"/>
        <v>0.23741659031013818</v>
      </c>
      <c r="E839" s="2">
        <f t="shared" si="41"/>
        <v>5.6366637354491995E-2</v>
      </c>
    </row>
    <row r="840" spans="1:5">
      <c r="A840" s="3">
        <v>91.2</v>
      </c>
      <c r="B840" s="2">
        <v>11.3</v>
      </c>
      <c r="C840">
        <f t="shared" si="39"/>
        <v>12.437416590310137</v>
      </c>
      <c r="D840" s="2">
        <f t="shared" si="40"/>
        <v>1.1374165903101368</v>
      </c>
      <c r="E840" s="2">
        <f t="shared" si="41"/>
        <v>1.2937164999127375</v>
      </c>
    </row>
    <row r="841" spans="1:5">
      <c r="A841" s="3">
        <v>91.2</v>
      </c>
      <c r="B841" s="2">
        <v>10.8</v>
      </c>
      <c r="C841">
        <f t="shared" si="39"/>
        <v>12.437416590310137</v>
      </c>
      <c r="D841" s="2">
        <f t="shared" si="40"/>
        <v>1.6374165903101368</v>
      </c>
      <c r="E841" s="2">
        <f t="shared" si="41"/>
        <v>2.681133090222874</v>
      </c>
    </row>
    <row r="842" spans="1:5">
      <c r="A842" s="3">
        <v>91.2</v>
      </c>
      <c r="B842" s="2">
        <v>12.6</v>
      </c>
      <c r="C842">
        <f t="shared" si="39"/>
        <v>12.437416590310137</v>
      </c>
      <c r="D842" s="2">
        <f t="shared" si="40"/>
        <v>-0.16258340968986218</v>
      </c>
      <c r="E842" s="2">
        <f t="shared" si="41"/>
        <v>2.6433365106381571E-2</v>
      </c>
    </row>
    <row r="843" spans="1:5">
      <c r="A843" s="3">
        <v>91.3</v>
      </c>
      <c r="B843" s="2">
        <v>11.9</v>
      </c>
      <c r="C843">
        <f t="shared" si="39"/>
        <v>12.458378530301053</v>
      </c>
      <c r="D843" s="2">
        <f t="shared" si="40"/>
        <v>0.55837853030105222</v>
      </c>
      <c r="E843" s="2">
        <f t="shared" si="41"/>
        <v>0.31178658310116308</v>
      </c>
    </row>
    <row r="844" spans="1:5">
      <c r="A844" s="3">
        <v>91.4</v>
      </c>
      <c r="B844" s="2">
        <v>12.9</v>
      </c>
      <c r="C844">
        <f t="shared" si="39"/>
        <v>12.479340470291968</v>
      </c>
      <c r="D844" s="2">
        <f t="shared" si="40"/>
        <v>-0.42065952970803266</v>
      </c>
      <c r="E844" s="2">
        <f t="shared" si="41"/>
        <v>0.17695443993418322</v>
      </c>
    </row>
    <row r="845" spans="1:5">
      <c r="A845" s="3">
        <v>91.5</v>
      </c>
      <c r="B845" s="2">
        <v>13</v>
      </c>
      <c r="C845">
        <f t="shared" si="39"/>
        <v>12.500302410282883</v>
      </c>
      <c r="D845" s="2">
        <f t="shared" si="40"/>
        <v>-0.4996975897171172</v>
      </c>
      <c r="E845" s="2">
        <f t="shared" si="41"/>
        <v>0.24969768116909638</v>
      </c>
    </row>
    <row r="846" spans="1:5">
      <c r="A846" s="3">
        <v>91.5</v>
      </c>
      <c r="B846" s="2">
        <v>12.7</v>
      </c>
      <c r="C846">
        <f t="shared" si="39"/>
        <v>12.500302410282883</v>
      </c>
      <c r="D846" s="2">
        <f t="shared" si="40"/>
        <v>-0.19969758971711649</v>
      </c>
      <c r="E846" s="2">
        <f t="shared" si="41"/>
        <v>3.9879127338825787E-2</v>
      </c>
    </row>
    <row r="847" spans="1:5">
      <c r="A847" s="3">
        <v>91.6</v>
      </c>
      <c r="B847" s="2">
        <v>12.3</v>
      </c>
      <c r="C847">
        <f t="shared" si="39"/>
        <v>12.521264350273794</v>
      </c>
      <c r="D847" s="2">
        <f t="shared" si="40"/>
        <v>0.22126435027379365</v>
      </c>
      <c r="E847" s="2">
        <f t="shared" si="41"/>
        <v>4.895791270208405E-2</v>
      </c>
    </row>
    <row r="848" spans="1:5">
      <c r="A848" s="3">
        <v>91.6</v>
      </c>
      <c r="B848" s="2">
        <v>11.9</v>
      </c>
      <c r="C848">
        <f t="shared" si="39"/>
        <v>12.521264350273794</v>
      </c>
      <c r="D848" s="2">
        <f t="shared" si="40"/>
        <v>0.62126435027379401</v>
      </c>
      <c r="E848" s="2">
        <f t="shared" si="41"/>
        <v>0.38596939292111943</v>
      </c>
    </row>
    <row r="849" spans="1:5">
      <c r="A849" s="3">
        <v>91.6</v>
      </c>
      <c r="B849" s="2">
        <v>10.5</v>
      </c>
      <c r="C849">
        <f t="shared" si="39"/>
        <v>12.521264350273794</v>
      </c>
      <c r="D849" s="2">
        <f t="shared" si="40"/>
        <v>2.0212643502737944</v>
      </c>
      <c r="E849" s="2">
        <f t="shared" si="41"/>
        <v>4.0855095736877445</v>
      </c>
    </row>
    <row r="850" spans="1:5">
      <c r="A850" s="3">
        <v>91.6</v>
      </c>
      <c r="B850" s="2">
        <v>13.3</v>
      </c>
      <c r="C850">
        <f t="shared" si="39"/>
        <v>12.521264350273794</v>
      </c>
      <c r="D850" s="2">
        <f t="shared" si="40"/>
        <v>-0.77873564972620635</v>
      </c>
      <c r="E850" s="2">
        <f t="shared" si="41"/>
        <v>0.60642921215449674</v>
      </c>
    </row>
    <row r="851" spans="1:5">
      <c r="A851" s="3">
        <v>91.7</v>
      </c>
      <c r="B851" s="2">
        <v>13.7</v>
      </c>
      <c r="C851">
        <f t="shared" si="39"/>
        <v>12.542226290264713</v>
      </c>
      <c r="D851" s="2">
        <f t="shared" si="40"/>
        <v>-1.1577737097352863</v>
      </c>
      <c r="E851" s="2">
        <f t="shared" si="41"/>
        <v>1.340439962954207</v>
      </c>
    </row>
    <row r="852" spans="1:5">
      <c r="A852" s="3">
        <v>91.7</v>
      </c>
      <c r="B852" s="2">
        <v>13.3</v>
      </c>
      <c r="C852">
        <f t="shared" si="39"/>
        <v>12.542226290264713</v>
      </c>
      <c r="D852" s="2">
        <f t="shared" si="40"/>
        <v>-0.75777370973528768</v>
      </c>
      <c r="E852" s="2">
        <f t="shared" si="41"/>
        <v>0.57422099516598002</v>
      </c>
    </row>
    <row r="853" spans="1:5">
      <c r="A853" s="3">
        <v>91.7</v>
      </c>
      <c r="B853" s="2">
        <v>14.1</v>
      </c>
      <c r="C853">
        <f t="shared" si="39"/>
        <v>12.542226290264713</v>
      </c>
      <c r="D853" s="2">
        <f t="shared" si="40"/>
        <v>-1.5577737097352866</v>
      </c>
      <c r="E853" s="2">
        <f t="shared" si="41"/>
        <v>2.4266589307424371</v>
      </c>
    </row>
    <row r="854" spans="1:5">
      <c r="A854" s="3">
        <v>91.8</v>
      </c>
      <c r="B854" s="2">
        <v>12.2</v>
      </c>
      <c r="C854">
        <f t="shared" si="39"/>
        <v>12.563188230255625</v>
      </c>
      <c r="D854" s="2">
        <f t="shared" si="40"/>
        <v>0.3631882302556253</v>
      </c>
      <c r="E854" s="2">
        <f t="shared" si="41"/>
        <v>0.1319056905962131</v>
      </c>
    </row>
    <row r="855" spans="1:5">
      <c r="A855" s="3">
        <v>91.8</v>
      </c>
      <c r="B855" s="2">
        <v>12.4</v>
      </c>
      <c r="C855">
        <f t="shared" si="39"/>
        <v>12.563188230255625</v>
      </c>
      <c r="D855" s="2">
        <f t="shared" si="40"/>
        <v>0.16318823025562423</v>
      </c>
      <c r="E855" s="2">
        <f t="shared" si="41"/>
        <v>2.6630398493962634E-2</v>
      </c>
    </row>
    <row r="856" spans="1:5">
      <c r="A856" s="3">
        <v>91.9</v>
      </c>
      <c r="B856" s="2">
        <v>13.4</v>
      </c>
      <c r="C856">
        <f t="shared" si="39"/>
        <v>12.58415017024654</v>
      </c>
      <c r="D856" s="2">
        <f t="shared" si="40"/>
        <v>-0.81584982975346065</v>
      </c>
      <c r="E856" s="2">
        <f t="shared" si="41"/>
        <v>0.66561094470875071</v>
      </c>
    </row>
    <row r="857" spans="1:5">
      <c r="A857" s="3">
        <v>91.9</v>
      </c>
      <c r="B857" s="2">
        <v>13.3</v>
      </c>
      <c r="C857">
        <f t="shared" si="39"/>
        <v>12.58415017024654</v>
      </c>
      <c r="D857" s="2">
        <f t="shared" si="40"/>
        <v>-0.71584982975346101</v>
      </c>
      <c r="E857" s="2">
        <f t="shared" si="41"/>
        <v>0.51244097875805916</v>
      </c>
    </row>
    <row r="858" spans="1:5">
      <c r="A858" s="3">
        <v>91.9</v>
      </c>
      <c r="B858" s="2">
        <v>12.8</v>
      </c>
      <c r="C858">
        <f t="shared" si="39"/>
        <v>12.58415017024654</v>
      </c>
      <c r="D858" s="2">
        <f t="shared" si="40"/>
        <v>-0.21584982975346101</v>
      </c>
      <c r="E858" s="2">
        <f t="shared" si="41"/>
        <v>4.6591149004598098E-2</v>
      </c>
    </row>
    <row r="859" spans="1:5">
      <c r="A859" s="3">
        <v>91.9</v>
      </c>
      <c r="B859" s="2">
        <v>15.1</v>
      </c>
      <c r="C859">
        <f t="shared" si="39"/>
        <v>12.58415017024654</v>
      </c>
      <c r="D859" s="2">
        <f t="shared" si="40"/>
        <v>-2.5158498297534599</v>
      </c>
      <c r="E859" s="2">
        <f t="shared" si="41"/>
        <v>6.3295003658705138</v>
      </c>
    </row>
    <row r="860" spans="1:5">
      <c r="A860" s="3">
        <v>92</v>
      </c>
      <c r="B860" s="2">
        <v>11.6</v>
      </c>
      <c r="C860">
        <f t="shared" si="39"/>
        <v>12.605112110237455</v>
      </c>
      <c r="D860" s="2">
        <f t="shared" si="40"/>
        <v>1.0051121102374552</v>
      </c>
      <c r="E860" s="2">
        <f t="shared" si="41"/>
        <v>1.0102503541459902</v>
      </c>
    </row>
    <row r="861" spans="1:5">
      <c r="A861" s="3">
        <v>92</v>
      </c>
      <c r="B861" s="2">
        <v>11.1</v>
      </c>
      <c r="C861">
        <f t="shared" si="39"/>
        <v>12.605112110237455</v>
      </c>
      <c r="D861" s="2">
        <f t="shared" si="40"/>
        <v>1.5051121102374552</v>
      </c>
      <c r="E861" s="2">
        <f t="shared" si="41"/>
        <v>2.2653624643834456</v>
      </c>
    </row>
    <row r="862" spans="1:5">
      <c r="A862" s="3">
        <v>92.1</v>
      </c>
      <c r="B862" s="2">
        <v>12.1</v>
      </c>
      <c r="C862">
        <f t="shared" si="39"/>
        <v>12.626074050228366</v>
      </c>
      <c r="D862" s="2">
        <f t="shared" si="40"/>
        <v>0.52607405022836673</v>
      </c>
      <c r="E862" s="2">
        <f t="shared" si="41"/>
        <v>0.27675390632367813</v>
      </c>
    </row>
    <row r="863" spans="1:5">
      <c r="A863" s="3">
        <v>92.1</v>
      </c>
      <c r="B863" s="2">
        <v>12.1</v>
      </c>
      <c r="C863">
        <f t="shared" si="39"/>
        <v>12.626074050228366</v>
      </c>
      <c r="D863" s="2">
        <f t="shared" si="40"/>
        <v>0.52607405022836673</v>
      </c>
      <c r="E863" s="2">
        <f t="shared" si="41"/>
        <v>0.27675390632367813</v>
      </c>
    </row>
    <row r="864" spans="1:5">
      <c r="A864" s="3">
        <v>92.1</v>
      </c>
      <c r="B864" s="2">
        <v>12.1</v>
      </c>
      <c r="C864">
        <f t="shared" si="39"/>
        <v>12.626074050228366</v>
      </c>
      <c r="D864" s="2">
        <f t="shared" si="40"/>
        <v>0.52607405022836673</v>
      </c>
      <c r="E864" s="2">
        <f t="shared" si="41"/>
        <v>0.27675390632367813</v>
      </c>
    </row>
    <row r="865" spans="1:5">
      <c r="A865" s="3">
        <v>92.1</v>
      </c>
      <c r="B865" s="2">
        <v>13.2</v>
      </c>
      <c r="C865">
        <f t="shared" si="39"/>
        <v>12.626074050228366</v>
      </c>
      <c r="D865" s="2">
        <f t="shared" si="40"/>
        <v>-0.57392594977163292</v>
      </c>
      <c r="E865" s="2">
        <f t="shared" si="41"/>
        <v>0.3293909958212709</v>
      </c>
    </row>
    <row r="866" spans="1:5">
      <c r="A866" s="3">
        <v>92.2</v>
      </c>
      <c r="B866" s="2">
        <v>12.5</v>
      </c>
      <c r="C866">
        <f t="shared" si="39"/>
        <v>12.647035990219285</v>
      </c>
      <c r="D866" s="2">
        <f t="shared" si="40"/>
        <v>0.14703599021928504</v>
      </c>
      <c r="E866" s="2">
        <f t="shared" si="41"/>
        <v>2.1619582419765686E-2</v>
      </c>
    </row>
    <row r="867" spans="1:5">
      <c r="A867" s="3">
        <v>92.2</v>
      </c>
      <c r="B867" s="2">
        <v>12</v>
      </c>
      <c r="C867">
        <f t="shared" si="39"/>
        <v>12.647035990219285</v>
      </c>
      <c r="D867" s="2">
        <f t="shared" si="40"/>
        <v>0.64703599021928504</v>
      </c>
      <c r="E867" s="2">
        <f t="shared" si="41"/>
        <v>0.41865557263905073</v>
      </c>
    </row>
    <row r="868" spans="1:5">
      <c r="A868" s="3">
        <v>92.2</v>
      </c>
      <c r="B868" s="2">
        <v>13</v>
      </c>
      <c r="C868">
        <f t="shared" si="39"/>
        <v>12.647035990219285</v>
      </c>
      <c r="D868" s="2">
        <f t="shared" si="40"/>
        <v>-0.35296400978071496</v>
      </c>
      <c r="E868" s="2">
        <f t="shared" si="41"/>
        <v>0.12458359220048065</v>
      </c>
    </row>
    <row r="869" spans="1:5">
      <c r="A869" s="3">
        <v>92.3</v>
      </c>
      <c r="B869" s="2">
        <v>14</v>
      </c>
      <c r="C869">
        <f t="shared" si="39"/>
        <v>12.667997930210197</v>
      </c>
      <c r="D869" s="2">
        <f t="shared" si="40"/>
        <v>-1.3320020697898034</v>
      </c>
      <c r="E869" s="2">
        <f t="shared" si="41"/>
        <v>1.7742295139243203</v>
      </c>
    </row>
    <row r="870" spans="1:5">
      <c r="A870" s="3">
        <v>92.3</v>
      </c>
      <c r="B870" s="2">
        <v>11.2</v>
      </c>
      <c r="C870">
        <f t="shared" si="39"/>
        <v>12.667997930210197</v>
      </c>
      <c r="D870" s="2">
        <f t="shared" si="40"/>
        <v>1.4679979302101973</v>
      </c>
      <c r="E870" s="2">
        <f t="shared" si="41"/>
        <v>2.1550179231014233</v>
      </c>
    </row>
    <row r="871" spans="1:5">
      <c r="A871" s="3">
        <v>92.3</v>
      </c>
      <c r="B871" s="2">
        <v>13.2</v>
      </c>
      <c r="C871">
        <f t="shared" si="39"/>
        <v>12.667997930210197</v>
      </c>
      <c r="D871" s="2">
        <f t="shared" si="40"/>
        <v>-0.53200206978980269</v>
      </c>
      <c r="E871" s="2">
        <f t="shared" si="41"/>
        <v>0.28302620226063407</v>
      </c>
    </row>
    <row r="872" spans="1:5">
      <c r="A872" s="3">
        <v>92.3</v>
      </c>
      <c r="B872" s="2">
        <v>10.8</v>
      </c>
      <c r="C872">
        <f t="shared" si="39"/>
        <v>12.667997930210197</v>
      </c>
      <c r="D872" s="2">
        <f t="shared" si="40"/>
        <v>1.8679979302101959</v>
      </c>
      <c r="E872" s="2">
        <f t="shared" si="41"/>
        <v>3.4894162672695757</v>
      </c>
    </row>
    <row r="873" spans="1:5">
      <c r="A873" s="3">
        <v>92.4</v>
      </c>
      <c r="B873" s="2">
        <v>14.1</v>
      </c>
      <c r="C873">
        <f t="shared" si="39"/>
        <v>12.688959870201115</v>
      </c>
      <c r="D873" s="2">
        <f t="shared" si="40"/>
        <v>-1.4110401297988844</v>
      </c>
      <c r="E873" s="2">
        <f t="shared" si="41"/>
        <v>1.9910342479028524</v>
      </c>
    </row>
    <row r="874" spans="1:5">
      <c r="A874" s="3">
        <v>92.4</v>
      </c>
      <c r="B874" s="2">
        <v>12.6</v>
      </c>
      <c r="C874">
        <f t="shared" si="39"/>
        <v>12.688959870201115</v>
      </c>
      <c r="D874" s="2">
        <f t="shared" si="40"/>
        <v>8.8959870201115621E-2</v>
      </c>
      <c r="E874" s="2">
        <f t="shared" si="41"/>
        <v>7.9138585061993387E-3</v>
      </c>
    </row>
    <row r="875" spans="1:5">
      <c r="A875" s="3">
        <v>92.4</v>
      </c>
      <c r="B875" s="2">
        <v>13.4</v>
      </c>
      <c r="C875">
        <f t="shared" si="39"/>
        <v>12.688959870201115</v>
      </c>
      <c r="D875" s="2">
        <f t="shared" si="40"/>
        <v>-0.71104012979888509</v>
      </c>
      <c r="E875" s="2">
        <f t="shared" si="41"/>
        <v>0.50557806618441536</v>
      </c>
    </row>
    <row r="876" spans="1:5">
      <c r="A876" s="3">
        <v>92.4</v>
      </c>
      <c r="B876" s="2">
        <v>12.6</v>
      </c>
      <c r="C876">
        <f t="shared" si="39"/>
        <v>12.688959870201115</v>
      </c>
      <c r="D876" s="2">
        <f t="shared" si="40"/>
        <v>8.8959870201115621E-2</v>
      </c>
      <c r="E876" s="2">
        <f t="shared" si="41"/>
        <v>7.9138585061993387E-3</v>
      </c>
    </row>
    <row r="877" spans="1:5">
      <c r="A877" s="3">
        <v>92.4</v>
      </c>
      <c r="B877" s="2">
        <v>13.2</v>
      </c>
      <c r="C877">
        <f t="shared" si="39"/>
        <v>12.688959870201115</v>
      </c>
      <c r="D877" s="2">
        <f t="shared" si="40"/>
        <v>-0.51104012979888402</v>
      </c>
      <c r="E877" s="2">
        <f t="shared" si="41"/>
        <v>0.26116201426486024</v>
      </c>
    </row>
    <row r="878" spans="1:5">
      <c r="A878" s="3">
        <v>92.5</v>
      </c>
      <c r="B878" s="2">
        <v>13</v>
      </c>
      <c r="C878">
        <f t="shared" si="39"/>
        <v>12.709921810192027</v>
      </c>
      <c r="D878" s="2">
        <f t="shared" si="40"/>
        <v>-0.29007818980797317</v>
      </c>
      <c r="E878" s="2">
        <f t="shared" si="41"/>
        <v>8.414535620227051E-2</v>
      </c>
    </row>
    <row r="879" spans="1:5">
      <c r="A879" s="3">
        <v>92.5</v>
      </c>
      <c r="B879" s="2">
        <v>11.1</v>
      </c>
      <c r="C879">
        <f t="shared" si="39"/>
        <v>12.709921810192027</v>
      </c>
      <c r="D879" s="2">
        <f t="shared" si="40"/>
        <v>1.6099218101920272</v>
      </c>
      <c r="E879" s="2">
        <f t="shared" si="41"/>
        <v>2.5918482349319736</v>
      </c>
    </row>
    <row r="880" spans="1:5">
      <c r="A880" s="3">
        <v>92.5</v>
      </c>
      <c r="B880" s="2">
        <v>11.9</v>
      </c>
      <c r="C880">
        <f t="shared" si="39"/>
        <v>12.709921810192027</v>
      </c>
      <c r="D880" s="2">
        <f t="shared" si="40"/>
        <v>0.80992181019202647</v>
      </c>
      <c r="E880" s="2">
        <f t="shared" si="41"/>
        <v>0.65597333862472895</v>
      </c>
    </row>
    <row r="881" spans="1:5">
      <c r="A881" s="3">
        <v>92.5</v>
      </c>
      <c r="B881" s="2">
        <v>12.7</v>
      </c>
      <c r="C881">
        <f t="shared" si="39"/>
        <v>12.709921810192027</v>
      </c>
      <c r="D881" s="2">
        <f t="shared" si="40"/>
        <v>9.9218101920275359E-3</v>
      </c>
      <c r="E881" s="2">
        <f t="shared" si="41"/>
        <v>9.8442317486621483E-5</v>
      </c>
    </row>
    <row r="882" spans="1:5">
      <c r="A882" s="3">
        <v>92.6</v>
      </c>
      <c r="B882" s="2">
        <v>14.2</v>
      </c>
      <c r="C882">
        <f t="shared" si="39"/>
        <v>12.730883750182942</v>
      </c>
      <c r="D882" s="2">
        <f t="shared" si="40"/>
        <v>-1.4691162498170574</v>
      </c>
      <c r="E882" s="2">
        <f t="shared" si="41"/>
        <v>2.1583025554765345</v>
      </c>
    </row>
    <row r="883" spans="1:5">
      <c r="A883" s="3">
        <v>92.6</v>
      </c>
      <c r="B883" s="2">
        <v>12.2</v>
      </c>
      <c r="C883">
        <f t="shared" si="39"/>
        <v>12.730883750182942</v>
      </c>
      <c r="D883" s="2">
        <f t="shared" si="40"/>
        <v>0.53088375018294265</v>
      </c>
      <c r="E883" s="2">
        <f t="shared" si="41"/>
        <v>0.28183755620830508</v>
      </c>
    </row>
    <row r="884" spans="1:5">
      <c r="A884" s="3">
        <v>92.6</v>
      </c>
      <c r="B884" s="2">
        <v>13.2</v>
      </c>
      <c r="C884">
        <f t="shared" si="39"/>
        <v>12.730883750182942</v>
      </c>
      <c r="D884" s="2">
        <f t="shared" si="40"/>
        <v>-0.46911624981705735</v>
      </c>
      <c r="E884" s="2">
        <f t="shared" si="41"/>
        <v>0.22007005584241976</v>
      </c>
    </row>
    <row r="885" spans="1:5">
      <c r="A885" s="3">
        <v>92.6</v>
      </c>
      <c r="B885" s="2">
        <v>12.5</v>
      </c>
      <c r="C885">
        <f t="shared" si="39"/>
        <v>12.730883750182942</v>
      </c>
      <c r="D885" s="2">
        <f t="shared" si="40"/>
        <v>0.23088375018294194</v>
      </c>
      <c r="E885" s="2">
        <f t="shared" si="41"/>
        <v>5.3307306098539141E-2</v>
      </c>
    </row>
    <row r="886" spans="1:5">
      <c r="A886" s="3">
        <v>92.6</v>
      </c>
      <c r="B886" s="2">
        <v>13.4</v>
      </c>
      <c r="C886">
        <f t="shared" si="39"/>
        <v>12.730883750182942</v>
      </c>
      <c r="D886" s="2">
        <f t="shared" si="40"/>
        <v>-0.66911624981705842</v>
      </c>
      <c r="E886" s="2">
        <f t="shared" si="41"/>
        <v>0.44771655576924413</v>
      </c>
    </row>
    <row r="887" spans="1:5">
      <c r="A887" s="3">
        <v>92.7</v>
      </c>
      <c r="B887" s="2">
        <v>13</v>
      </c>
      <c r="C887">
        <f t="shared" si="39"/>
        <v>12.751845690173857</v>
      </c>
      <c r="D887" s="2">
        <f t="shared" si="40"/>
        <v>-0.24815430982614295</v>
      </c>
      <c r="E887" s="2">
        <f t="shared" si="41"/>
        <v>6.1580561485289349E-2</v>
      </c>
    </row>
    <row r="888" spans="1:5">
      <c r="A888" s="3">
        <v>92.7</v>
      </c>
      <c r="B888" s="2">
        <v>10.7</v>
      </c>
      <c r="C888">
        <f t="shared" si="39"/>
        <v>12.751845690173857</v>
      </c>
      <c r="D888" s="2">
        <f t="shared" si="40"/>
        <v>2.0518456901738578</v>
      </c>
      <c r="E888" s="2">
        <f t="shared" si="41"/>
        <v>4.2100707362850347</v>
      </c>
    </row>
    <row r="889" spans="1:5">
      <c r="A889" s="3">
        <v>92.7</v>
      </c>
      <c r="B889" s="2">
        <v>12.9</v>
      </c>
      <c r="C889">
        <f t="shared" si="39"/>
        <v>12.751845690173857</v>
      </c>
      <c r="D889" s="2">
        <f t="shared" si="40"/>
        <v>-0.1481543098261433</v>
      </c>
      <c r="E889" s="2">
        <f t="shared" si="41"/>
        <v>2.1949699520060862E-2</v>
      </c>
    </row>
    <row r="890" spans="1:5">
      <c r="A890" s="3">
        <v>92.7</v>
      </c>
      <c r="B890" s="2">
        <v>14</v>
      </c>
      <c r="C890">
        <f t="shared" si="39"/>
        <v>12.751845690173857</v>
      </c>
      <c r="D890" s="2">
        <f t="shared" si="40"/>
        <v>-1.2481543098261429</v>
      </c>
      <c r="E890" s="2">
        <f t="shared" si="41"/>
        <v>1.5578891811375752</v>
      </c>
    </row>
    <row r="891" spans="1:5">
      <c r="A891" s="3">
        <v>92.7</v>
      </c>
      <c r="B891" s="2">
        <v>13.8</v>
      </c>
      <c r="C891">
        <f t="shared" si="39"/>
        <v>12.751845690173857</v>
      </c>
      <c r="D891" s="2">
        <f t="shared" si="40"/>
        <v>-1.0481543098261437</v>
      </c>
      <c r="E891" s="2">
        <f t="shared" si="41"/>
        <v>1.0986274572071195</v>
      </c>
    </row>
    <row r="892" spans="1:5">
      <c r="A892" s="3">
        <v>92.9</v>
      </c>
      <c r="B892" s="2">
        <v>14.2</v>
      </c>
      <c r="C892">
        <f t="shared" si="39"/>
        <v>12.793769570155687</v>
      </c>
      <c r="D892" s="2">
        <f t="shared" si="40"/>
        <v>-1.406230429844312</v>
      </c>
      <c r="E892" s="2">
        <f t="shared" si="41"/>
        <v>1.9774840218201186</v>
      </c>
    </row>
    <row r="893" spans="1:5">
      <c r="A893" s="3">
        <v>93</v>
      </c>
      <c r="B893" s="2">
        <v>13.7</v>
      </c>
      <c r="C893">
        <f t="shared" si="39"/>
        <v>12.814731510146602</v>
      </c>
      <c r="D893" s="2">
        <f t="shared" si="40"/>
        <v>-0.8852684898533969</v>
      </c>
      <c r="E893" s="2">
        <f t="shared" si="41"/>
        <v>0.78370029912731387</v>
      </c>
    </row>
    <row r="894" spans="1:5">
      <c r="A894" s="3">
        <v>93</v>
      </c>
      <c r="B894" s="2">
        <v>13.3</v>
      </c>
      <c r="C894">
        <f t="shared" si="39"/>
        <v>12.814731510146602</v>
      </c>
      <c r="D894" s="2">
        <f t="shared" si="40"/>
        <v>-0.48526848985339832</v>
      </c>
      <c r="E894" s="2">
        <f t="shared" si="41"/>
        <v>0.23548550724459774</v>
      </c>
    </row>
    <row r="895" spans="1:5">
      <c r="A895" s="3">
        <v>93</v>
      </c>
      <c r="B895" s="2">
        <v>12.5</v>
      </c>
      <c r="C895">
        <f t="shared" si="39"/>
        <v>12.814731510146602</v>
      </c>
      <c r="D895" s="2">
        <f t="shared" si="40"/>
        <v>0.31473151014660239</v>
      </c>
      <c r="E895" s="2">
        <f t="shared" si="41"/>
        <v>9.9055923479160882E-2</v>
      </c>
    </row>
    <row r="896" spans="1:5">
      <c r="A896" s="3">
        <v>93.1</v>
      </c>
      <c r="B896" s="2">
        <v>13.1</v>
      </c>
      <c r="C896">
        <f t="shared" si="39"/>
        <v>12.835693450137514</v>
      </c>
      <c r="D896" s="2">
        <f t="shared" si="40"/>
        <v>-0.2643065498624857</v>
      </c>
      <c r="E896" s="2">
        <f t="shared" si="41"/>
        <v>6.9857952300210635E-2</v>
      </c>
    </row>
    <row r="897" spans="1:5">
      <c r="A897" s="3">
        <v>93.1</v>
      </c>
      <c r="B897" s="2">
        <v>13.9</v>
      </c>
      <c r="C897">
        <f t="shared" si="39"/>
        <v>12.835693450137514</v>
      </c>
      <c r="D897" s="2">
        <f t="shared" si="40"/>
        <v>-1.0643065498624864</v>
      </c>
      <c r="E897" s="2">
        <f t="shared" si="41"/>
        <v>1.1327484320801893</v>
      </c>
    </row>
    <row r="898" spans="1:5">
      <c r="A898" s="3">
        <v>93.1</v>
      </c>
      <c r="B898" s="2">
        <v>12.3</v>
      </c>
      <c r="C898">
        <f t="shared" si="39"/>
        <v>12.835693450137514</v>
      </c>
      <c r="D898" s="2">
        <f t="shared" si="40"/>
        <v>0.53569345013751324</v>
      </c>
      <c r="E898" s="2">
        <f t="shared" si="41"/>
        <v>0.28696747252023236</v>
      </c>
    </row>
    <row r="899" spans="1:5">
      <c r="A899" s="3">
        <v>93.2</v>
      </c>
      <c r="B899" s="2">
        <v>12.6</v>
      </c>
      <c r="C899">
        <f t="shared" ref="C899:C962" si="42">$K$4*A899+$K$5</f>
        <v>12.856655390128429</v>
      </c>
      <c r="D899" s="2">
        <f t="shared" ref="D899:D962" si="43">C899-B899</f>
        <v>0.25665539012842942</v>
      </c>
      <c r="E899" s="2">
        <f t="shared" ref="E899:E962" si="44">D899^2</f>
        <v>6.5871989281976309E-2</v>
      </c>
    </row>
    <row r="900" spans="1:5">
      <c r="A900" s="3">
        <v>93.3</v>
      </c>
      <c r="B900" s="2">
        <v>12.4</v>
      </c>
      <c r="C900">
        <f t="shared" si="42"/>
        <v>12.877617330119344</v>
      </c>
      <c r="D900" s="2">
        <f t="shared" si="43"/>
        <v>0.47761733011934382</v>
      </c>
      <c r="E900" s="2">
        <f t="shared" si="44"/>
        <v>0.22811831403033025</v>
      </c>
    </row>
    <row r="901" spans="1:5">
      <c r="A901" s="3">
        <v>93.3</v>
      </c>
      <c r="B901" s="2">
        <v>12.9</v>
      </c>
      <c r="C901">
        <f t="shared" si="42"/>
        <v>12.877617330119344</v>
      </c>
      <c r="D901" s="2">
        <f t="shared" si="43"/>
        <v>-2.2382669880656181E-2</v>
      </c>
      <c r="E901" s="2">
        <f t="shared" si="44"/>
        <v>5.0098391098643341E-4</v>
      </c>
    </row>
    <row r="902" spans="1:5">
      <c r="A902" s="3">
        <v>93.3</v>
      </c>
      <c r="B902" s="2">
        <v>14</v>
      </c>
      <c r="C902">
        <f t="shared" si="42"/>
        <v>12.877617330119344</v>
      </c>
      <c r="D902" s="2">
        <f t="shared" si="43"/>
        <v>-1.1223826698806558</v>
      </c>
      <c r="E902" s="2">
        <f t="shared" si="44"/>
        <v>1.2597428576484293</v>
      </c>
    </row>
    <row r="903" spans="1:5">
      <c r="A903" s="3">
        <v>93.3</v>
      </c>
      <c r="B903" s="2">
        <v>12.8</v>
      </c>
      <c r="C903">
        <f t="shared" si="42"/>
        <v>12.877617330119344</v>
      </c>
      <c r="D903" s="2">
        <f t="shared" si="43"/>
        <v>7.7617330119343464E-2</v>
      </c>
      <c r="E903" s="2">
        <f t="shared" si="44"/>
        <v>6.0244499348551424E-3</v>
      </c>
    </row>
    <row r="904" spans="1:5">
      <c r="A904" s="3">
        <v>93.3</v>
      </c>
      <c r="B904" s="2">
        <v>13.2</v>
      </c>
      <c r="C904">
        <f t="shared" si="42"/>
        <v>12.877617330119344</v>
      </c>
      <c r="D904" s="2">
        <f t="shared" si="43"/>
        <v>-0.32238266988065511</v>
      </c>
      <c r="E904" s="2">
        <f t="shared" si="44"/>
        <v>0.10393058583937946</v>
      </c>
    </row>
    <row r="905" spans="1:5">
      <c r="A905" s="3">
        <v>93.4</v>
      </c>
      <c r="B905" s="2">
        <v>12.2</v>
      </c>
      <c r="C905">
        <f t="shared" si="42"/>
        <v>12.898579270110259</v>
      </c>
      <c r="D905" s="2">
        <f t="shared" si="43"/>
        <v>0.69857927011026</v>
      </c>
      <c r="E905" s="2">
        <f t="shared" si="44"/>
        <v>0.48801299662778358</v>
      </c>
    </row>
    <row r="906" spans="1:5">
      <c r="A906" s="3">
        <v>93.4</v>
      </c>
      <c r="B906" s="2">
        <v>12.8</v>
      </c>
      <c r="C906">
        <f t="shared" si="42"/>
        <v>12.898579270110259</v>
      </c>
      <c r="D906" s="2">
        <f t="shared" si="43"/>
        <v>9.8579270110258577E-2</v>
      </c>
      <c r="E906" s="2">
        <f t="shared" si="44"/>
        <v>9.7178724954713191E-3</v>
      </c>
    </row>
    <row r="907" spans="1:5">
      <c r="A907" s="3">
        <v>93.4</v>
      </c>
      <c r="B907" s="2">
        <v>13.4</v>
      </c>
      <c r="C907">
        <f t="shared" si="42"/>
        <v>12.898579270110259</v>
      </c>
      <c r="D907" s="2">
        <f t="shared" si="43"/>
        <v>-0.50142072988974107</v>
      </c>
      <c r="E907" s="2">
        <f t="shared" si="44"/>
        <v>0.2514227483631607</v>
      </c>
    </row>
    <row r="908" spans="1:5">
      <c r="A908" s="3">
        <v>93.4</v>
      </c>
      <c r="B908" s="2">
        <v>12.4</v>
      </c>
      <c r="C908">
        <f t="shared" si="42"/>
        <v>12.898579270110259</v>
      </c>
      <c r="D908" s="2">
        <f t="shared" si="43"/>
        <v>0.49857927011025893</v>
      </c>
      <c r="E908" s="2">
        <f t="shared" si="44"/>
        <v>0.24858128858367853</v>
      </c>
    </row>
    <row r="909" spans="1:5">
      <c r="A909" s="3">
        <v>93.5</v>
      </c>
      <c r="B909" s="2">
        <v>13.3</v>
      </c>
      <c r="C909">
        <f t="shared" si="42"/>
        <v>12.919541210101174</v>
      </c>
      <c r="D909" s="2">
        <f t="shared" si="43"/>
        <v>-0.38045878989882631</v>
      </c>
      <c r="E909" s="2">
        <f t="shared" si="44"/>
        <v>0.14474889081127926</v>
      </c>
    </row>
    <row r="910" spans="1:5">
      <c r="A910" s="3">
        <v>93.5</v>
      </c>
      <c r="B910" s="2">
        <v>12.6</v>
      </c>
      <c r="C910">
        <f t="shared" si="42"/>
        <v>12.919541210101174</v>
      </c>
      <c r="D910" s="2">
        <f t="shared" si="43"/>
        <v>0.31954121010117476</v>
      </c>
      <c r="E910" s="2">
        <f t="shared" si="44"/>
        <v>0.1021065849529231</v>
      </c>
    </row>
    <row r="911" spans="1:5">
      <c r="A911" s="3">
        <v>93.6</v>
      </c>
      <c r="B911" s="2">
        <v>10.8</v>
      </c>
      <c r="C911">
        <f t="shared" si="42"/>
        <v>12.940503150092086</v>
      </c>
      <c r="D911" s="2">
        <f t="shared" si="43"/>
        <v>2.1405031500920852</v>
      </c>
      <c r="E911" s="2">
        <f t="shared" si="44"/>
        <v>4.5817537355541402</v>
      </c>
    </row>
    <row r="912" spans="1:5">
      <c r="A912" s="3">
        <v>93.6</v>
      </c>
      <c r="B912" s="2">
        <v>12.1</v>
      </c>
      <c r="C912">
        <f t="shared" si="42"/>
        <v>12.940503150092086</v>
      </c>
      <c r="D912" s="2">
        <f t="shared" si="43"/>
        <v>0.84050315009208632</v>
      </c>
      <c r="E912" s="2">
        <f t="shared" si="44"/>
        <v>0.70644554531472015</v>
      </c>
    </row>
    <row r="913" spans="1:5">
      <c r="A913" s="3">
        <v>93.6</v>
      </c>
      <c r="B913" s="2">
        <v>12.3</v>
      </c>
      <c r="C913">
        <f t="shared" si="42"/>
        <v>12.940503150092086</v>
      </c>
      <c r="D913" s="2">
        <f t="shared" si="43"/>
        <v>0.64050315009208525</v>
      </c>
      <c r="E913" s="2">
        <f t="shared" si="44"/>
        <v>0.41024428527788426</v>
      </c>
    </row>
    <row r="914" spans="1:5">
      <c r="A914" s="3">
        <v>93.7</v>
      </c>
      <c r="B914" s="2">
        <v>12.5</v>
      </c>
      <c r="C914">
        <f t="shared" si="42"/>
        <v>12.961465090083005</v>
      </c>
      <c r="D914" s="2">
        <f t="shared" si="43"/>
        <v>0.46146509008300463</v>
      </c>
      <c r="E914" s="2">
        <f t="shared" si="44"/>
        <v>0.21295002936531557</v>
      </c>
    </row>
    <row r="915" spans="1:5">
      <c r="A915" s="3">
        <v>93.8</v>
      </c>
      <c r="B915" s="2">
        <v>13.9</v>
      </c>
      <c r="C915">
        <f t="shared" si="42"/>
        <v>12.982427030073916</v>
      </c>
      <c r="D915" s="2">
        <f t="shared" si="43"/>
        <v>-0.91757296992608417</v>
      </c>
      <c r="E915" s="2">
        <f t="shared" si="44"/>
        <v>0.84194015513897458</v>
      </c>
    </row>
    <row r="916" spans="1:5">
      <c r="A916" s="3">
        <v>93.8</v>
      </c>
      <c r="B916" s="2">
        <v>12.3</v>
      </c>
      <c r="C916">
        <f t="shared" si="42"/>
        <v>12.982427030073916</v>
      </c>
      <c r="D916" s="2">
        <f t="shared" si="43"/>
        <v>0.68242703007391547</v>
      </c>
      <c r="E916" s="2">
        <f t="shared" si="44"/>
        <v>0.46570665137550471</v>
      </c>
    </row>
    <row r="917" spans="1:5">
      <c r="A917" s="3">
        <v>93.8</v>
      </c>
      <c r="B917" s="2">
        <v>11.2</v>
      </c>
      <c r="C917">
        <f t="shared" si="42"/>
        <v>12.982427030073916</v>
      </c>
      <c r="D917" s="2">
        <f t="shared" si="43"/>
        <v>1.7824270300739169</v>
      </c>
      <c r="E917" s="2">
        <f t="shared" si="44"/>
        <v>3.1770461175381239</v>
      </c>
    </row>
    <row r="918" spans="1:5">
      <c r="A918" s="3">
        <v>93.9</v>
      </c>
      <c r="B918" s="2">
        <v>13.5</v>
      </c>
      <c r="C918">
        <f t="shared" si="42"/>
        <v>13.003388970064835</v>
      </c>
      <c r="D918" s="2">
        <f t="shared" si="43"/>
        <v>-0.49661102993516515</v>
      </c>
      <c r="E918" s="2">
        <f t="shared" si="44"/>
        <v>0.24662251505326549</v>
      </c>
    </row>
    <row r="919" spans="1:5">
      <c r="A919" s="3">
        <v>93.9</v>
      </c>
      <c r="B919" s="2">
        <v>13</v>
      </c>
      <c r="C919">
        <f t="shared" si="42"/>
        <v>13.003388970064835</v>
      </c>
      <c r="D919" s="2">
        <f t="shared" si="43"/>
        <v>3.3889700648348509E-3</v>
      </c>
      <c r="E919" s="2">
        <f t="shared" si="44"/>
        <v>1.1485118100346733E-5</v>
      </c>
    </row>
    <row r="920" spans="1:5">
      <c r="A920" s="3">
        <v>94</v>
      </c>
      <c r="B920" s="2">
        <v>14.8</v>
      </c>
      <c r="C920">
        <f t="shared" si="42"/>
        <v>13.024350910055746</v>
      </c>
      <c r="D920" s="2">
        <f t="shared" si="43"/>
        <v>-1.7756490899442543</v>
      </c>
      <c r="E920" s="2">
        <f t="shared" si="44"/>
        <v>3.1529296906198585</v>
      </c>
    </row>
    <row r="921" spans="1:5">
      <c r="A921" s="3">
        <v>94</v>
      </c>
      <c r="B921" s="2">
        <v>14.2</v>
      </c>
      <c r="C921">
        <f t="shared" si="42"/>
        <v>13.024350910055746</v>
      </c>
      <c r="D921" s="2">
        <f t="shared" si="43"/>
        <v>-1.1756490899442529</v>
      </c>
      <c r="E921" s="2">
        <f t="shared" si="44"/>
        <v>1.3821507826867501</v>
      </c>
    </row>
    <row r="922" spans="1:5">
      <c r="A922" s="3">
        <v>94</v>
      </c>
      <c r="B922" s="2">
        <v>14</v>
      </c>
      <c r="C922">
        <f t="shared" si="42"/>
        <v>13.024350910055746</v>
      </c>
      <c r="D922" s="2">
        <f t="shared" si="43"/>
        <v>-0.97564908994425359</v>
      </c>
      <c r="E922" s="2">
        <f t="shared" si="44"/>
        <v>0.95189114670905028</v>
      </c>
    </row>
    <row r="923" spans="1:5">
      <c r="A923" s="3">
        <v>94.1</v>
      </c>
      <c r="B923" s="2">
        <v>12.4</v>
      </c>
      <c r="C923">
        <f t="shared" si="42"/>
        <v>13.045312850046662</v>
      </c>
      <c r="D923" s="2">
        <f t="shared" si="43"/>
        <v>0.64531285004666117</v>
      </c>
      <c r="E923" s="2">
        <f t="shared" si="44"/>
        <v>0.41642867443534459</v>
      </c>
    </row>
    <row r="924" spans="1:5">
      <c r="A924" s="3">
        <v>94.2</v>
      </c>
      <c r="B924" s="2">
        <v>13.9</v>
      </c>
      <c r="C924">
        <f t="shared" si="42"/>
        <v>13.066274790037577</v>
      </c>
      <c r="D924" s="2">
        <f t="shared" si="43"/>
        <v>-0.83372520996242372</v>
      </c>
      <c r="E924" s="2">
        <f t="shared" si="44"/>
        <v>0.69509772572688755</v>
      </c>
    </row>
    <row r="925" spans="1:5">
      <c r="A925" s="3">
        <v>94.3</v>
      </c>
      <c r="B925" s="2">
        <v>13.1</v>
      </c>
      <c r="C925">
        <f t="shared" si="42"/>
        <v>13.087236730028492</v>
      </c>
      <c r="D925" s="2">
        <f t="shared" si="43"/>
        <v>-1.2763269971507896E-2</v>
      </c>
      <c r="E925" s="2">
        <f t="shared" si="44"/>
        <v>1.6290106036559516E-4</v>
      </c>
    </row>
    <row r="926" spans="1:5">
      <c r="A926" s="3">
        <v>94.3</v>
      </c>
      <c r="B926" s="2">
        <v>11.8</v>
      </c>
      <c r="C926">
        <f t="shared" si="42"/>
        <v>13.087236730028492</v>
      </c>
      <c r="D926" s="2">
        <f t="shared" si="43"/>
        <v>1.287236730028491</v>
      </c>
      <c r="E926" s="2">
        <f t="shared" si="44"/>
        <v>1.6569783991344422</v>
      </c>
    </row>
    <row r="927" spans="1:5">
      <c r="A927" s="3">
        <v>94.4</v>
      </c>
      <c r="B927" s="2">
        <v>14</v>
      </c>
      <c r="C927">
        <f t="shared" si="42"/>
        <v>13.108198670019407</v>
      </c>
      <c r="D927" s="2">
        <f t="shared" si="43"/>
        <v>-0.89180132998059314</v>
      </c>
      <c r="E927" s="2">
        <f t="shared" si="44"/>
        <v>0.79530961215515472</v>
      </c>
    </row>
    <row r="928" spans="1:5">
      <c r="A928" s="3">
        <v>94.4</v>
      </c>
      <c r="B928" s="2">
        <v>13</v>
      </c>
      <c r="C928">
        <f t="shared" si="42"/>
        <v>13.108198670019407</v>
      </c>
      <c r="D928" s="2">
        <f t="shared" si="43"/>
        <v>0.10819867001940686</v>
      </c>
      <c r="E928" s="2">
        <f t="shared" si="44"/>
        <v>1.1706952193968494E-2</v>
      </c>
    </row>
    <row r="929" spans="1:5">
      <c r="A929" s="3">
        <v>94.4</v>
      </c>
      <c r="B929" s="2">
        <v>10.4</v>
      </c>
      <c r="C929">
        <f t="shared" si="42"/>
        <v>13.108198670019407</v>
      </c>
      <c r="D929" s="2">
        <f t="shared" si="43"/>
        <v>2.7081986700194065</v>
      </c>
      <c r="E929" s="2">
        <f t="shared" si="44"/>
        <v>7.3343400362948818</v>
      </c>
    </row>
    <row r="930" spans="1:5">
      <c r="A930" s="3">
        <v>94.4</v>
      </c>
      <c r="B930" s="2">
        <v>12.8</v>
      </c>
      <c r="C930">
        <f t="shared" si="42"/>
        <v>13.108198670019407</v>
      </c>
      <c r="D930" s="2">
        <f t="shared" si="43"/>
        <v>0.30819867001940615</v>
      </c>
      <c r="E930" s="2">
        <f t="shared" si="44"/>
        <v>9.4986420201730801E-2</v>
      </c>
    </row>
    <row r="931" spans="1:5">
      <c r="A931" s="3">
        <v>94.5</v>
      </c>
      <c r="B931" s="2">
        <v>14.6</v>
      </c>
      <c r="C931">
        <f t="shared" si="42"/>
        <v>13.129160610010322</v>
      </c>
      <c r="D931" s="2">
        <f t="shared" si="43"/>
        <v>-1.4708393899896777</v>
      </c>
      <c r="E931" s="2">
        <f t="shared" si="44"/>
        <v>2.1633685111452072</v>
      </c>
    </row>
    <row r="932" spans="1:5">
      <c r="A932" s="3">
        <v>94.5</v>
      </c>
      <c r="B932" s="2">
        <v>13.2</v>
      </c>
      <c r="C932">
        <f t="shared" si="42"/>
        <v>13.129160610010322</v>
      </c>
      <c r="D932" s="2">
        <f t="shared" si="43"/>
        <v>-7.0839389989677315E-2</v>
      </c>
      <c r="E932" s="2">
        <f t="shared" si="44"/>
        <v>5.0182191741095948E-3</v>
      </c>
    </row>
    <row r="933" spans="1:5">
      <c r="A933" s="3">
        <v>94.5</v>
      </c>
      <c r="B933" s="2">
        <v>12.1</v>
      </c>
      <c r="C933">
        <f t="shared" si="42"/>
        <v>13.129160610010322</v>
      </c>
      <c r="D933" s="2">
        <f t="shared" si="43"/>
        <v>1.0291606100103223</v>
      </c>
      <c r="E933" s="2">
        <f t="shared" si="44"/>
        <v>1.0591715611968189</v>
      </c>
    </row>
    <row r="934" spans="1:5">
      <c r="A934" s="3">
        <v>94.5</v>
      </c>
      <c r="B934" s="2">
        <v>10.7</v>
      </c>
      <c r="C934">
        <f t="shared" si="42"/>
        <v>13.129160610010322</v>
      </c>
      <c r="D934" s="2">
        <f t="shared" si="43"/>
        <v>2.4291606100103227</v>
      </c>
      <c r="E934" s="2">
        <f t="shared" si="44"/>
        <v>5.9008212692257231</v>
      </c>
    </row>
    <row r="935" spans="1:5">
      <c r="A935" s="3">
        <v>94.6</v>
      </c>
      <c r="B935" s="2">
        <v>12.8</v>
      </c>
      <c r="C935">
        <f t="shared" si="42"/>
        <v>13.150122550001234</v>
      </c>
      <c r="D935" s="2">
        <f t="shared" si="43"/>
        <v>0.35012255000123282</v>
      </c>
      <c r="E935" s="2">
        <f t="shared" si="44"/>
        <v>0.12258580001936578</v>
      </c>
    </row>
    <row r="936" spans="1:5">
      <c r="A936" s="3">
        <v>94.6</v>
      </c>
      <c r="B936" s="2">
        <v>12.6</v>
      </c>
      <c r="C936">
        <f t="shared" si="42"/>
        <v>13.150122550001234</v>
      </c>
      <c r="D936" s="2">
        <f t="shared" si="43"/>
        <v>0.55012255000123389</v>
      </c>
      <c r="E936" s="2">
        <f t="shared" si="44"/>
        <v>0.30263482001986008</v>
      </c>
    </row>
    <row r="937" spans="1:5">
      <c r="A937" s="3">
        <v>94.6</v>
      </c>
      <c r="B937" s="2">
        <v>16</v>
      </c>
      <c r="C937">
        <f t="shared" si="42"/>
        <v>13.150122550001234</v>
      </c>
      <c r="D937" s="2">
        <f t="shared" si="43"/>
        <v>-2.8498774499987665</v>
      </c>
      <c r="E937" s="2">
        <f t="shared" si="44"/>
        <v>8.121801480011472</v>
      </c>
    </row>
    <row r="938" spans="1:5">
      <c r="A938" s="3">
        <v>94.6</v>
      </c>
      <c r="B938" s="2">
        <v>13.5</v>
      </c>
      <c r="C938">
        <f t="shared" si="42"/>
        <v>13.150122550001234</v>
      </c>
      <c r="D938" s="2">
        <f t="shared" si="43"/>
        <v>-0.34987744999876647</v>
      </c>
      <c r="E938" s="2">
        <f t="shared" si="44"/>
        <v>0.12241423001763933</v>
      </c>
    </row>
    <row r="939" spans="1:5">
      <c r="A939" s="3">
        <v>94.7</v>
      </c>
      <c r="B939" s="2">
        <v>13</v>
      </c>
      <c r="C939">
        <f t="shared" si="42"/>
        <v>13.171084489992149</v>
      </c>
      <c r="D939" s="2">
        <f t="shared" si="43"/>
        <v>0.17108448999214865</v>
      </c>
      <c r="E939" s="2">
        <f t="shared" si="44"/>
        <v>2.9269902715873611E-2</v>
      </c>
    </row>
    <row r="940" spans="1:5">
      <c r="A940" s="3">
        <v>94.7</v>
      </c>
      <c r="B940" s="2">
        <v>14.2</v>
      </c>
      <c r="C940">
        <f t="shared" si="42"/>
        <v>13.171084489992149</v>
      </c>
      <c r="D940" s="2">
        <f t="shared" si="43"/>
        <v>-1.0289155100078506</v>
      </c>
      <c r="E940" s="2">
        <f t="shared" si="44"/>
        <v>1.0586671267347154</v>
      </c>
    </row>
    <row r="941" spans="1:5">
      <c r="A941" s="3">
        <v>94.8</v>
      </c>
      <c r="B941" s="2">
        <v>12.1</v>
      </c>
      <c r="C941">
        <f t="shared" si="42"/>
        <v>13.192046429983064</v>
      </c>
      <c r="D941" s="2">
        <f t="shared" si="43"/>
        <v>1.0920464299830641</v>
      </c>
      <c r="E941" s="2">
        <f t="shared" si="44"/>
        <v>1.1925654052387553</v>
      </c>
    </row>
    <row r="942" spans="1:5">
      <c r="A942" s="3">
        <v>94.8</v>
      </c>
      <c r="B942" s="2">
        <v>13.7</v>
      </c>
      <c r="C942">
        <f t="shared" si="42"/>
        <v>13.192046429983064</v>
      </c>
      <c r="D942" s="2">
        <f t="shared" si="43"/>
        <v>-0.50795357001693553</v>
      </c>
      <c r="E942" s="2">
        <f t="shared" si="44"/>
        <v>0.25801682929294983</v>
      </c>
    </row>
    <row r="943" spans="1:5">
      <c r="A943" s="3">
        <v>94.8</v>
      </c>
      <c r="B943" s="2">
        <v>14.3</v>
      </c>
      <c r="C943">
        <f t="shared" si="42"/>
        <v>13.192046429983064</v>
      </c>
      <c r="D943" s="2">
        <f t="shared" si="43"/>
        <v>-1.107953570016937</v>
      </c>
      <c r="E943" s="2">
        <f t="shared" si="44"/>
        <v>1.2275611133132756</v>
      </c>
    </row>
    <row r="944" spans="1:5">
      <c r="A944" s="3">
        <v>94.9</v>
      </c>
      <c r="B944" s="2">
        <v>12.7</v>
      </c>
      <c r="C944">
        <f t="shared" si="42"/>
        <v>13.213008369973979</v>
      </c>
      <c r="D944" s="2">
        <f t="shared" si="43"/>
        <v>0.51300836997397958</v>
      </c>
      <c r="E944" s="2">
        <f t="shared" si="44"/>
        <v>0.26317758766335952</v>
      </c>
    </row>
    <row r="945" spans="1:5">
      <c r="A945" s="3">
        <v>95</v>
      </c>
      <c r="B945" s="2">
        <v>11.6</v>
      </c>
      <c r="C945">
        <f t="shared" si="42"/>
        <v>13.233970309964894</v>
      </c>
      <c r="D945" s="2">
        <f t="shared" si="43"/>
        <v>1.6339703099648943</v>
      </c>
      <c r="E945" s="2">
        <f t="shared" si="44"/>
        <v>2.6698589738467731</v>
      </c>
    </row>
    <row r="946" spans="1:5">
      <c r="A946" s="3">
        <v>95</v>
      </c>
      <c r="B946" s="2">
        <v>13.9</v>
      </c>
      <c r="C946">
        <f t="shared" si="42"/>
        <v>13.233970309964894</v>
      </c>
      <c r="D946" s="2">
        <f t="shared" si="43"/>
        <v>-0.66602969003510637</v>
      </c>
      <c r="E946" s="2">
        <f t="shared" si="44"/>
        <v>0.44359554800825984</v>
      </c>
    </row>
    <row r="947" spans="1:5">
      <c r="A947" s="3">
        <v>95</v>
      </c>
      <c r="B947" s="2">
        <v>12.2</v>
      </c>
      <c r="C947">
        <f t="shared" si="42"/>
        <v>13.233970309964894</v>
      </c>
      <c r="D947" s="2">
        <f t="shared" si="43"/>
        <v>1.0339703099648947</v>
      </c>
      <c r="E947" s="2">
        <f t="shared" si="44"/>
        <v>1.0690946018889005</v>
      </c>
    </row>
    <row r="948" spans="1:5">
      <c r="A948" s="3">
        <v>95</v>
      </c>
      <c r="B948" s="2">
        <v>13.3</v>
      </c>
      <c r="C948">
        <f t="shared" si="42"/>
        <v>13.233970309964894</v>
      </c>
      <c r="D948" s="2">
        <f t="shared" si="43"/>
        <v>-6.6029690035106725E-2</v>
      </c>
      <c r="E948" s="2">
        <f t="shared" si="44"/>
        <v>4.3599199661322726E-3</v>
      </c>
    </row>
    <row r="949" spans="1:5">
      <c r="A949" s="3">
        <v>95.1</v>
      </c>
      <c r="B949" s="2">
        <v>13.3</v>
      </c>
      <c r="C949">
        <f t="shared" si="42"/>
        <v>13.254932249955806</v>
      </c>
      <c r="D949" s="2">
        <f t="shared" si="43"/>
        <v>-4.5067750044195165E-2</v>
      </c>
      <c r="E949" s="2">
        <f t="shared" si="44"/>
        <v>2.0311020940460534E-3</v>
      </c>
    </row>
    <row r="950" spans="1:5">
      <c r="A950" s="3">
        <v>95.1</v>
      </c>
      <c r="B950" s="2">
        <v>14.6</v>
      </c>
      <c r="C950">
        <f t="shared" si="42"/>
        <v>13.254932249955806</v>
      </c>
      <c r="D950" s="2">
        <f t="shared" si="43"/>
        <v>-1.3450677500441941</v>
      </c>
      <c r="E950" s="2">
        <f t="shared" si="44"/>
        <v>1.8092072522089506</v>
      </c>
    </row>
    <row r="951" spans="1:5">
      <c r="A951" s="3">
        <v>95.1</v>
      </c>
      <c r="B951" s="2">
        <v>13.1</v>
      </c>
      <c r="C951">
        <f t="shared" si="42"/>
        <v>13.254932249955806</v>
      </c>
      <c r="D951" s="2">
        <f t="shared" si="43"/>
        <v>0.1549322499558059</v>
      </c>
      <c r="E951" s="2">
        <f t="shared" si="44"/>
        <v>2.4004002076368318E-2</v>
      </c>
    </row>
    <row r="952" spans="1:5">
      <c r="A952" s="3">
        <v>95.2</v>
      </c>
      <c r="B952" s="2">
        <v>12.1</v>
      </c>
      <c r="C952">
        <f t="shared" si="42"/>
        <v>13.275894189946724</v>
      </c>
      <c r="D952" s="2">
        <f t="shared" si="43"/>
        <v>1.1758941899467246</v>
      </c>
      <c r="E952" s="2">
        <f t="shared" si="44"/>
        <v>1.3827271459504635</v>
      </c>
    </row>
    <row r="953" spans="1:5">
      <c r="A953" s="3">
        <v>95.2</v>
      </c>
      <c r="B953" s="2">
        <v>12.1</v>
      </c>
      <c r="C953">
        <f t="shared" si="42"/>
        <v>13.275894189946724</v>
      </c>
      <c r="D953" s="2">
        <f t="shared" si="43"/>
        <v>1.1758941899467246</v>
      </c>
      <c r="E953" s="2">
        <f t="shared" si="44"/>
        <v>1.3827271459504635</v>
      </c>
    </row>
    <row r="954" spans="1:5">
      <c r="A954" s="3">
        <v>95.2</v>
      </c>
      <c r="B954" s="2">
        <v>13.1</v>
      </c>
      <c r="C954">
        <f t="shared" si="42"/>
        <v>13.275894189946724</v>
      </c>
      <c r="D954" s="2">
        <f t="shared" si="43"/>
        <v>0.17589418994672457</v>
      </c>
      <c r="E954" s="2">
        <f t="shared" si="44"/>
        <v>3.093876605701442E-2</v>
      </c>
    </row>
    <row r="955" spans="1:5">
      <c r="A955" s="3">
        <v>95.2</v>
      </c>
      <c r="B955" s="2">
        <v>12.6</v>
      </c>
      <c r="C955">
        <f t="shared" si="42"/>
        <v>13.275894189946724</v>
      </c>
      <c r="D955" s="2">
        <f t="shared" si="43"/>
        <v>0.67589418994672457</v>
      </c>
      <c r="E955" s="2">
        <f t="shared" si="44"/>
        <v>0.45683295600373897</v>
      </c>
    </row>
    <row r="956" spans="1:5">
      <c r="A956" s="3">
        <v>95.2</v>
      </c>
      <c r="B956" s="2">
        <v>12.8</v>
      </c>
      <c r="C956">
        <f t="shared" si="42"/>
        <v>13.275894189946724</v>
      </c>
      <c r="D956" s="2">
        <f t="shared" si="43"/>
        <v>0.4758941899467235</v>
      </c>
      <c r="E956" s="2">
        <f t="shared" si="44"/>
        <v>0.22647528002504816</v>
      </c>
    </row>
    <row r="957" spans="1:5">
      <c r="A957" s="3">
        <v>95.2</v>
      </c>
      <c r="B957" s="2">
        <v>14</v>
      </c>
      <c r="C957">
        <f t="shared" si="42"/>
        <v>13.275894189946724</v>
      </c>
      <c r="D957" s="2">
        <f t="shared" si="43"/>
        <v>-0.72410581005327579</v>
      </c>
      <c r="E957" s="2">
        <f t="shared" si="44"/>
        <v>0.52432922415291072</v>
      </c>
    </row>
    <row r="958" spans="1:5">
      <c r="A958" s="3">
        <v>95.3</v>
      </c>
      <c r="B958" s="2">
        <v>13</v>
      </c>
      <c r="C958">
        <f t="shared" si="42"/>
        <v>13.296856129937636</v>
      </c>
      <c r="D958" s="2">
        <f t="shared" si="43"/>
        <v>0.29685612993763577</v>
      </c>
      <c r="E958" s="2">
        <f t="shared" si="44"/>
        <v>8.8123561881550488E-2</v>
      </c>
    </row>
    <row r="959" spans="1:5">
      <c r="A959" s="3">
        <v>95.3</v>
      </c>
      <c r="B959" s="2">
        <v>13.1</v>
      </c>
      <c r="C959">
        <f t="shared" si="42"/>
        <v>13.296856129937636</v>
      </c>
      <c r="D959" s="2">
        <f t="shared" si="43"/>
        <v>0.19685612993763613</v>
      </c>
      <c r="E959" s="2">
        <f t="shared" si="44"/>
        <v>3.8752335894023479E-2</v>
      </c>
    </row>
    <row r="960" spans="1:5">
      <c r="A960" s="3">
        <v>95.4</v>
      </c>
      <c r="B960" s="2">
        <v>13</v>
      </c>
      <c r="C960">
        <f t="shared" si="42"/>
        <v>13.317818069928554</v>
      </c>
      <c r="D960" s="2">
        <f t="shared" si="43"/>
        <v>0.31781806992855444</v>
      </c>
      <c r="E960" s="2">
        <f t="shared" si="44"/>
        <v>0.10100832557311151</v>
      </c>
    </row>
    <row r="961" spans="1:5">
      <c r="A961" s="3">
        <v>95.4</v>
      </c>
      <c r="B961" s="2">
        <v>14.4</v>
      </c>
      <c r="C961">
        <f t="shared" si="42"/>
        <v>13.317818069928554</v>
      </c>
      <c r="D961" s="2">
        <f t="shared" si="43"/>
        <v>-1.0821819300714459</v>
      </c>
      <c r="E961" s="2">
        <f t="shared" si="44"/>
        <v>1.1711177297731599</v>
      </c>
    </row>
    <row r="962" spans="1:5">
      <c r="A962" s="3">
        <v>95.5</v>
      </c>
      <c r="B962" s="2">
        <v>13.8</v>
      </c>
      <c r="C962">
        <f t="shared" si="42"/>
        <v>13.338780009919466</v>
      </c>
      <c r="D962" s="2">
        <f t="shared" si="43"/>
        <v>-0.46121999008053471</v>
      </c>
      <c r="E962" s="2">
        <f t="shared" si="44"/>
        <v>0.21272387924988853</v>
      </c>
    </row>
    <row r="963" spans="1:5">
      <c r="A963" s="3">
        <v>95.5</v>
      </c>
      <c r="B963" s="2">
        <v>12.8</v>
      </c>
      <c r="C963">
        <f t="shared" ref="C963:C1026" si="45">$K$4*A963+$K$5</f>
        <v>13.338780009919466</v>
      </c>
      <c r="D963" s="2">
        <f t="shared" ref="D963:D1026" si="46">C963-B963</f>
        <v>0.53878000991946529</v>
      </c>
      <c r="E963" s="2">
        <f t="shared" ref="E963:E1026" si="47">D963^2</f>
        <v>0.29028389908881913</v>
      </c>
    </row>
    <row r="964" spans="1:5">
      <c r="A964" s="3">
        <v>95.5</v>
      </c>
      <c r="B964" s="2">
        <v>12.7</v>
      </c>
      <c r="C964">
        <f t="shared" si="45"/>
        <v>13.338780009919466</v>
      </c>
      <c r="D964" s="2">
        <f t="shared" si="46"/>
        <v>0.63878000991946671</v>
      </c>
      <c r="E964" s="2">
        <f t="shared" si="47"/>
        <v>0.40803990107271398</v>
      </c>
    </row>
    <row r="965" spans="1:5">
      <c r="A965" s="3">
        <v>95.6</v>
      </c>
      <c r="B965" s="2">
        <v>13.8</v>
      </c>
      <c r="C965">
        <f t="shared" si="45"/>
        <v>13.359741949910381</v>
      </c>
      <c r="D965" s="2">
        <f t="shared" si="46"/>
        <v>-0.4402580500896196</v>
      </c>
      <c r="E965" s="2">
        <f t="shared" si="47"/>
        <v>0.193827150668714</v>
      </c>
    </row>
    <row r="966" spans="1:5">
      <c r="A966" s="3">
        <v>95.6</v>
      </c>
      <c r="B966" s="2">
        <v>12.8</v>
      </c>
      <c r="C966">
        <f t="shared" si="45"/>
        <v>13.359741949910381</v>
      </c>
      <c r="D966" s="2">
        <f t="shared" si="46"/>
        <v>0.5597419499103804</v>
      </c>
      <c r="E966" s="2">
        <f t="shared" si="47"/>
        <v>0.31331105048947477</v>
      </c>
    </row>
    <row r="967" spans="1:5">
      <c r="A967" s="3">
        <v>95.6</v>
      </c>
      <c r="B967" s="2">
        <v>15.8</v>
      </c>
      <c r="C967">
        <f t="shared" si="45"/>
        <v>13.359741949910381</v>
      </c>
      <c r="D967" s="2">
        <f t="shared" si="46"/>
        <v>-2.4402580500896196</v>
      </c>
      <c r="E967" s="2">
        <f t="shared" si="47"/>
        <v>5.9548593510271921</v>
      </c>
    </row>
    <row r="968" spans="1:5">
      <c r="A968" s="3">
        <v>95.7</v>
      </c>
      <c r="B968" s="2">
        <v>11.7</v>
      </c>
      <c r="C968">
        <f t="shared" si="45"/>
        <v>13.380703889901296</v>
      </c>
      <c r="D968" s="2">
        <f t="shared" si="46"/>
        <v>1.6807038899012969</v>
      </c>
      <c r="E968" s="2">
        <f t="shared" si="47"/>
        <v>2.8247655655293507</v>
      </c>
    </row>
    <row r="969" spans="1:5">
      <c r="A969" s="3">
        <v>95.8</v>
      </c>
      <c r="B969" s="2">
        <v>14.5</v>
      </c>
      <c r="C969">
        <f t="shared" si="45"/>
        <v>13.401665829892211</v>
      </c>
      <c r="D969" s="2">
        <f t="shared" si="46"/>
        <v>-1.0983341701077887</v>
      </c>
      <c r="E969" s="2">
        <f t="shared" si="47"/>
        <v>1.2063379492263648</v>
      </c>
    </row>
    <row r="970" spans="1:5">
      <c r="A970" s="3">
        <v>95.9</v>
      </c>
      <c r="B970" s="2">
        <v>13</v>
      </c>
      <c r="C970">
        <f t="shared" si="45"/>
        <v>13.422627769883126</v>
      </c>
      <c r="D970" s="2">
        <f t="shared" si="46"/>
        <v>0.42262776988312645</v>
      </c>
      <c r="E970" s="2">
        <f t="shared" si="47"/>
        <v>0.17861423187638489</v>
      </c>
    </row>
    <row r="971" spans="1:5">
      <c r="A971" s="3">
        <v>96</v>
      </c>
      <c r="B971" s="2">
        <v>13.1</v>
      </c>
      <c r="C971">
        <f t="shared" si="45"/>
        <v>13.443589709874042</v>
      </c>
      <c r="D971" s="2">
        <f t="shared" si="46"/>
        <v>0.34358970987404192</v>
      </c>
      <c r="E971" s="2">
        <f t="shared" si="47"/>
        <v>0.1180538887313283</v>
      </c>
    </row>
    <row r="972" spans="1:5">
      <c r="A972" s="3">
        <v>96</v>
      </c>
      <c r="B972" s="2">
        <v>12.8</v>
      </c>
      <c r="C972">
        <f t="shared" si="45"/>
        <v>13.443589709874042</v>
      </c>
      <c r="D972" s="2">
        <f t="shared" si="46"/>
        <v>0.64358970987404085</v>
      </c>
      <c r="E972" s="2">
        <f t="shared" si="47"/>
        <v>0.41420771465575207</v>
      </c>
    </row>
    <row r="973" spans="1:5">
      <c r="A973" s="3">
        <v>96.1</v>
      </c>
      <c r="B973" s="2">
        <v>12.8</v>
      </c>
      <c r="C973">
        <f t="shared" si="45"/>
        <v>13.464551649864953</v>
      </c>
      <c r="D973" s="2">
        <f t="shared" si="46"/>
        <v>0.66455164986495241</v>
      </c>
      <c r="E973" s="2">
        <f t="shared" si="47"/>
        <v>0.4416288953382303</v>
      </c>
    </row>
    <row r="974" spans="1:5">
      <c r="A974" s="3">
        <v>96.1</v>
      </c>
      <c r="B974" s="2">
        <v>11.2</v>
      </c>
      <c r="C974">
        <f t="shared" si="45"/>
        <v>13.464551649864953</v>
      </c>
      <c r="D974" s="2">
        <f t="shared" si="46"/>
        <v>2.2645516498649538</v>
      </c>
      <c r="E974" s="2">
        <f t="shared" si="47"/>
        <v>5.1281941749060849</v>
      </c>
    </row>
    <row r="975" spans="1:5">
      <c r="A975" s="3">
        <v>96.1</v>
      </c>
      <c r="B975" s="2">
        <v>12.8</v>
      </c>
      <c r="C975">
        <f t="shared" si="45"/>
        <v>13.464551649864953</v>
      </c>
      <c r="D975" s="2">
        <f t="shared" si="46"/>
        <v>0.66455164986495241</v>
      </c>
      <c r="E975" s="2">
        <f t="shared" si="47"/>
        <v>0.4416288953382303</v>
      </c>
    </row>
    <row r="976" spans="1:5">
      <c r="A976" s="3">
        <v>96.2</v>
      </c>
      <c r="B976" s="2">
        <v>15.2</v>
      </c>
      <c r="C976">
        <f t="shared" si="45"/>
        <v>13.485513589855868</v>
      </c>
      <c r="D976" s="2">
        <f t="shared" si="46"/>
        <v>-1.7144864101441311</v>
      </c>
      <c r="E976" s="2">
        <f t="shared" si="47"/>
        <v>2.9394636505689098</v>
      </c>
    </row>
    <row r="977" spans="1:5">
      <c r="A977" s="3">
        <v>96.3</v>
      </c>
      <c r="B977" s="2">
        <v>12.8</v>
      </c>
      <c r="C977">
        <f t="shared" si="45"/>
        <v>13.506475529846783</v>
      </c>
      <c r="D977" s="2">
        <f t="shared" si="46"/>
        <v>0.70647552984678263</v>
      </c>
      <c r="E977" s="2">
        <f t="shared" si="47"/>
        <v>0.49910767427229225</v>
      </c>
    </row>
    <row r="978" spans="1:5">
      <c r="A978" s="3">
        <v>96.3</v>
      </c>
      <c r="B978" s="2">
        <v>12.8</v>
      </c>
      <c r="C978">
        <f t="shared" si="45"/>
        <v>13.506475529846783</v>
      </c>
      <c r="D978" s="2">
        <f t="shared" si="46"/>
        <v>0.70647552984678263</v>
      </c>
      <c r="E978" s="2">
        <f t="shared" si="47"/>
        <v>0.49910767427229225</v>
      </c>
    </row>
    <row r="979" spans="1:5">
      <c r="A979" s="3">
        <v>96.4</v>
      </c>
      <c r="B979" s="2">
        <v>12.7</v>
      </c>
      <c r="C979">
        <f t="shared" si="45"/>
        <v>13.527437469837698</v>
      </c>
      <c r="D979" s="2">
        <f t="shared" si="46"/>
        <v>0.82743746983769917</v>
      </c>
      <c r="E979" s="2">
        <f t="shared" si="47"/>
        <v>0.68465276649141327</v>
      </c>
    </row>
    <row r="980" spans="1:5">
      <c r="A980" s="3">
        <v>96.4</v>
      </c>
      <c r="B980" s="2">
        <v>15.3</v>
      </c>
      <c r="C980">
        <f t="shared" si="45"/>
        <v>13.527437469837698</v>
      </c>
      <c r="D980" s="2">
        <f t="shared" si="46"/>
        <v>-1.7725625301623023</v>
      </c>
      <c r="E980" s="2">
        <f t="shared" si="47"/>
        <v>3.1419779233353826</v>
      </c>
    </row>
    <row r="981" spans="1:5">
      <c r="A981" s="3">
        <v>96.5</v>
      </c>
      <c r="B981" s="2">
        <v>12.5</v>
      </c>
      <c r="C981">
        <f t="shared" si="45"/>
        <v>13.548399409828614</v>
      </c>
      <c r="D981" s="2">
        <f t="shared" si="46"/>
        <v>1.0483994098286136</v>
      </c>
      <c r="E981" s="2">
        <f t="shared" si="47"/>
        <v>1.0991413225289852</v>
      </c>
    </row>
    <row r="982" spans="1:5">
      <c r="A982" s="3">
        <v>96.6</v>
      </c>
      <c r="B982" s="2">
        <v>12.6</v>
      </c>
      <c r="C982">
        <f t="shared" si="45"/>
        <v>13.569361349819525</v>
      </c>
      <c r="D982" s="2">
        <f t="shared" si="46"/>
        <v>0.96936134981952549</v>
      </c>
      <c r="E982" s="2">
        <f t="shared" si="47"/>
        <v>0.93966142652393247</v>
      </c>
    </row>
    <row r="983" spans="1:5">
      <c r="A983" s="3">
        <v>96.6</v>
      </c>
      <c r="B983" s="2">
        <v>14.3</v>
      </c>
      <c r="C983">
        <f t="shared" si="45"/>
        <v>13.569361349819525</v>
      </c>
      <c r="D983" s="2">
        <f t="shared" si="46"/>
        <v>-0.73063865018047558</v>
      </c>
      <c r="E983" s="2">
        <f t="shared" si="47"/>
        <v>0.53383283713754737</v>
      </c>
    </row>
    <row r="984" spans="1:5">
      <c r="A984" s="3">
        <v>96.6</v>
      </c>
      <c r="B984" s="2">
        <v>13.7</v>
      </c>
      <c r="C984">
        <f t="shared" si="45"/>
        <v>13.569361349819525</v>
      </c>
      <c r="D984" s="2">
        <f t="shared" si="46"/>
        <v>-0.13063865018047416</v>
      </c>
      <c r="E984" s="2">
        <f t="shared" si="47"/>
        <v>1.7066456920976299E-2</v>
      </c>
    </row>
    <row r="985" spans="1:5">
      <c r="A985" s="3">
        <v>96.6</v>
      </c>
      <c r="B985" s="2">
        <v>12.1</v>
      </c>
      <c r="C985">
        <f t="shared" si="45"/>
        <v>13.569361349819525</v>
      </c>
      <c r="D985" s="2">
        <f t="shared" si="46"/>
        <v>1.4693613498195255</v>
      </c>
      <c r="E985" s="2">
        <f t="shared" si="47"/>
        <v>2.1590227763434577</v>
      </c>
    </row>
    <row r="986" spans="1:5">
      <c r="A986" s="3">
        <v>96.7</v>
      </c>
      <c r="B986" s="2">
        <v>13</v>
      </c>
      <c r="C986">
        <f t="shared" si="45"/>
        <v>13.590323289810444</v>
      </c>
      <c r="D986" s="2">
        <f t="shared" si="46"/>
        <v>0.5903232898104438</v>
      </c>
      <c r="E986" s="2">
        <f t="shared" si="47"/>
        <v>0.34848158649262523</v>
      </c>
    </row>
    <row r="987" spans="1:5">
      <c r="A987" s="3">
        <v>96.7</v>
      </c>
      <c r="B987" s="2">
        <v>13.4</v>
      </c>
      <c r="C987">
        <f t="shared" si="45"/>
        <v>13.590323289810444</v>
      </c>
      <c r="D987" s="2">
        <f t="shared" si="46"/>
        <v>0.19032328981044344</v>
      </c>
      <c r="E987" s="2">
        <f t="shared" si="47"/>
        <v>3.6222954644270042E-2</v>
      </c>
    </row>
    <row r="988" spans="1:5">
      <c r="A988" s="3">
        <v>96.7</v>
      </c>
      <c r="B988" s="2">
        <v>14</v>
      </c>
      <c r="C988">
        <f t="shared" si="45"/>
        <v>13.590323289810444</v>
      </c>
      <c r="D988" s="2">
        <f t="shared" si="46"/>
        <v>-0.4096767101895562</v>
      </c>
      <c r="E988" s="2">
        <f t="shared" si="47"/>
        <v>0.16783500687173764</v>
      </c>
    </row>
    <row r="989" spans="1:5">
      <c r="A989" s="3">
        <v>96.7</v>
      </c>
      <c r="B989" s="2">
        <v>12.4</v>
      </c>
      <c r="C989">
        <f t="shared" si="45"/>
        <v>13.590323289810444</v>
      </c>
      <c r="D989" s="2">
        <f t="shared" si="46"/>
        <v>1.1903232898104434</v>
      </c>
      <c r="E989" s="2">
        <f t="shared" si="47"/>
        <v>1.4168695342651569</v>
      </c>
    </row>
    <row r="990" spans="1:5">
      <c r="A990" s="3">
        <v>96.8</v>
      </c>
      <c r="B990" s="2">
        <v>15</v>
      </c>
      <c r="C990">
        <f t="shared" si="45"/>
        <v>13.611285229801355</v>
      </c>
      <c r="D990" s="2">
        <f t="shared" si="46"/>
        <v>-1.3887147701986446</v>
      </c>
      <c r="E990" s="2">
        <f t="shared" si="47"/>
        <v>1.9285287129678743</v>
      </c>
    </row>
    <row r="991" spans="1:5">
      <c r="A991" s="3">
        <v>96.8</v>
      </c>
      <c r="B991" s="2">
        <v>15.1</v>
      </c>
      <c r="C991">
        <f t="shared" si="45"/>
        <v>13.611285229801355</v>
      </c>
      <c r="D991" s="2">
        <f t="shared" si="46"/>
        <v>-1.4887147701986443</v>
      </c>
      <c r="E991" s="2">
        <f t="shared" si="47"/>
        <v>2.2162716670076024</v>
      </c>
    </row>
    <row r="992" spans="1:5">
      <c r="A992" s="3">
        <v>97</v>
      </c>
      <c r="B992" s="2">
        <v>13.6</v>
      </c>
      <c r="C992">
        <f t="shared" si="45"/>
        <v>13.653209109783186</v>
      </c>
      <c r="D992" s="2">
        <f t="shared" si="46"/>
        <v>5.3209109783185937E-2</v>
      </c>
      <c r="E992" s="2">
        <f t="shared" si="47"/>
        <v>2.8312093639191334E-3</v>
      </c>
    </row>
    <row r="993" spans="1:5">
      <c r="A993" s="3">
        <v>97</v>
      </c>
      <c r="B993" s="2">
        <v>14.1</v>
      </c>
      <c r="C993">
        <f t="shared" si="45"/>
        <v>13.653209109783186</v>
      </c>
      <c r="D993" s="2">
        <f t="shared" si="46"/>
        <v>-0.44679089021681406</v>
      </c>
      <c r="E993" s="2">
        <f t="shared" si="47"/>
        <v>0.19962209958073321</v>
      </c>
    </row>
    <row r="994" spans="1:5">
      <c r="A994" s="3">
        <v>97.1</v>
      </c>
      <c r="B994" s="2">
        <v>13.3</v>
      </c>
      <c r="C994">
        <f t="shared" si="45"/>
        <v>13.674171049774101</v>
      </c>
      <c r="D994" s="2">
        <f t="shared" si="46"/>
        <v>0.37417104977409998</v>
      </c>
      <c r="E994" s="2">
        <f t="shared" si="47"/>
        <v>0.140003974489052</v>
      </c>
    </row>
    <row r="995" spans="1:5">
      <c r="A995" s="3">
        <v>97.2</v>
      </c>
      <c r="B995" s="2">
        <v>14.4</v>
      </c>
      <c r="C995">
        <f t="shared" si="45"/>
        <v>13.695132989765016</v>
      </c>
      <c r="D995" s="2">
        <f t="shared" si="46"/>
        <v>-0.70486701023498455</v>
      </c>
      <c r="E995" s="2">
        <f t="shared" si="47"/>
        <v>0.4968375021176058</v>
      </c>
    </row>
    <row r="996" spans="1:5">
      <c r="A996" s="3">
        <v>97.3</v>
      </c>
      <c r="B996" s="2">
        <v>14.5</v>
      </c>
      <c r="C996">
        <f t="shared" si="45"/>
        <v>13.716094929755931</v>
      </c>
      <c r="D996" s="2">
        <f t="shared" si="46"/>
        <v>-0.78390507024406908</v>
      </c>
      <c r="E996" s="2">
        <f t="shared" si="47"/>
        <v>0.61450715915435883</v>
      </c>
    </row>
    <row r="997" spans="1:5">
      <c r="A997" s="3">
        <v>97.3</v>
      </c>
      <c r="B997" s="2">
        <v>12.3</v>
      </c>
      <c r="C997">
        <f t="shared" si="45"/>
        <v>13.716094929755931</v>
      </c>
      <c r="D997" s="2">
        <f t="shared" si="46"/>
        <v>1.4160949297559302</v>
      </c>
      <c r="E997" s="2">
        <f t="shared" si="47"/>
        <v>2.005324850080453</v>
      </c>
    </row>
    <row r="998" spans="1:5">
      <c r="A998" s="3">
        <v>97.3</v>
      </c>
      <c r="B998" s="2">
        <v>13</v>
      </c>
      <c r="C998">
        <f t="shared" si="45"/>
        <v>13.716094929755931</v>
      </c>
      <c r="D998" s="2">
        <f t="shared" si="46"/>
        <v>0.71609492975593092</v>
      </c>
      <c r="E998" s="2">
        <f t="shared" si="47"/>
        <v>0.51279194842215159</v>
      </c>
    </row>
    <row r="999" spans="1:5">
      <c r="A999" s="3">
        <v>97.3</v>
      </c>
      <c r="B999" s="2">
        <v>13.6</v>
      </c>
      <c r="C999">
        <f t="shared" si="45"/>
        <v>13.716094929755931</v>
      </c>
      <c r="D999" s="2">
        <f t="shared" si="46"/>
        <v>0.11609492975593128</v>
      </c>
      <c r="E999" s="2">
        <f t="shared" si="47"/>
        <v>1.3478032715034617E-2</v>
      </c>
    </row>
    <row r="1000" spans="1:5">
      <c r="A1000" s="3">
        <v>97.4</v>
      </c>
      <c r="B1000" s="2">
        <v>13.1</v>
      </c>
      <c r="C1000">
        <f t="shared" si="45"/>
        <v>13.737056869746846</v>
      </c>
      <c r="D1000" s="2">
        <f t="shared" si="46"/>
        <v>0.63705686974684639</v>
      </c>
      <c r="E1000" s="2">
        <f t="shared" si="47"/>
        <v>0.40584145529165039</v>
      </c>
    </row>
    <row r="1001" spans="1:5">
      <c r="A1001" s="3">
        <v>97.6</v>
      </c>
      <c r="B1001" s="2">
        <v>13.8</v>
      </c>
      <c r="C1001">
        <f t="shared" si="45"/>
        <v>13.778980749728673</v>
      </c>
      <c r="D1001" s="2">
        <f t="shared" si="46"/>
        <v>-2.1019250271328005E-2</v>
      </c>
      <c r="E1001" s="2">
        <f t="shared" si="47"/>
        <v>4.4180888196872242E-4</v>
      </c>
    </row>
    <row r="1002" spans="1:5">
      <c r="A1002" s="3">
        <v>97.6</v>
      </c>
      <c r="B1002" s="2">
        <v>14.1</v>
      </c>
      <c r="C1002">
        <f t="shared" si="45"/>
        <v>13.778980749728673</v>
      </c>
      <c r="D1002" s="2">
        <f t="shared" si="46"/>
        <v>-0.32101925027132694</v>
      </c>
      <c r="E1002" s="2">
        <f t="shared" si="47"/>
        <v>0.10305335904476484</v>
      </c>
    </row>
    <row r="1003" spans="1:5">
      <c r="A1003" s="3">
        <v>97.6</v>
      </c>
      <c r="B1003" s="2">
        <v>13.7</v>
      </c>
      <c r="C1003">
        <f t="shared" si="45"/>
        <v>13.778980749728673</v>
      </c>
      <c r="D1003" s="2">
        <f t="shared" si="46"/>
        <v>7.8980749728673416E-2</v>
      </c>
      <c r="E1003" s="2">
        <f t="shared" si="47"/>
        <v>6.237958827703346E-3</v>
      </c>
    </row>
    <row r="1004" spans="1:5">
      <c r="A1004" s="3">
        <v>97.7</v>
      </c>
      <c r="B1004" s="2">
        <v>14.7</v>
      </c>
      <c r="C1004">
        <f t="shared" si="45"/>
        <v>13.799942689719588</v>
      </c>
      <c r="D1004" s="2">
        <f t="shared" si="46"/>
        <v>-0.90005731028041147</v>
      </c>
      <c r="E1004" s="2">
        <f t="shared" si="47"/>
        <v>0.81010316178920894</v>
      </c>
    </row>
    <row r="1005" spans="1:5">
      <c r="A1005" s="3">
        <v>97.7</v>
      </c>
      <c r="B1005" s="2">
        <v>13</v>
      </c>
      <c r="C1005">
        <f t="shared" si="45"/>
        <v>13.799942689719588</v>
      </c>
      <c r="D1005" s="2">
        <f t="shared" si="46"/>
        <v>0.79994268971958782</v>
      </c>
      <c r="E1005" s="2">
        <f t="shared" si="47"/>
        <v>0.63990830683580879</v>
      </c>
    </row>
    <row r="1006" spans="1:5">
      <c r="A1006" s="3">
        <v>97.8</v>
      </c>
      <c r="B1006" s="2">
        <v>12.3</v>
      </c>
      <c r="C1006">
        <f t="shared" si="45"/>
        <v>13.820904629710503</v>
      </c>
      <c r="D1006" s="2">
        <f t="shared" si="46"/>
        <v>1.5209046297105022</v>
      </c>
      <c r="E1006" s="2">
        <f t="shared" si="47"/>
        <v>2.3131508926748401</v>
      </c>
    </row>
    <row r="1007" spans="1:5">
      <c r="A1007" s="3">
        <v>97.8</v>
      </c>
      <c r="B1007" s="2">
        <v>12.5</v>
      </c>
      <c r="C1007">
        <f t="shared" si="45"/>
        <v>13.820904629710503</v>
      </c>
      <c r="D1007" s="2">
        <f t="shared" si="46"/>
        <v>1.3209046297105029</v>
      </c>
      <c r="E1007" s="2">
        <f t="shared" si="47"/>
        <v>1.7447890407906408</v>
      </c>
    </row>
    <row r="1008" spans="1:5">
      <c r="A1008" s="3">
        <v>97.9</v>
      </c>
      <c r="B1008" s="2">
        <v>13.2</v>
      </c>
      <c r="C1008">
        <f t="shared" si="45"/>
        <v>13.841866569701418</v>
      </c>
      <c r="D1008" s="2">
        <f t="shared" si="46"/>
        <v>0.64186656970141875</v>
      </c>
      <c r="E1008" s="2">
        <f t="shared" si="47"/>
        <v>0.41199269330026628</v>
      </c>
    </row>
    <row r="1009" spans="1:5">
      <c r="A1009" s="3">
        <v>98</v>
      </c>
      <c r="B1009" s="2">
        <v>14.5</v>
      </c>
      <c r="C1009">
        <f t="shared" si="45"/>
        <v>13.862828509692333</v>
      </c>
      <c r="D1009" s="2">
        <f t="shared" si="46"/>
        <v>-0.63717149030766684</v>
      </c>
      <c r="E1009" s="2">
        <f t="shared" si="47"/>
        <v>0.40598750806089318</v>
      </c>
    </row>
    <row r="1010" spans="1:5">
      <c r="A1010" s="3">
        <v>98</v>
      </c>
      <c r="B1010" s="2">
        <v>12.2</v>
      </c>
      <c r="C1010">
        <f t="shared" si="45"/>
        <v>13.862828509692333</v>
      </c>
      <c r="D1010" s="2">
        <f t="shared" si="46"/>
        <v>1.6628285096923339</v>
      </c>
      <c r="E1010" s="2">
        <f t="shared" si="47"/>
        <v>2.7649986526456281</v>
      </c>
    </row>
    <row r="1011" spans="1:5">
      <c r="A1011" s="3">
        <v>98</v>
      </c>
      <c r="B1011" s="2">
        <v>11.9</v>
      </c>
      <c r="C1011">
        <f t="shared" si="45"/>
        <v>13.862828509692333</v>
      </c>
      <c r="D1011" s="2">
        <f t="shared" si="46"/>
        <v>1.9628285096923328</v>
      </c>
      <c r="E1011" s="2">
        <f t="shared" si="47"/>
        <v>3.8526957584610244</v>
      </c>
    </row>
    <row r="1012" spans="1:5">
      <c r="A1012" s="3">
        <v>98.1</v>
      </c>
      <c r="B1012" s="2">
        <v>12.7</v>
      </c>
      <c r="C1012">
        <f t="shared" si="45"/>
        <v>13.883790449683245</v>
      </c>
      <c r="D1012" s="2">
        <f t="shared" si="46"/>
        <v>1.1837904496832454</v>
      </c>
      <c r="E1012" s="2">
        <f t="shared" si="47"/>
        <v>1.4013598287612605</v>
      </c>
    </row>
    <row r="1013" spans="1:5">
      <c r="A1013" s="3">
        <v>98.1</v>
      </c>
      <c r="B1013" s="2">
        <v>14.2</v>
      </c>
      <c r="C1013">
        <f t="shared" si="45"/>
        <v>13.883790449683245</v>
      </c>
      <c r="D1013" s="2">
        <f t="shared" si="46"/>
        <v>-0.31620955031675457</v>
      </c>
      <c r="E1013" s="2">
        <f t="shared" si="47"/>
        <v>9.9988479711524136E-2</v>
      </c>
    </row>
    <row r="1014" spans="1:5">
      <c r="A1014" s="3">
        <v>98.3</v>
      </c>
      <c r="B1014" s="2">
        <v>13.7</v>
      </c>
      <c r="C1014">
        <f t="shared" si="45"/>
        <v>13.925714329665075</v>
      </c>
      <c r="D1014" s="2">
        <f t="shared" si="46"/>
        <v>0.22571432966507565</v>
      </c>
      <c r="E1014" s="2">
        <f t="shared" si="47"/>
        <v>5.0946958616154447E-2</v>
      </c>
    </row>
    <row r="1015" spans="1:5">
      <c r="A1015" s="3">
        <v>98.3</v>
      </c>
      <c r="B1015" s="2">
        <v>14</v>
      </c>
      <c r="C1015">
        <f t="shared" si="45"/>
        <v>13.925714329665075</v>
      </c>
      <c r="D1015" s="2">
        <f t="shared" si="46"/>
        <v>-7.4285670334925058E-2</v>
      </c>
      <c r="E1015" s="2">
        <f t="shared" si="47"/>
        <v>5.518360817109165E-3</v>
      </c>
    </row>
    <row r="1016" spans="1:5">
      <c r="A1016" s="3">
        <v>98.3</v>
      </c>
      <c r="B1016" s="2">
        <v>14.7</v>
      </c>
      <c r="C1016">
        <f t="shared" si="45"/>
        <v>13.925714329665075</v>
      </c>
      <c r="D1016" s="2">
        <f t="shared" si="46"/>
        <v>-0.77428567033492435</v>
      </c>
      <c r="E1016" s="2">
        <f t="shared" si="47"/>
        <v>0.5995182992860032</v>
      </c>
    </row>
    <row r="1017" spans="1:5">
      <c r="A1017" s="3">
        <v>98.4</v>
      </c>
      <c r="B1017" s="2">
        <v>14.9</v>
      </c>
      <c r="C1017">
        <f t="shared" si="45"/>
        <v>13.946676269655994</v>
      </c>
      <c r="D1017" s="2">
        <f t="shared" si="46"/>
        <v>-0.95332373034400675</v>
      </c>
      <c r="E1017" s="2">
        <f t="shared" si="47"/>
        <v>0.90882613483701247</v>
      </c>
    </row>
    <row r="1018" spans="1:5">
      <c r="A1018" s="3">
        <v>98.4</v>
      </c>
      <c r="B1018" s="2">
        <v>15.5</v>
      </c>
      <c r="C1018">
        <f t="shared" si="45"/>
        <v>13.946676269655994</v>
      </c>
      <c r="D1018" s="2">
        <f t="shared" si="46"/>
        <v>-1.5533237303440064</v>
      </c>
      <c r="E1018" s="2">
        <f t="shared" si="47"/>
        <v>2.4128146112498197</v>
      </c>
    </row>
    <row r="1019" spans="1:5">
      <c r="A1019" s="3">
        <v>98.5</v>
      </c>
      <c r="B1019" s="2">
        <v>13</v>
      </c>
      <c r="C1019">
        <f t="shared" si="45"/>
        <v>13.967638209646905</v>
      </c>
      <c r="D1019" s="2">
        <f t="shared" si="46"/>
        <v>0.96763820964690517</v>
      </c>
      <c r="E1019" s="2">
        <f t="shared" si="47"/>
        <v>0.936323704768668</v>
      </c>
    </row>
    <row r="1020" spans="1:5">
      <c r="A1020" s="3">
        <v>98.5</v>
      </c>
      <c r="B1020" s="2">
        <v>14.3</v>
      </c>
      <c r="C1020">
        <f t="shared" si="45"/>
        <v>13.967638209646905</v>
      </c>
      <c r="D1020" s="2">
        <f t="shared" si="46"/>
        <v>-0.33236179035309554</v>
      </c>
      <c r="E1020" s="2">
        <f t="shared" si="47"/>
        <v>0.11046435968671503</v>
      </c>
    </row>
    <row r="1021" spans="1:5">
      <c r="A1021" s="3">
        <v>98.5</v>
      </c>
      <c r="B1021" s="2">
        <v>14.5</v>
      </c>
      <c r="C1021">
        <f t="shared" si="45"/>
        <v>13.967638209646905</v>
      </c>
      <c r="D1021" s="2">
        <f t="shared" si="46"/>
        <v>-0.53236179035309483</v>
      </c>
      <c r="E1021" s="2">
        <f t="shared" si="47"/>
        <v>0.28340907582795249</v>
      </c>
    </row>
    <row r="1022" spans="1:5">
      <c r="A1022" s="3">
        <v>98.5</v>
      </c>
      <c r="B1022" s="2">
        <v>14.4</v>
      </c>
      <c r="C1022">
        <f t="shared" si="45"/>
        <v>13.967638209646905</v>
      </c>
      <c r="D1022" s="2">
        <f t="shared" si="46"/>
        <v>-0.43236179035309519</v>
      </c>
      <c r="E1022" s="2">
        <f t="shared" si="47"/>
        <v>0.18693671775733384</v>
      </c>
    </row>
    <row r="1023" spans="1:5">
      <c r="A1023" s="3">
        <v>98.6</v>
      </c>
      <c r="B1023" s="2">
        <v>13.4</v>
      </c>
      <c r="C1023">
        <f t="shared" si="45"/>
        <v>13.98860014963782</v>
      </c>
      <c r="D1023" s="2">
        <f t="shared" si="46"/>
        <v>0.58860014963781992</v>
      </c>
      <c r="E1023" s="2">
        <f t="shared" si="47"/>
        <v>0.34645013615366399</v>
      </c>
    </row>
    <row r="1024" spans="1:5">
      <c r="A1024" s="3">
        <v>98.7</v>
      </c>
      <c r="B1024" s="2">
        <v>15.9</v>
      </c>
      <c r="C1024">
        <f t="shared" si="45"/>
        <v>14.009562089628735</v>
      </c>
      <c r="D1024" s="2">
        <f t="shared" si="46"/>
        <v>-1.890437910371265</v>
      </c>
      <c r="E1024" s="2">
        <f t="shared" si="47"/>
        <v>3.5737554929688748</v>
      </c>
    </row>
    <row r="1025" spans="1:5">
      <c r="A1025" s="3">
        <v>98.8</v>
      </c>
      <c r="B1025" s="2">
        <v>13.9</v>
      </c>
      <c r="C1025">
        <f t="shared" si="45"/>
        <v>14.030524029619651</v>
      </c>
      <c r="D1025" s="2">
        <f t="shared" si="46"/>
        <v>0.13052402961965015</v>
      </c>
      <c r="E1025" s="2">
        <f t="shared" si="47"/>
        <v>1.7036522308151308E-2</v>
      </c>
    </row>
    <row r="1026" spans="1:5">
      <c r="A1026" s="3">
        <v>98.8</v>
      </c>
      <c r="B1026" s="2">
        <v>14.1</v>
      </c>
      <c r="C1026">
        <f t="shared" si="45"/>
        <v>14.030524029619651</v>
      </c>
      <c r="D1026" s="2">
        <f t="shared" si="46"/>
        <v>-6.9475970380349139E-2</v>
      </c>
      <c r="E1026" s="2">
        <f t="shared" si="47"/>
        <v>4.8269104602911509E-3</v>
      </c>
    </row>
    <row r="1027" spans="1:5">
      <c r="A1027" s="3">
        <v>98.8</v>
      </c>
      <c r="B1027" s="2">
        <v>13</v>
      </c>
      <c r="C1027">
        <f t="shared" ref="C1027:C1081" si="48">$K$4*A1027+$K$5</f>
        <v>14.030524029619651</v>
      </c>
      <c r="D1027" s="2">
        <f t="shared" ref="D1027:D1081" si="49">C1027-B1027</f>
        <v>1.0305240296196505</v>
      </c>
      <c r="E1027" s="2">
        <f t="shared" ref="E1027:E1081" si="50">D1027^2</f>
        <v>1.0619797756235223</v>
      </c>
    </row>
    <row r="1028" spans="1:5">
      <c r="A1028" s="3">
        <v>99</v>
      </c>
      <c r="B1028" s="2">
        <v>14.7</v>
      </c>
      <c r="C1028">
        <f t="shared" si="48"/>
        <v>14.072447909601477</v>
      </c>
      <c r="D1028" s="2">
        <f t="shared" si="49"/>
        <v>-0.62755209039852211</v>
      </c>
      <c r="E1028" s="2">
        <f t="shared" si="50"/>
        <v>0.39382162616355487</v>
      </c>
    </row>
    <row r="1029" spans="1:5">
      <c r="A1029" s="3">
        <v>99</v>
      </c>
      <c r="B1029" s="2">
        <v>13</v>
      </c>
      <c r="C1029">
        <f t="shared" si="48"/>
        <v>14.072447909601477</v>
      </c>
      <c r="D1029" s="2">
        <f t="shared" si="49"/>
        <v>1.0724479096014772</v>
      </c>
      <c r="E1029" s="2">
        <f t="shared" si="50"/>
        <v>1.1501445188085782</v>
      </c>
    </row>
    <row r="1030" spans="1:5">
      <c r="A1030" s="3">
        <v>99.1</v>
      </c>
      <c r="B1030" s="2">
        <v>14.2</v>
      </c>
      <c r="C1030">
        <f t="shared" si="48"/>
        <v>14.093409849592392</v>
      </c>
      <c r="D1030" s="2">
        <f t="shared" si="49"/>
        <v>-0.106590150407607</v>
      </c>
      <c r="E1030" s="2">
        <f t="shared" si="50"/>
        <v>1.1361460163916282E-2</v>
      </c>
    </row>
    <row r="1031" spans="1:5">
      <c r="A1031" s="3">
        <v>99.2</v>
      </c>
      <c r="B1031" s="2">
        <v>14.7</v>
      </c>
      <c r="C1031">
        <f t="shared" si="48"/>
        <v>14.114371789583307</v>
      </c>
      <c r="D1031" s="2">
        <f t="shared" si="49"/>
        <v>-0.58562821041669189</v>
      </c>
      <c r="E1031" s="2">
        <f t="shared" si="50"/>
        <v>0.34296040083585716</v>
      </c>
    </row>
    <row r="1032" spans="1:5">
      <c r="A1032" s="3">
        <v>99.2</v>
      </c>
      <c r="B1032" s="2">
        <v>15</v>
      </c>
      <c r="C1032">
        <f t="shared" si="48"/>
        <v>14.114371789583307</v>
      </c>
      <c r="D1032" s="2">
        <f t="shared" si="49"/>
        <v>-0.8856282104166926</v>
      </c>
      <c r="E1032" s="2">
        <f t="shared" si="50"/>
        <v>0.78433732708587356</v>
      </c>
    </row>
    <row r="1033" spans="1:5">
      <c r="A1033" s="3">
        <v>99.2</v>
      </c>
      <c r="B1033" s="2">
        <v>14.9</v>
      </c>
      <c r="C1033">
        <f t="shared" si="48"/>
        <v>14.114371789583307</v>
      </c>
      <c r="D1033" s="2">
        <f t="shared" si="49"/>
        <v>-0.78562821041669295</v>
      </c>
      <c r="E1033" s="2">
        <f t="shared" si="50"/>
        <v>0.61721168500253554</v>
      </c>
    </row>
    <row r="1034" spans="1:5">
      <c r="A1034" s="3">
        <v>99.3</v>
      </c>
      <c r="B1034" s="2">
        <v>13.4</v>
      </c>
      <c r="C1034">
        <f t="shared" si="48"/>
        <v>14.135333729574223</v>
      </c>
      <c r="D1034" s="2">
        <f t="shared" si="49"/>
        <v>0.73533372957422216</v>
      </c>
      <c r="E1034" s="2">
        <f t="shared" si="50"/>
        <v>0.54071569384953533</v>
      </c>
    </row>
    <row r="1035" spans="1:5">
      <c r="A1035" s="3">
        <v>99.3</v>
      </c>
      <c r="B1035" s="2">
        <v>14.1</v>
      </c>
      <c r="C1035">
        <f t="shared" si="48"/>
        <v>14.135333729574223</v>
      </c>
      <c r="D1035" s="2">
        <f t="shared" si="49"/>
        <v>3.5333729574222872E-2</v>
      </c>
      <c r="E1035" s="2">
        <f t="shared" si="50"/>
        <v>1.248472445624312E-3</v>
      </c>
    </row>
    <row r="1036" spans="1:5">
      <c r="A1036" s="3">
        <v>99.3</v>
      </c>
      <c r="B1036" s="2">
        <v>13.7</v>
      </c>
      <c r="C1036">
        <f t="shared" si="48"/>
        <v>14.135333729574223</v>
      </c>
      <c r="D1036" s="2">
        <f t="shared" si="49"/>
        <v>0.43533372957422323</v>
      </c>
      <c r="E1036" s="2">
        <f t="shared" si="50"/>
        <v>0.18951545610500292</v>
      </c>
    </row>
    <row r="1037" spans="1:5">
      <c r="A1037" s="3">
        <v>99.3</v>
      </c>
      <c r="B1037" s="2">
        <v>15.7</v>
      </c>
      <c r="C1037">
        <f t="shared" si="48"/>
        <v>14.135333729574223</v>
      </c>
      <c r="D1037" s="2">
        <f t="shared" si="49"/>
        <v>-1.5646662704257768</v>
      </c>
      <c r="E1037" s="2">
        <f t="shared" si="50"/>
        <v>2.4481805378081098</v>
      </c>
    </row>
    <row r="1038" spans="1:5">
      <c r="A1038" s="3">
        <v>99.4</v>
      </c>
      <c r="B1038" s="2">
        <v>15.3</v>
      </c>
      <c r="C1038">
        <f t="shared" si="48"/>
        <v>14.156295669565138</v>
      </c>
      <c r="D1038" s="2">
        <f t="shared" si="49"/>
        <v>-1.1437043304348631</v>
      </c>
      <c r="E1038" s="2">
        <f t="shared" si="50"/>
        <v>1.3080595954554586</v>
      </c>
    </row>
    <row r="1039" spans="1:5">
      <c r="A1039" s="3">
        <v>99.4</v>
      </c>
      <c r="B1039" s="2">
        <v>13.8</v>
      </c>
      <c r="C1039">
        <f t="shared" si="48"/>
        <v>14.156295669565138</v>
      </c>
      <c r="D1039" s="2">
        <f t="shared" si="49"/>
        <v>0.35629566956513692</v>
      </c>
      <c r="E1039" s="2">
        <f t="shared" si="50"/>
        <v>0.12694660415086922</v>
      </c>
    </row>
    <row r="1040" spans="1:5">
      <c r="A1040" s="3">
        <v>99.5</v>
      </c>
      <c r="B1040" s="2">
        <v>14.6</v>
      </c>
      <c r="C1040">
        <f t="shared" si="48"/>
        <v>14.177257609556053</v>
      </c>
      <c r="D1040" s="2">
        <f t="shared" si="49"/>
        <v>-0.4227423904439469</v>
      </c>
      <c r="E1040" s="2">
        <f t="shared" si="50"/>
        <v>0.17871112867826244</v>
      </c>
    </row>
    <row r="1041" spans="1:5">
      <c r="A1041" s="3">
        <v>99.5</v>
      </c>
      <c r="B1041" s="2">
        <v>14.9</v>
      </c>
      <c r="C1041">
        <f t="shared" si="48"/>
        <v>14.177257609556053</v>
      </c>
      <c r="D1041" s="2">
        <f t="shared" si="49"/>
        <v>-0.72274239044394761</v>
      </c>
      <c r="E1041" s="2">
        <f t="shared" si="50"/>
        <v>0.52235656294463162</v>
      </c>
    </row>
    <row r="1042" spans="1:5">
      <c r="A1042" s="3">
        <v>99.5</v>
      </c>
      <c r="B1042" s="2">
        <v>16.399999999999999</v>
      </c>
      <c r="C1042">
        <f t="shared" si="48"/>
        <v>14.177257609556053</v>
      </c>
      <c r="D1042" s="2">
        <f t="shared" si="49"/>
        <v>-2.2227423904439458</v>
      </c>
      <c r="E1042" s="2">
        <f t="shared" si="50"/>
        <v>4.9405837342764665</v>
      </c>
    </row>
    <row r="1043" spans="1:5">
      <c r="A1043" s="3">
        <v>99.5</v>
      </c>
      <c r="B1043" s="2">
        <v>14.3</v>
      </c>
      <c r="C1043">
        <f t="shared" si="48"/>
        <v>14.177257609556053</v>
      </c>
      <c r="D1043" s="2">
        <f t="shared" si="49"/>
        <v>-0.12274239044394797</v>
      </c>
      <c r="E1043" s="2">
        <f t="shared" si="50"/>
        <v>1.506569441189457E-2</v>
      </c>
    </row>
    <row r="1044" spans="1:5">
      <c r="A1044" s="3">
        <v>99.6</v>
      </c>
      <c r="B1044" s="2">
        <v>16.100000000000001</v>
      </c>
      <c r="C1044">
        <f t="shared" si="48"/>
        <v>14.198219549546964</v>
      </c>
      <c r="D1044" s="2">
        <f t="shared" si="49"/>
        <v>-1.9017804504530371</v>
      </c>
      <c r="E1044" s="2">
        <f t="shared" si="50"/>
        <v>3.6167688817253567</v>
      </c>
    </row>
    <row r="1045" spans="1:5">
      <c r="A1045" s="3">
        <v>99.7</v>
      </c>
      <c r="B1045" s="2">
        <v>14.4</v>
      </c>
      <c r="C1045">
        <f t="shared" si="48"/>
        <v>14.219181489537883</v>
      </c>
      <c r="D1045" s="2">
        <f t="shared" si="49"/>
        <v>-0.18081851046211739</v>
      </c>
      <c r="E1045" s="2">
        <f t="shared" si="50"/>
        <v>3.2695333725738858E-2</v>
      </c>
    </row>
    <row r="1046" spans="1:5">
      <c r="A1046" s="3">
        <v>99.7</v>
      </c>
      <c r="B1046" s="2">
        <v>14.3</v>
      </c>
      <c r="C1046">
        <f t="shared" si="48"/>
        <v>14.219181489537883</v>
      </c>
      <c r="D1046" s="2">
        <f t="shared" si="49"/>
        <v>-8.0818510462117743E-2</v>
      </c>
      <c r="E1046" s="2">
        <f t="shared" si="50"/>
        <v>6.5316316333154352E-3</v>
      </c>
    </row>
    <row r="1047" spans="1:5">
      <c r="A1047" s="3">
        <v>99.7</v>
      </c>
      <c r="B1047" s="2">
        <v>13.2</v>
      </c>
      <c r="C1047">
        <f t="shared" si="48"/>
        <v>14.219181489537883</v>
      </c>
      <c r="D1047" s="2">
        <f t="shared" si="49"/>
        <v>1.0191814895378837</v>
      </c>
      <c r="E1047" s="2">
        <f t="shared" si="50"/>
        <v>1.0387309086166594</v>
      </c>
    </row>
    <row r="1048" spans="1:5">
      <c r="A1048" s="3">
        <v>99.8</v>
      </c>
      <c r="B1048" s="2">
        <v>14.2</v>
      </c>
      <c r="C1048">
        <f t="shared" si="48"/>
        <v>14.240143429528795</v>
      </c>
      <c r="D1048" s="2">
        <f t="shared" si="49"/>
        <v>4.0143429528795238E-2</v>
      </c>
      <c r="E1048" s="2">
        <f t="shared" si="50"/>
        <v>1.6114949343333494E-3</v>
      </c>
    </row>
    <row r="1049" spans="1:5">
      <c r="A1049" s="3">
        <v>99.8</v>
      </c>
      <c r="B1049" s="2">
        <v>14.5</v>
      </c>
      <c r="C1049">
        <f t="shared" si="48"/>
        <v>14.240143429528795</v>
      </c>
      <c r="D1049" s="2">
        <f t="shared" si="49"/>
        <v>-0.25985657047120547</v>
      </c>
      <c r="E1049" s="2">
        <f t="shared" si="50"/>
        <v>6.7525437217056575E-2</v>
      </c>
    </row>
    <row r="1050" spans="1:5">
      <c r="A1050" s="3">
        <v>99.8</v>
      </c>
      <c r="B1050" s="2">
        <v>15.1</v>
      </c>
      <c r="C1050">
        <f t="shared" si="48"/>
        <v>14.240143429528795</v>
      </c>
      <c r="D1050" s="2">
        <f t="shared" si="49"/>
        <v>-0.85985657047120512</v>
      </c>
      <c r="E1050" s="2">
        <f t="shared" si="50"/>
        <v>0.73935332178250257</v>
      </c>
    </row>
    <row r="1051" spans="1:5">
      <c r="A1051" s="3">
        <v>100.1</v>
      </c>
      <c r="B1051" s="2">
        <v>16</v>
      </c>
      <c r="C1051">
        <f t="shared" si="48"/>
        <v>14.30302924950154</v>
      </c>
      <c r="D1051" s="2">
        <f t="shared" si="49"/>
        <v>-1.6969707504984601</v>
      </c>
      <c r="E1051" s="2">
        <f t="shared" si="50"/>
        <v>2.879709728047307</v>
      </c>
    </row>
    <row r="1052" spans="1:5">
      <c r="A1052" s="3">
        <v>100.4</v>
      </c>
      <c r="B1052" s="2">
        <v>15.1</v>
      </c>
      <c r="C1052">
        <f t="shared" si="48"/>
        <v>14.365915069474285</v>
      </c>
      <c r="D1052" s="2">
        <f t="shared" si="49"/>
        <v>-0.73408493052571444</v>
      </c>
      <c r="E1052" s="2">
        <f t="shared" si="50"/>
        <v>0.53888068522494303</v>
      </c>
    </row>
    <row r="1053" spans="1:5">
      <c r="A1053" s="3">
        <v>100.5</v>
      </c>
      <c r="B1053" s="2">
        <v>15.4</v>
      </c>
      <c r="C1053">
        <f t="shared" si="48"/>
        <v>14.386877009465197</v>
      </c>
      <c r="D1053" s="2">
        <f t="shared" si="49"/>
        <v>-1.0131229905348036</v>
      </c>
      <c r="E1053" s="2">
        <f t="shared" si="50"/>
        <v>1.0264181939501837</v>
      </c>
    </row>
    <row r="1054" spans="1:5">
      <c r="A1054" s="3">
        <v>100.7</v>
      </c>
      <c r="B1054" s="2">
        <v>15.7</v>
      </c>
      <c r="C1054">
        <f t="shared" si="48"/>
        <v>14.428800889447027</v>
      </c>
      <c r="D1054" s="2">
        <f t="shared" si="49"/>
        <v>-1.2711991105529723</v>
      </c>
      <c r="E1054" s="2">
        <f t="shared" si="50"/>
        <v>1.6159471786706678</v>
      </c>
    </row>
    <row r="1055" spans="1:5">
      <c r="A1055" s="3">
        <v>100.7</v>
      </c>
      <c r="B1055" s="2">
        <v>13.2</v>
      </c>
      <c r="C1055">
        <f t="shared" si="48"/>
        <v>14.428800889447027</v>
      </c>
      <c r="D1055" s="2">
        <f t="shared" si="49"/>
        <v>1.2288008894470277</v>
      </c>
      <c r="E1055" s="2">
        <f t="shared" si="50"/>
        <v>1.5099516259058063</v>
      </c>
    </row>
    <row r="1056" spans="1:5">
      <c r="A1056" s="3">
        <v>101</v>
      </c>
      <c r="B1056" s="2">
        <v>12.6</v>
      </c>
      <c r="C1056">
        <f t="shared" si="48"/>
        <v>14.491686709419772</v>
      </c>
      <c r="D1056" s="2">
        <f t="shared" si="49"/>
        <v>1.8916867094197727</v>
      </c>
      <c r="E1056" s="2">
        <f t="shared" si="50"/>
        <v>3.5784786065954073</v>
      </c>
    </row>
    <row r="1057" spans="1:5">
      <c r="A1057" s="3">
        <v>101</v>
      </c>
      <c r="B1057" s="2">
        <v>14.1</v>
      </c>
      <c r="C1057">
        <f t="shared" si="48"/>
        <v>14.491686709419772</v>
      </c>
      <c r="D1057" s="2">
        <f t="shared" si="49"/>
        <v>0.39168670941977268</v>
      </c>
      <c r="E1057" s="2">
        <f t="shared" si="50"/>
        <v>0.15341847833608943</v>
      </c>
    </row>
    <row r="1058" spans="1:5">
      <c r="A1058" s="3">
        <v>101.1</v>
      </c>
      <c r="B1058" s="2">
        <v>15.3</v>
      </c>
      <c r="C1058">
        <f t="shared" si="48"/>
        <v>14.512648649410684</v>
      </c>
      <c r="D1058" s="2">
        <f t="shared" si="49"/>
        <v>-0.78735135058931682</v>
      </c>
      <c r="E1058" s="2">
        <f t="shared" si="50"/>
        <v>0.61992214927482125</v>
      </c>
    </row>
    <row r="1059" spans="1:5">
      <c r="A1059" s="3">
        <v>101.2</v>
      </c>
      <c r="B1059" s="2">
        <v>16.8</v>
      </c>
      <c r="C1059">
        <f t="shared" si="48"/>
        <v>14.533610589401603</v>
      </c>
      <c r="D1059" s="2">
        <f t="shared" si="49"/>
        <v>-2.2663894105983982</v>
      </c>
      <c r="E1059" s="2">
        <f t="shared" si="50"/>
        <v>5.1365209604725548</v>
      </c>
    </row>
    <row r="1060" spans="1:5">
      <c r="A1060" s="3">
        <v>101.4</v>
      </c>
      <c r="B1060" s="2">
        <v>18.7</v>
      </c>
      <c r="C1060">
        <f t="shared" si="48"/>
        <v>14.575534469383429</v>
      </c>
      <c r="D1060" s="2">
        <f t="shared" si="49"/>
        <v>-4.1244655306165701</v>
      </c>
      <c r="E1060" s="2">
        <f t="shared" si="50"/>
        <v>17.011215913244225</v>
      </c>
    </row>
    <row r="1061" spans="1:5">
      <c r="A1061" s="3">
        <v>101.5</v>
      </c>
      <c r="B1061" s="2">
        <v>14.5</v>
      </c>
      <c r="C1061">
        <f t="shared" si="48"/>
        <v>14.596496409374344</v>
      </c>
      <c r="D1061" s="2">
        <f t="shared" si="49"/>
        <v>9.6496409374344339E-2</v>
      </c>
      <c r="E1061" s="2">
        <f t="shared" si="50"/>
        <v>9.3115570221410492E-3</v>
      </c>
    </row>
    <row r="1062" spans="1:5">
      <c r="A1062" s="3">
        <v>101.8</v>
      </c>
      <c r="B1062" s="2">
        <v>16</v>
      </c>
      <c r="C1062">
        <f t="shared" si="48"/>
        <v>14.659382229347086</v>
      </c>
      <c r="D1062" s="2">
        <f t="shared" si="49"/>
        <v>-1.3406177706529139</v>
      </c>
      <c r="E1062" s="2">
        <f t="shared" si="50"/>
        <v>1.7972560069903889</v>
      </c>
    </row>
    <row r="1063" spans="1:5">
      <c r="A1063" s="3">
        <v>102</v>
      </c>
      <c r="B1063" s="2">
        <v>16.100000000000001</v>
      </c>
      <c r="C1063">
        <f t="shared" si="48"/>
        <v>14.701306109328916</v>
      </c>
      <c r="D1063" s="2">
        <f t="shared" si="49"/>
        <v>-1.3986938906710851</v>
      </c>
      <c r="E1063" s="2">
        <f t="shared" si="50"/>
        <v>1.9563445998006173</v>
      </c>
    </row>
    <row r="1064" spans="1:5">
      <c r="A1064" s="3">
        <v>102</v>
      </c>
      <c r="B1064" s="2">
        <v>14.5</v>
      </c>
      <c r="C1064">
        <f t="shared" si="48"/>
        <v>14.701306109328916</v>
      </c>
      <c r="D1064" s="2">
        <f t="shared" si="49"/>
        <v>0.20130610932891635</v>
      </c>
      <c r="E1064" s="2">
        <f t="shared" si="50"/>
        <v>4.0524149653145623E-2</v>
      </c>
    </row>
    <row r="1065" spans="1:5">
      <c r="A1065" s="3">
        <v>102</v>
      </c>
      <c r="B1065" s="2">
        <v>14.3</v>
      </c>
      <c r="C1065">
        <f t="shared" si="48"/>
        <v>14.701306109328916</v>
      </c>
      <c r="D1065" s="2">
        <f t="shared" si="49"/>
        <v>0.40130610932891564</v>
      </c>
      <c r="E1065" s="2">
        <f t="shared" si="50"/>
        <v>0.16104659338471158</v>
      </c>
    </row>
    <row r="1066" spans="1:5">
      <c r="A1066" s="3">
        <v>102.3</v>
      </c>
      <c r="B1066" s="2">
        <v>15.4</v>
      </c>
      <c r="C1066">
        <f t="shared" si="48"/>
        <v>14.764191929301662</v>
      </c>
      <c r="D1066" s="2">
        <f t="shared" si="49"/>
        <v>-0.63580807069833867</v>
      </c>
      <c r="E1066" s="2">
        <f t="shared" si="50"/>
        <v>0.40425190276514361</v>
      </c>
    </row>
    <row r="1067" spans="1:5">
      <c r="A1067" s="3">
        <v>102.3</v>
      </c>
      <c r="B1067" s="2">
        <v>15.4</v>
      </c>
      <c r="C1067">
        <f t="shared" si="48"/>
        <v>14.764191929301662</v>
      </c>
      <c r="D1067" s="2">
        <f t="shared" si="49"/>
        <v>-0.63580807069833867</v>
      </c>
      <c r="E1067" s="2">
        <f t="shared" si="50"/>
        <v>0.40425190276514361</v>
      </c>
    </row>
    <row r="1068" spans="1:5">
      <c r="A1068" s="3">
        <v>102.5</v>
      </c>
      <c r="B1068" s="2">
        <v>15.6</v>
      </c>
      <c r="C1068">
        <f t="shared" si="48"/>
        <v>14.806115809283492</v>
      </c>
      <c r="D1068" s="2">
        <f t="shared" si="49"/>
        <v>-0.79388419071650773</v>
      </c>
      <c r="E1068" s="2">
        <f t="shared" si="50"/>
        <v>0.63025210826960443</v>
      </c>
    </row>
    <row r="1069" spans="1:5">
      <c r="A1069" s="3">
        <v>102.5</v>
      </c>
      <c r="B1069" s="2">
        <v>14.2</v>
      </c>
      <c r="C1069">
        <f t="shared" si="48"/>
        <v>14.806115809283492</v>
      </c>
      <c r="D1069" s="2">
        <f t="shared" si="49"/>
        <v>0.60611580928349262</v>
      </c>
      <c r="E1069" s="2">
        <f t="shared" si="50"/>
        <v>0.36737637426338321</v>
      </c>
    </row>
    <row r="1070" spans="1:5">
      <c r="A1070" s="3">
        <v>103.3</v>
      </c>
      <c r="B1070" s="2">
        <v>14.4</v>
      </c>
      <c r="C1070">
        <f t="shared" si="48"/>
        <v>14.973811329210806</v>
      </c>
      <c r="D1070" s="2">
        <f t="shared" si="49"/>
        <v>0.57381132921080535</v>
      </c>
      <c r="E1070" s="2">
        <f t="shared" si="50"/>
        <v>0.32925944153067122</v>
      </c>
    </row>
    <row r="1071" spans="1:5">
      <c r="A1071" s="3">
        <v>103.5</v>
      </c>
      <c r="B1071" s="2">
        <v>12.2</v>
      </c>
      <c r="C1071">
        <f t="shared" si="48"/>
        <v>15.015735209192636</v>
      </c>
      <c r="D1071" s="2">
        <f t="shared" si="49"/>
        <v>2.8157352091926366</v>
      </c>
      <c r="E1071" s="2">
        <f t="shared" si="50"/>
        <v>7.9283647682871017</v>
      </c>
    </row>
    <row r="1072" spans="1:5">
      <c r="A1072" s="3">
        <v>103.6</v>
      </c>
      <c r="B1072" s="2">
        <v>16</v>
      </c>
      <c r="C1072">
        <f t="shared" si="48"/>
        <v>15.036697149183551</v>
      </c>
      <c r="D1072" s="2">
        <f t="shared" si="49"/>
        <v>-0.96330285081644895</v>
      </c>
      <c r="E1072" s="2">
        <f t="shared" si="50"/>
        <v>0.92795238239109767</v>
      </c>
    </row>
    <row r="1073" spans="1:5">
      <c r="A1073" s="3">
        <v>103.6</v>
      </c>
      <c r="B1073" s="2">
        <v>15.8</v>
      </c>
      <c r="C1073">
        <f t="shared" si="48"/>
        <v>15.036697149183551</v>
      </c>
      <c r="D1073" s="2">
        <f t="shared" si="49"/>
        <v>-0.76330285081644966</v>
      </c>
      <c r="E1073" s="2">
        <f t="shared" si="50"/>
        <v>0.58263124206451922</v>
      </c>
    </row>
    <row r="1074" spans="1:5">
      <c r="A1074" s="3">
        <v>104</v>
      </c>
      <c r="B1074" s="2">
        <v>15.6</v>
      </c>
      <c r="C1074">
        <f t="shared" si="48"/>
        <v>15.120544909147211</v>
      </c>
      <c r="D1074" s="2">
        <f t="shared" si="49"/>
        <v>-0.47945509085278815</v>
      </c>
      <c r="E1074" s="2">
        <f t="shared" si="50"/>
        <v>0.22987718414465533</v>
      </c>
    </row>
    <row r="1075" spans="1:5">
      <c r="A1075" s="3">
        <v>105</v>
      </c>
      <c r="B1075" s="2">
        <v>13.4</v>
      </c>
      <c r="C1075">
        <f t="shared" si="48"/>
        <v>15.330164309056356</v>
      </c>
      <c r="D1075" s="2">
        <f t="shared" si="49"/>
        <v>1.9301643090563552</v>
      </c>
      <c r="E1075" s="2">
        <f t="shared" si="50"/>
        <v>3.7255342599549968</v>
      </c>
    </row>
    <row r="1076" spans="1:5">
      <c r="A1076" s="3">
        <v>105.2</v>
      </c>
      <c r="B1076" s="2">
        <v>15.7</v>
      </c>
      <c r="C1076">
        <f t="shared" si="48"/>
        <v>15.372088189038186</v>
      </c>
      <c r="D1076" s="2">
        <f t="shared" si="49"/>
        <v>-0.32791181096181354</v>
      </c>
      <c r="E1076" s="2">
        <f t="shared" si="50"/>
        <v>0.10752615576825614</v>
      </c>
    </row>
    <row r="1077" spans="1:5">
      <c r="A1077" s="3">
        <v>105.3</v>
      </c>
      <c r="B1077" s="2">
        <v>16.5</v>
      </c>
      <c r="C1077">
        <f t="shared" si="48"/>
        <v>15.393050129029101</v>
      </c>
      <c r="D1077" s="2">
        <f t="shared" si="49"/>
        <v>-1.1069498709708991</v>
      </c>
      <c r="E1077" s="2">
        <f t="shared" si="50"/>
        <v>1.2253380168424903</v>
      </c>
    </row>
    <row r="1078" spans="1:5">
      <c r="A1078" s="3">
        <v>105.5</v>
      </c>
      <c r="B1078" s="2">
        <v>17.7</v>
      </c>
      <c r="C1078">
        <f t="shared" si="48"/>
        <v>15.434974009010931</v>
      </c>
      <c r="D1078" s="2">
        <f t="shared" si="49"/>
        <v>-2.2650259909890682</v>
      </c>
      <c r="E1078" s="2">
        <f t="shared" si="50"/>
        <v>5.1303427398560109</v>
      </c>
    </row>
    <row r="1079" spans="1:5">
      <c r="A1079" s="3">
        <v>105.8</v>
      </c>
      <c r="B1079" s="2">
        <v>15.5</v>
      </c>
      <c r="C1079">
        <f t="shared" si="48"/>
        <v>15.497859828983673</v>
      </c>
      <c r="D1079" s="2">
        <f t="shared" si="49"/>
        <v>-2.1401710163271304E-3</v>
      </c>
      <c r="E1079" s="2">
        <f t="shared" si="50"/>
        <v>4.5803319791267018E-6</v>
      </c>
    </row>
    <row r="1080" spans="1:5">
      <c r="A1080" s="3">
        <v>106.2</v>
      </c>
      <c r="B1080" s="2">
        <v>15.6</v>
      </c>
      <c r="C1080">
        <f t="shared" si="48"/>
        <v>15.581707588947333</v>
      </c>
      <c r="D1080" s="2">
        <f t="shared" si="49"/>
        <v>-1.8292411052666324E-2</v>
      </c>
      <c r="E1080" s="2">
        <f t="shared" si="50"/>
        <v>3.3461230211970911E-4</v>
      </c>
    </row>
    <row r="1081" spans="1:5">
      <c r="A1081" s="3">
        <v>110.1</v>
      </c>
      <c r="B1081" s="2">
        <v>14.4</v>
      </c>
      <c r="C1081">
        <f t="shared" si="48"/>
        <v>16.399223248593003</v>
      </c>
      <c r="D1081" s="2">
        <f t="shared" si="49"/>
        <v>1.9992232485930028</v>
      </c>
      <c r="E1081" s="2">
        <f t="shared" si="50"/>
        <v>3.9968935977147595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SuckhoeTreEmV2</vt:lpstr>
      <vt:lpstr>w1Task 2</vt:lpstr>
      <vt:lpstr>w1task 3</vt:lpstr>
      <vt:lpstr>w2task 1</vt:lpstr>
      <vt:lpstr>w2task 2</vt:lpstr>
      <vt:lpstr>w2task4</vt:lpstr>
      <vt:lpstr>w2task5</vt:lpstr>
      <vt:lpstr>SE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Trung Dao</cp:lastModifiedBy>
  <dcterms:created xsi:type="dcterms:W3CDTF">2011-08-02T14:22:00Z</dcterms:created>
  <dcterms:modified xsi:type="dcterms:W3CDTF">2026-04-13T20:53:47Z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