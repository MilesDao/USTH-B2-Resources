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8" yWindow="-108" windowWidth="15492" windowHeight="10656" activeTab="10"/>
  </bookViews>
  <sheets>
    <sheet name="HocVienCaoHoc" sheetId="1" r:id="rId1"/>
    <sheet name="Sheet2" sheetId="7" r:id="rId2"/>
    <sheet name="Sheet4" sheetId="8" r:id="rId3"/>
    <sheet name="Sheet7" sheetId="11" r:id="rId4"/>
    <sheet name="Sheet8" sheetId="12" r:id="rId5"/>
    <sheet name="Sheet9" sheetId="13" r:id="rId6"/>
    <sheet name="Sheet10" sheetId="14" r:id="rId7"/>
    <sheet name="Sheet13" sheetId="17" r:id="rId8"/>
    <sheet name="Sheet11" sheetId="15" r:id="rId9"/>
    <sheet name="Sheet12" sheetId="16" r:id="rId10"/>
    <sheet name="Sheet14" sheetId="18" r:id="rId11"/>
  </sheets>
  <calcPr calcId="124519"/>
</workbook>
</file>

<file path=xl/calcChain.xml><?xml version="1.0" encoding="utf-8"?>
<calcChain xmlns="http://schemas.openxmlformats.org/spreadsheetml/2006/main">
  <c r="I20" i="14"/>
  <c r="H20"/>
  <c r="G20"/>
  <c r="F20"/>
  <c r="I19"/>
  <c r="H19"/>
  <c r="G19"/>
  <c r="I14"/>
  <c r="H14"/>
  <c r="G14"/>
  <c r="F14"/>
  <c r="I13"/>
  <c r="H13"/>
  <c r="G13"/>
  <c r="G9"/>
  <c r="H9"/>
  <c r="I9"/>
  <c r="F9"/>
  <c r="F11" i="7"/>
  <c r="J30" i="16"/>
  <c r="J23"/>
  <c r="J21"/>
  <c r="K20"/>
  <c r="I20"/>
  <c r="J20"/>
  <c r="C46"/>
  <c r="D46" s="1"/>
  <c r="C45"/>
  <c r="C44"/>
  <c r="D44" s="1"/>
  <c r="C43"/>
  <c r="C42"/>
  <c r="C41"/>
  <c r="C40"/>
  <c r="D40" s="1"/>
  <c r="C39"/>
  <c r="C38"/>
  <c r="C37"/>
  <c r="C36"/>
  <c r="D36" s="1"/>
  <c r="C35"/>
  <c r="C34"/>
  <c r="C33"/>
  <c r="C32"/>
  <c r="D32" s="1"/>
  <c r="C31"/>
  <c r="C30"/>
  <c r="C29"/>
  <c r="C28"/>
  <c r="D28" s="1"/>
  <c r="C27"/>
  <c r="C26"/>
  <c r="C25"/>
  <c r="C24"/>
  <c r="D24" s="1"/>
  <c r="C23"/>
  <c r="C22"/>
  <c r="C21"/>
  <c r="C20"/>
  <c r="D20" s="1"/>
  <c r="C19"/>
  <c r="C18"/>
  <c r="C17"/>
  <c r="C16"/>
  <c r="D16" s="1"/>
  <c r="C15"/>
  <c r="C14"/>
  <c r="C13"/>
  <c r="C12"/>
  <c r="D12" s="1"/>
  <c r="C11"/>
  <c r="C10"/>
  <c r="C9"/>
  <c r="C8"/>
  <c r="D8" s="1"/>
  <c r="C7"/>
  <c r="C6"/>
  <c r="C5"/>
  <c r="C4"/>
  <c r="D4" s="1"/>
  <c r="C3"/>
  <c r="I4"/>
  <c r="F28" i="12"/>
  <c r="K29" i="18"/>
  <c r="K22"/>
  <c r="K21"/>
  <c r="L20"/>
  <c r="J20"/>
  <c r="K20"/>
  <c r="K5"/>
  <c r="K4"/>
  <c r="C4" s="1"/>
  <c r="D4" s="1"/>
  <c r="E4" s="1"/>
  <c r="K24" i="17"/>
  <c r="K8"/>
  <c r="K18" s="1"/>
  <c r="D44"/>
  <c r="D40"/>
  <c r="D36"/>
  <c r="D32"/>
  <c r="D28"/>
  <c r="D24"/>
  <c r="D20"/>
  <c r="D16"/>
  <c r="D12"/>
  <c r="D8"/>
  <c r="C46"/>
  <c r="D46" s="1"/>
  <c r="C45"/>
  <c r="D45" s="1"/>
  <c r="C44"/>
  <c r="C43"/>
  <c r="D43" s="1"/>
  <c r="C42"/>
  <c r="D42" s="1"/>
  <c r="C41"/>
  <c r="D41" s="1"/>
  <c r="C40"/>
  <c r="C39"/>
  <c r="D39" s="1"/>
  <c r="C38"/>
  <c r="D38" s="1"/>
  <c r="C37"/>
  <c r="D37" s="1"/>
  <c r="C36"/>
  <c r="C35"/>
  <c r="D35" s="1"/>
  <c r="C34"/>
  <c r="D34" s="1"/>
  <c r="C33"/>
  <c r="D33" s="1"/>
  <c r="C32"/>
  <c r="C31"/>
  <c r="D31" s="1"/>
  <c r="C30"/>
  <c r="D30" s="1"/>
  <c r="C29"/>
  <c r="D29" s="1"/>
  <c r="C28"/>
  <c r="C27"/>
  <c r="D27" s="1"/>
  <c r="C26"/>
  <c r="D26" s="1"/>
  <c r="C25"/>
  <c r="D25" s="1"/>
  <c r="C24"/>
  <c r="C23"/>
  <c r="D23" s="1"/>
  <c r="C22"/>
  <c r="D22" s="1"/>
  <c r="C21"/>
  <c r="D21" s="1"/>
  <c r="C20"/>
  <c r="C19"/>
  <c r="D19" s="1"/>
  <c r="C18"/>
  <c r="D18" s="1"/>
  <c r="C17"/>
  <c r="D17" s="1"/>
  <c r="C16"/>
  <c r="C15"/>
  <c r="D15" s="1"/>
  <c r="C14"/>
  <c r="D14" s="1"/>
  <c r="C13"/>
  <c r="D13" s="1"/>
  <c r="C12"/>
  <c r="C11"/>
  <c r="D11" s="1"/>
  <c r="C10"/>
  <c r="D10" s="1"/>
  <c r="C9"/>
  <c r="D9" s="1"/>
  <c r="C8"/>
  <c r="C7"/>
  <c r="D7" s="1"/>
  <c r="G11"/>
  <c r="G12" s="1"/>
  <c r="G13" s="1"/>
  <c r="K10"/>
  <c r="J11" s="1"/>
  <c r="J12" s="1"/>
  <c r="J9"/>
  <c r="I9"/>
  <c r="I11" s="1"/>
  <c r="I12" s="1"/>
  <c r="H9"/>
  <c r="H11" s="1"/>
  <c r="H12" s="1"/>
  <c r="G9"/>
  <c r="C3" s="1"/>
  <c r="D3" s="1"/>
  <c r="J8"/>
  <c r="I8"/>
  <c r="I13" s="1"/>
  <c r="H8"/>
  <c r="G8"/>
  <c r="J11" i="16"/>
  <c r="J12" s="1"/>
  <c r="D3"/>
  <c r="D5"/>
  <c r="D6"/>
  <c r="D7"/>
  <c r="D9"/>
  <c r="D10"/>
  <c r="D11"/>
  <c r="D13"/>
  <c r="D14"/>
  <c r="D15"/>
  <c r="D17"/>
  <c r="D18"/>
  <c r="D19"/>
  <c r="D21"/>
  <c r="D22"/>
  <c r="D23"/>
  <c r="D25"/>
  <c r="D26"/>
  <c r="D27"/>
  <c r="D29"/>
  <c r="D30"/>
  <c r="D31"/>
  <c r="D33"/>
  <c r="D34"/>
  <c r="D35"/>
  <c r="D37"/>
  <c r="D38"/>
  <c r="D39"/>
  <c r="D41"/>
  <c r="D42"/>
  <c r="D43"/>
  <c r="D45"/>
  <c r="D2"/>
  <c r="C2"/>
  <c r="G5"/>
  <c r="G4"/>
  <c r="K23" i="15"/>
  <c r="K17"/>
  <c r="K16"/>
  <c r="K14"/>
  <c r="H13"/>
  <c r="I13"/>
  <c r="J13"/>
  <c r="G13"/>
  <c r="K15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2"/>
  <c r="C43"/>
  <c r="C44"/>
  <c r="C45"/>
  <c r="C46"/>
  <c r="C42"/>
  <c r="C26"/>
  <c r="C27"/>
  <c r="C28"/>
  <c r="C29"/>
  <c r="C30"/>
  <c r="C31"/>
  <c r="C32"/>
  <c r="C33"/>
  <c r="C34"/>
  <c r="C35"/>
  <c r="C36"/>
  <c r="C37"/>
  <c r="C38"/>
  <c r="C39"/>
  <c r="C40"/>
  <c r="C41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G11"/>
  <c r="G12" s="1"/>
  <c r="K10"/>
  <c r="J9"/>
  <c r="J11" s="1"/>
  <c r="J12" s="1"/>
  <c r="I9"/>
  <c r="I11" s="1"/>
  <c r="I12" s="1"/>
  <c r="H9"/>
  <c r="H11" s="1"/>
  <c r="H12" s="1"/>
  <c r="G9"/>
  <c r="C3" s="1"/>
  <c r="J8"/>
  <c r="I8"/>
  <c r="H8"/>
  <c r="G8"/>
  <c r="K8" s="1"/>
  <c r="C46" i="18" l="1"/>
  <c r="D46" s="1"/>
  <c r="E46" s="1"/>
  <c r="C38"/>
  <c r="D38" s="1"/>
  <c r="E38" s="1"/>
  <c r="C30"/>
  <c r="D30" s="1"/>
  <c r="E30" s="1"/>
  <c r="C18"/>
  <c r="D18" s="1"/>
  <c r="E18" s="1"/>
  <c r="C10"/>
  <c r="D10" s="1"/>
  <c r="E10" s="1"/>
  <c r="C2"/>
  <c r="C45"/>
  <c r="D45" s="1"/>
  <c r="E45" s="1"/>
  <c r="C41"/>
  <c r="D41" s="1"/>
  <c r="E41" s="1"/>
  <c r="C37"/>
  <c r="D37" s="1"/>
  <c r="E37" s="1"/>
  <c r="C33"/>
  <c r="D33" s="1"/>
  <c r="E33" s="1"/>
  <c r="C29"/>
  <c r="D29" s="1"/>
  <c r="E29" s="1"/>
  <c r="C25"/>
  <c r="D25" s="1"/>
  <c r="E25" s="1"/>
  <c r="C21"/>
  <c r="D21" s="1"/>
  <c r="E21" s="1"/>
  <c r="C17"/>
  <c r="D17" s="1"/>
  <c r="E17" s="1"/>
  <c r="C13"/>
  <c r="D13" s="1"/>
  <c r="E13" s="1"/>
  <c r="C9"/>
  <c r="D9" s="1"/>
  <c r="E9" s="1"/>
  <c r="C5"/>
  <c r="D5" s="1"/>
  <c r="E5" s="1"/>
  <c r="C43"/>
  <c r="D43" s="1"/>
  <c r="E43" s="1"/>
  <c r="C39"/>
  <c r="D39" s="1"/>
  <c r="E39" s="1"/>
  <c r="C35"/>
  <c r="D35" s="1"/>
  <c r="E35" s="1"/>
  <c r="C31"/>
  <c r="D31" s="1"/>
  <c r="E31" s="1"/>
  <c r="C27"/>
  <c r="D27" s="1"/>
  <c r="E27" s="1"/>
  <c r="C23"/>
  <c r="D23" s="1"/>
  <c r="E23" s="1"/>
  <c r="C19"/>
  <c r="D19" s="1"/>
  <c r="E19" s="1"/>
  <c r="C15"/>
  <c r="D15" s="1"/>
  <c r="E15" s="1"/>
  <c r="C11"/>
  <c r="D11" s="1"/>
  <c r="E11" s="1"/>
  <c r="C7"/>
  <c r="D7" s="1"/>
  <c r="E7" s="1"/>
  <c r="C3"/>
  <c r="D3" s="1"/>
  <c r="E3" s="1"/>
  <c r="C42"/>
  <c r="D42" s="1"/>
  <c r="E42" s="1"/>
  <c r="C34"/>
  <c r="D34" s="1"/>
  <c r="E34" s="1"/>
  <c r="C26"/>
  <c r="D26" s="1"/>
  <c r="E26" s="1"/>
  <c r="C22"/>
  <c r="D22" s="1"/>
  <c r="E22" s="1"/>
  <c r="C14"/>
  <c r="D14" s="1"/>
  <c r="E14" s="1"/>
  <c r="C6"/>
  <c r="D6" s="1"/>
  <c r="E6" s="1"/>
  <c r="C44"/>
  <c r="D44" s="1"/>
  <c r="E44" s="1"/>
  <c r="C40"/>
  <c r="D40" s="1"/>
  <c r="E40" s="1"/>
  <c r="C36"/>
  <c r="D36" s="1"/>
  <c r="E36" s="1"/>
  <c r="C32"/>
  <c r="D32" s="1"/>
  <c r="E32" s="1"/>
  <c r="C28"/>
  <c r="D28" s="1"/>
  <c r="E28" s="1"/>
  <c r="C24"/>
  <c r="D24" s="1"/>
  <c r="E24" s="1"/>
  <c r="C20"/>
  <c r="D20" s="1"/>
  <c r="E20" s="1"/>
  <c r="C16"/>
  <c r="D16" s="1"/>
  <c r="E16" s="1"/>
  <c r="C12"/>
  <c r="D12" s="1"/>
  <c r="E12" s="1"/>
  <c r="C8"/>
  <c r="D8" s="1"/>
  <c r="E8" s="1"/>
  <c r="K14" i="17"/>
  <c r="J13"/>
  <c r="H13"/>
  <c r="C2"/>
  <c r="D2" s="1"/>
  <c r="K15" s="1"/>
  <c r="K17" s="1"/>
  <c r="C6"/>
  <c r="D6" s="1"/>
  <c r="C5"/>
  <c r="D5" s="1"/>
  <c r="C4"/>
  <c r="D4" s="1"/>
  <c r="C2" i="15"/>
  <c r="C6"/>
  <c r="C5"/>
  <c r="C4"/>
  <c r="F29" i="14"/>
  <c r="I7"/>
  <c r="H7"/>
  <c r="G7"/>
  <c r="F7"/>
  <c r="J7" s="1"/>
  <c r="I6"/>
  <c r="H6"/>
  <c r="G6"/>
  <c r="F6"/>
  <c r="J6" s="1"/>
  <c r="J8" s="1"/>
  <c r="G26" i="13"/>
  <c r="G25"/>
  <c r="G19"/>
  <c r="G14"/>
  <c r="G11"/>
  <c r="G10"/>
  <c r="G8"/>
  <c r="G7"/>
  <c r="G6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2"/>
  <c r="F33" i="12"/>
  <c r="I9"/>
  <c r="H9"/>
  <c r="G9"/>
  <c r="F9"/>
  <c r="J9" s="1"/>
  <c r="I8"/>
  <c r="H8"/>
  <c r="G8"/>
  <c r="F8"/>
  <c r="G24" i="11"/>
  <c r="G23"/>
  <c r="G17"/>
  <c r="G12"/>
  <c r="G9"/>
  <c r="G8"/>
  <c r="G7"/>
  <c r="G6"/>
  <c r="G5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2"/>
  <c r="F40" i="8"/>
  <c r="F37"/>
  <c r="F36"/>
  <c r="G25"/>
  <c r="G24"/>
  <c r="F25"/>
  <c r="F24"/>
  <c r="G23"/>
  <c r="F23"/>
  <c r="F18"/>
  <c r="F13"/>
  <c r="F10"/>
  <c r="F9"/>
  <c r="G8"/>
  <c r="F8"/>
  <c r="G7"/>
  <c r="F7"/>
  <c r="G6"/>
  <c r="F6"/>
  <c r="G8" i="14" l="1"/>
  <c r="F8"/>
  <c r="I8"/>
  <c r="H8"/>
  <c r="F10" i="12"/>
  <c r="G11"/>
  <c r="I10"/>
  <c r="I11" s="1"/>
  <c r="F11"/>
  <c r="J8"/>
  <c r="H10"/>
  <c r="H11" s="1"/>
  <c r="G10"/>
  <c r="D2" i="18"/>
  <c r="E2" s="1"/>
  <c r="K9"/>
  <c r="K10" s="1"/>
  <c r="G9" i="7"/>
  <c r="F9"/>
  <c r="G8"/>
  <c r="F8"/>
  <c r="G7"/>
  <c r="G26" s="1"/>
  <c r="F7"/>
  <c r="F26" s="1"/>
  <c r="F13" i="14" l="1"/>
  <c r="G28" i="7"/>
  <c r="F27"/>
  <c r="F10"/>
  <c r="F12" s="1"/>
  <c r="G27"/>
  <c r="F28"/>
  <c r="G20"/>
  <c r="J10" i="12"/>
  <c r="H15" i="14" l="1"/>
  <c r="I15"/>
  <c r="J14"/>
  <c r="F15"/>
  <c r="F19"/>
  <c r="J13"/>
  <c r="J15" s="1"/>
  <c r="G15"/>
  <c r="G18" i="12"/>
  <c r="G24" s="1"/>
  <c r="F18"/>
  <c r="I18"/>
  <c r="I24" s="1"/>
  <c r="H18"/>
  <c r="H24" s="1"/>
  <c r="F17"/>
  <c r="G17"/>
  <c r="H17"/>
  <c r="I17"/>
  <c r="F22" i="14" l="1"/>
  <c r="F25" s="1"/>
  <c r="H19" i="12"/>
  <c r="H23"/>
  <c r="I19"/>
  <c r="I23"/>
  <c r="J17"/>
  <c r="F19"/>
  <c r="F23"/>
  <c r="G19"/>
  <c r="G23"/>
  <c r="J18"/>
  <c r="F24"/>
  <c r="J19" l="1"/>
  <c r="F26"/>
</calcChain>
</file>

<file path=xl/sharedStrings.xml><?xml version="1.0" encoding="utf-8"?>
<sst xmlns="http://schemas.openxmlformats.org/spreadsheetml/2006/main" count="484" uniqueCount="282">
  <si>
    <t>Lop</t>
  </si>
  <si>
    <t>tuoi</t>
  </si>
  <si>
    <t>gioitinh</t>
  </si>
  <si>
    <t>chieucao</t>
  </si>
  <si>
    <t>cannang</t>
  </si>
  <si>
    <t>gthong</t>
  </si>
  <si>
    <t>khcach</t>
  </si>
  <si>
    <t>thgian</t>
  </si>
  <si>
    <t>tacduong</t>
  </si>
  <si>
    <t>xemphim</t>
  </si>
  <si>
    <t>thethao</t>
  </si>
  <si>
    <t>canhac</t>
  </si>
  <si>
    <t>docsach</t>
  </si>
  <si>
    <t>bongda</t>
  </si>
  <si>
    <t>dulich</t>
  </si>
  <si>
    <t>ab</t>
  </si>
  <si>
    <t>nhdphong</t>
  </si>
  <si>
    <t>nhdtroi</t>
  </si>
  <si>
    <t>Nu</t>
  </si>
  <si>
    <t>nam</t>
  </si>
  <si>
    <t>nu</t>
  </si>
  <si>
    <t>Mean</t>
  </si>
  <si>
    <t>SSD</t>
  </si>
  <si>
    <t>N</t>
  </si>
  <si>
    <t>chieucao X</t>
  </si>
  <si>
    <t>cannang Y</t>
  </si>
  <si>
    <t>Hypothesis: H: Averages of the time going to shcool of class 1 and class 2 are equal</t>
  </si>
  <si>
    <t>A) Using significance probability:</t>
  </si>
  <si>
    <t>N (Sample size)</t>
  </si>
  <si>
    <t>Var</t>
  </si>
  <si>
    <t>P-value (Sig. P)</t>
  </si>
  <si>
    <t>Compare p to 5%</t>
  </si>
  <si>
    <t>Conclusion:</t>
  </si>
  <si>
    <t>Lop 1</t>
  </si>
  <si>
    <t>Lop 2</t>
  </si>
  <si>
    <t>SQRT((n1*n2)/(n1+n2))*SQRT((n1+n2-2)/(n1*Var1+n2*Var2))*(Mean1-Mean2)</t>
  </si>
  <si>
    <t>TDIST(|t|,n1+n2-2,2)</t>
  </si>
  <si>
    <t xml:space="preserve">p-value=5.6% &gt; 5% </t>
  </si>
  <si>
    <t>Alternatvive Hypothesis: K:Averages of the time going to shcool of class 1 and class 2 are different</t>
  </si>
  <si>
    <t>we accept the Hypothesis H</t>
  </si>
  <si>
    <t>Averages of the time going to shcool of class 1 and class 2 are equal</t>
  </si>
  <si>
    <t>Critical value of t statistic</t>
  </si>
  <si>
    <t>TINV(5%,n1+n2-2)</t>
  </si>
  <si>
    <t>Compar |t| to Cr. Val</t>
  </si>
  <si>
    <t xml:space="preserve">|t| = 1.9967 &lt; CrVal = 2.0167 </t>
  </si>
  <si>
    <t>B) Using critical value of t statistic</t>
  </si>
  <si>
    <t>C) Using 95% Confidence Intervals</t>
  </si>
  <si>
    <t>Cr. Value</t>
  </si>
  <si>
    <t>95% CI</t>
  </si>
  <si>
    <t>Lower bound</t>
  </si>
  <si>
    <t>Upper bound</t>
  </si>
  <si>
    <t>mean-CrVal*SQRT(Var/(n-1))</t>
  </si>
  <si>
    <t>mean+CrVal*SQRT(Var/(n-1))</t>
  </si>
  <si>
    <t xml:space="preserve">Compare two 95% CI </t>
  </si>
  <si>
    <t xml:space="preserve">CI1=(8.31;16.33) and CI2 = (13.28; 23.42) intersect </t>
  </si>
  <si>
    <t>We accept the Hypothesis H</t>
  </si>
  <si>
    <t>N (sample size)</t>
  </si>
  <si>
    <t>Male</t>
  </si>
  <si>
    <t>Female</t>
  </si>
  <si>
    <t>t statistic</t>
  </si>
  <si>
    <t>SQRT((n1*n2)/(n1+n2))*SQRT((n1+n2-2)/(n1*Var1+n2*Var2))*(Mean1 - Mean2)</t>
  </si>
  <si>
    <t>ABS(t statistic)</t>
  </si>
  <si>
    <t>A) Using p-value</t>
  </si>
  <si>
    <t>P-value</t>
  </si>
  <si>
    <t>TDIST(ABS(t),n1+n2-2,2)</t>
  </si>
  <si>
    <t>Compare p-value to 5%</t>
  </si>
  <si>
    <t>P-value=0.00000 &lt; 5% ==&gt; we reject the Hypothesis H</t>
  </si>
  <si>
    <t>Critical value of t</t>
  </si>
  <si>
    <t xml:space="preserve">Compare  |t-statistic to |Cr.Val of t </t>
  </si>
  <si>
    <t>|t statistic| = 9.6437 &gt; Cr.Val =2.167 ==&gt; we reject the Hypothesis H</t>
  </si>
  <si>
    <t>B) Using Critical value</t>
  </si>
  <si>
    <t>Heighth Average of Males and Femailes are different</t>
  </si>
  <si>
    <t>Heighth  Average of Males and Femailes are different</t>
  </si>
  <si>
    <t>Cr.Val of Mean</t>
  </si>
  <si>
    <t>CrVal = TINV(5%,n-1)</t>
  </si>
  <si>
    <t>Lower bound of CI</t>
  </si>
  <si>
    <t>Upper bound of CI</t>
  </si>
  <si>
    <t>Mean-CrVal*SQRT(Var/(n-1))</t>
  </si>
  <si>
    <t>Mean+CrVal*SQRT(Var/(n-1))</t>
  </si>
  <si>
    <t>Compare two CI</t>
  </si>
  <si>
    <t>95% CI of Mean value for Male Heighth = (166.49;169.00)</t>
  </si>
  <si>
    <t>95% CI of Mean value for Female Heighth = (152.41;157.15)</t>
  </si>
  <si>
    <t>The two CI are disjoint ==&gt; we reject the Hypothesis H</t>
  </si>
  <si>
    <t>Hypothesis H: Heighth  Variance of Males and Femailes are equal</t>
  </si>
  <si>
    <t>Alternative Hypothesis K: Heighth  Variance of Males and Femailes are different</t>
  </si>
  <si>
    <t>F statistic</t>
  </si>
  <si>
    <t>Compare p value to 5%</t>
  </si>
  <si>
    <t>Heighth  Variance of Males and Femailes are equal</t>
  </si>
  <si>
    <t>P value= 50.25% &gt; 5% ==&gt; we accept the Hypothesis H</t>
  </si>
  <si>
    <t>F CrVal</t>
  </si>
  <si>
    <t>Compare F statistic to F CrValue</t>
  </si>
  <si>
    <t>F stat istic = 1.573 &lt; F CrValue=3.863 ==&gt; we accept the Hypothesis H</t>
  </si>
  <si>
    <t>Alternative Hypothesis K: Indoor Average Temperature differs from Outdoor Average Temperature</t>
  </si>
  <si>
    <t>nhdphongX</t>
  </si>
  <si>
    <t>nhdtroiY</t>
  </si>
  <si>
    <t>Z=X-Y</t>
  </si>
  <si>
    <t>Z</t>
  </si>
  <si>
    <t>Mean Z</t>
  </si>
  <si>
    <t>SSD Z</t>
  </si>
  <si>
    <t>T test Statistic</t>
  </si>
  <si>
    <t>MeanZ*SQRT(N)/SSDZ</t>
  </si>
  <si>
    <t>p-value</t>
  </si>
  <si>
    <t>|Ttest Statistic|</t>
  </si>
  <si>
    <t>TDIST(|Ttest Statistic|,N-1,2)</t>
  </si>
  <si>
    <t>p-value = 0.353% &lt; 5% ==&gt; we reject the Hypothesis H</t>
  </si>
  <si>
    <t>Conclusion: Indoor Average Temperature differs from Outdoor Average Temperature</t>
  </si>
  <si>
    <t>Critical value</t>
  </si>
  <si>
    <t>TINV(5%,N-1)</t>
  </si>
  <si>
    <t>Compare |Ttest Statistic| to Critical value</t>
  </si>
  <si>
    <t>|Ttest Statistic| = 3.87 &gt; Critial value = 2.015 ==&gt;we reject the Hypothesis H</t>
  </si>
  <si>
    <t>B) Using 95% CI</t>
  </si>
  <si>
    <t>mean - CrValue*SSD/SQRT(N)</t>
  </si>
  <si>
    <t>mean + CrValue*SSD/SQRT(N)</t>
  </si>
  <si>
    <t>95% CI = (-2.348; -0.741)</t>
  </si>
  <si>
    <t>Compare 0 to the 95% CI = (-2.348; -0.741): the 95% dose not contain 0 ==&gt; we reject the Hypothsis H</t>
  </si>
  <si>
    <t>Observed Frequency Table</t>
  </si>
  <si>
    <t>Trafic jame levels</t>
  </si>
  <si>
    <t>Row Total</t>
  </si>
  <si>
    <t>Like</t>
  </si>
  <si>
    <t>Not like</t>
  </si>
  <si>
    <t>Culumn Total</t>
  </si>
  <si>
    <t>L1</t>
  </si>
  <si>
    <t>L2</t>
  </si>
  <si>
    <t>L3</t>
  </si>
  <si>
    <t>L4</t>
  </si>
  <si>
    <t>Expected Frequency Table</t>
  </si>
  <si>
    <t>Chi statistic Table</t>
  </si>
  <si>
    <t>Chi-square Stat</t>
  </si>
  <si>
    <t>Chi-square p-value</t>
  </si>
  <si>
    <t>Comp. p-value to 5%</t>
  </si>
  <si>
    <t>HYPOTHESIS H: Proportions of turism preference in trafic jam groiups are equal</t>
  </si>
  <si>
    <t>ALTERNATIVE HYPOTHESIS H: Proportions of turism preference in trafic jam  groiups are different</t>
  </si>
  <si>
    <t>A) Using Critical value</t>
  </si>
  <si>
    <t>CHIDIST(ChiStat,K-1)</t>
  </si>
  <si>
    <t>CRVal</t>
  </si>
  <si>
    <t>CHIINV(5%,K-1)</t>
  </si>
  <si>
    <t>Conclusion:Proportions of turism preference in trafic jam  groups are equal</t>
  </si>
  <si>
    <t>Hypothesis H: Indoor Average temperature equals to Outdoor Average temperature</t>
  </si>
  <si>
    <t>Alternative Hypothesis K: Indoor Average temperature differs from Outdoor Average temperature</t>
  </si>
  <si>
    <t>nhdphong X</t>
  </si>
  <si>
    <t>nhdtroi Y</t>
  </si>
  <si>
    <t xml:space="preserve">Mean </t>
  </si>
  <si>
    <t>t-test statistic</t>
  </si>
  <si>
    <t>|t-test statistic|</t>
  </si>
  <si>
    <t>B) Using critical val.</t>
  </si>
  <si>
    <t>Mean*SQRT(N)/SSD</t>
  </si>
  <si>
    <t>compare p-value to 5%</t>
  </si>
  <si>
    <t>T-test Critical value</t>
  </si>
  <si>
    <t>Compare |t-test statistic| to T-test Critical value</t>
  </si>
  <si>
    <t>|t-test statistic|= 3.87267  &gt;  T-test Critical value=2.01537  ==&gt; we reject the hypothesis H</t>
  </si>
  <si>
    <t>p-value = 0.035% &lt; 5% ==&gt; we reject the hypothesis H</t>
  </si>
  <si>
    <t>Conclusion: Indoor Average temperature Differs from Outdoor Average temperature</t>
  </si>
  <si>
    <t xml:space="preserve">C) Using 95% CI </t>
  </si>
  <si>
    <t>Mean - CrVal*SDD/SQRT(N)</t>
  </si>
  <si>
    <t>Mean + CrVal*SDD/SQRT(N)</t>
  </si>
  <si>
    <t>95% CI = (-2.34818;-0.7407)</t>
  </si>
  <si>
    <t>Compare 0 to 95%CI: The 95% CI does not contain 0 ==&gt; we reject the hypothesis H</t>
  </si>
  <si>
    <t>TDIST(|T-Stat.|,N-1,2)</t>
  </si>
  <si>
    <t>Hypothesis H: Proportions of sport preference of trafict jam groups are equal</t>
  </si>
  <si>
    <t>Alternative Hypothesis K: Proportions of sport preference of trafict jam groups are different</t>
  </si>
  <si>
    <t>Observed frequency table</t>
  </si>
  <si>
    <t>Row total</t>
  </si>
  <si>
    <t>Column Total</t>
  </si>
  <si>
    <t>Predicted frequency table</t>
  </si>
  <si>
    <t>Test statistic table</t>
  </si>
  <si>
    <t>Chi-square test Stat.</t>
  </si>
  <si>
    <t>P-val. Test Statis.</t>
  </si>
  <si>
    <t>Compare p-value to 5%: p-value=37% &gt; 5% ==&gt; we accept the hypothesis H</t>
  </si>
  <si>
    <t>Conclusion: Proportions of sport preference of trafict jam groups are equal</t>
  </si>
  <si>
    <t>Chi-square Cri.Val.</t>
  </si>
  <si>
    <t>compare Test statistic to Cri. Value: Test statistic = 3.14338 &lt;  Cri. Val. = 7.81473</t>
  </si>
  <si>
    <t>Then we accept the hypothesis H</t>
  </si>
  <si>
    <t>Compare mean values of quantitative variable tuoi in trafic jam groups (variable tacduong)</t>
  </si>
  <si>
    <t>Hypothesis H: Mean values of quantitative variable tuoi in trafic jam groups are EQUAL</t>
  </si>
  <si>
    <t>Alternative Hypothesis H: Mean values of quantitative variable tuoi in trafic jam groups are DIFFERENT</t>
  </si>
  <si>
    <t>Total</t>
  </si>
  <si>
    <t>K (number of groups)</t>
  </si>
  <si>
    <t>mu(i)</t>
  </si>
  <si>
    <t>mu</t>
  </si>
  <si>
    <t>alpha(i) = m(i) - mu</t>
  </si>
  <si>
    <t>alpha(i)^2</t>
  </si>
  <si>
    <t>BSS</t>
  </si>
  <si>
    <t>RSS</t>
  </si>
  <si>
    <t>X-mu(i)</t>
  </si>
  <si>
    <t>(X-mu(i))^2</t>
  </si>
  <si>
    <t>N(i)*alpha(i)^2</t>
  </si>
  <si>
    <t>F-test statistic</t>
  </si>
  <si>
    <t>F-test critical value</t>
  </si>
  <si>
    <t>FINV(5%,K-1,N-K)</t>
  </si>
  <si>
    <t>Compare F-test statistic to F-test critical value</t>
  </si>
  <si>
    <r>
      <t xml:space="preserve">F-test statistic = 0.508 &lt; F-test critical value = 2.833 ==&gt; we </t>
    </r>
    <r>
      <rPr>
        <b/>
        <sz val="11"/>
        <color theme="1"/>
        <rFont val="Calibri"/>
        <family val="2"/>
        <scheme val="minor"/>
      </rPr>
      <t xml:space="preserve">accept </t>
    </r>
    <r>
      <rPr>
        <sz val="11"/>
        <color theme="1"/>
        <rFont val="Calibri"/>
        <family val="2"/>
        <scheme val="minor"/>
      </rPr>
      <t>the hypothesis H</t>
    </r>
  </si>
  <si>
    <t>Conclusion: Mean values of quantitative variable tuoi in trafic jam groups are EQUAL</t>
  </si>
  <si>
    <t>FDIST(F-test statistic,K-1,N-K)</t>
  </si>
  <si>
    <t>Compare p-value to 5%: p-value = 67.9% &gt; 5% ==&gt; accept H</t>
  </si>
  <si>
    <t>Create regression equation describing the relationship between time (Y) and distance (X)</t>
  </si>
  <si>
    <t>khcach X</t>
  </si>
  <si>
    <t>thgian Y</t>
  </si>
  <si>
    <t>Y = aX + b</t>
  </si>
  <si>
    <t>a=slope</t>
  </si>
  <si>
    <t>b=intercept</t>
  </si>
  <si>
    <t>Slope a^</t>
  </si>
  <si>
    <t>Intercept b^</t>
  </si>
  <si>
    <t>Regression equation:</t>
  </si>
  <si>
    <t>thoi gian = 1.79 * (khoang cach) + 6.81</t>
  </si>
  <si>
    <t>slope = 1.79 means time increase 1.79 minuts when distance increase 1 Km</t>
  </si>
  <si>
    <t>Y^</t>
  </si>
  <si>
    <t>Y^ - Y</t>
  </si>
  <si>
    <t>Multiple correlation coefficient R(Y,Y^)</t>
  </si>
  <si>
    <t xml:space="preserve">Coefficient of determination R^2 </t>
  </si>
  <si>
    <t>Compaire mean values of distance (khcach) in trafic jam groups (tacduong)</t>
  </si>
  <si>
    <t>Trafic jam level</t>
  </si>
  <si>
    <t>N(i)</t>
  </si>
  <si>
    <t>alpha(i)</t>
  </si>
  <si>
    <t>BSS=SUM(N(i)*alpha(i)^2)</t>
  </si>
  <si>
    <t>RSS=SUM((X-mu(i))^2)</t>
  </si>
  <si>
    <t>F - statistic</t>
  </si>
  <si>
    <t>(BSS/(K-1))/(RSS/(N-K))</t>
  </si>
  <si>
    <t>F - critical value</t>
  </si>
  <si>
    <t>A) Compare F-statistic to F - critical value</t>
  </si>
  <si>
    <t>F-statistic = 5.88 &gt; F - critical value = 2.83 ==&gt; we reject hypothesis H</t>
  </si>
  <si>
    <t>Hypothesis H: Mean values of distance (khcach) in trafic jam groups (tacduong) are EQUAL</t>
  </si>
  <si>
    <t>Alternative Hypothesis K: Mean values of distance (khcach) in trafic jam groups (tacduong) are DIFFERENT</t>
  </si>
  <si>
    <t>Conclusion: Mean values of distance (khcach) in trafic jam groups (tacduong) are DIFFERENT</t>
  </si>
  <si>
    <t>B) Compare p-value of  F-statistic to 5%</t>
  </si>
  <si>
    <t>p-value of  F-statistic</t>
  </si>
  <si>
    <t>FDIST(F-Statistic,K-1,N-K)</t>
  </si>
  <si>
    <t>p-value of  F-statistic = 0.195% &lt; 5% ==&gt; we reject hypothesis H</t>
  </si>
  <si>
    <t>…</t>
  </si>
  <si>
    <t>Regression equation</t>
  </si>
  <si>
    <t>Create regression equation Y = aX+ b to describe the relation between Weigh (cannang, Y) and Heigh (chieucao, X)</t>
  </si>
  <si>
    <t>Weigh = 0.7768 * Heigh - 70.1264</t>
  </si>
  <si>
    <t>Slope = 0.7768 means weigh increase 0.7768 Kgs when Heigh increase 1cm</t>
  </si>
  <si>
    <t>Multiple correlation coefficient R</t>
  </si>
  <si>
    <t>e^=Y^-Y</t>
  </si>
  <si>
    <t>(Y^-Y)^2</t>
  </si>
  <si>
    <t>Coefficient of determination R^2</t>
  </si>
  <si>
    <t>SLOPE</t>
  </si>
  <si>
    <t>INTERCEPT</t>
  </si>
  <si>
    <t>CORREL</t>
  </si>
  <si>
    <t>^2</t>
  </si>
  <si>
    <t>Coefficient of determination R^2 = 46.56% &gt; 30% and &lt; 60%</t>
  </si>
  <si>
    <t>We confirm that the regression model is of medium quality</t>
  </si>
  <si>
    <t>Hypothesis H: slope a = 0</t>
  </si>
  <si>
    <t>Alternative Hypothesis K: slope a differs from 0</t>
  </si>
  <si>
    <t>F regression statistic: F = R^2/((1-R^2)/(N-2))</t>
  </si>
  <si>
    <t>F-statistic</t>
  </si>
  <si>
    <t>F - Critical value</t>
  </si>
  <si>
    <t>Compare F-statistic to F-critical value:</t>
  </si>
  <si>
    <t>F-statistic = 37.4608 &gt; F-critical value = 4.06705, we reject hypothesis H:</t>
  </si>
  <si>
    <t>Conclusion: slope a differs from 0</t>
  </si>
  <si>
    <t>That means there is a strongly positive (increasing) relationship between Weigh (Y) and Heigh (X).</t>
  </si>
  <si>
    <t>F-statistic p-value</t>
  </si>
  <si>
    <t>Compare p-value to 5%: p-</t>
  </si>
  <si>
    <t>alue = 0.00000024 &lt; 0.05, we reject hypothesis H</t>
  </si>
  <si>
    <t>Hypothesis H: Heigh Average of Males and Femailes are equal</t>
  </si>
  <si>
    <t>Alternative Hypothesis K: Heigh  Average of Males and Femailes are different</t>
  </si>
  <si>
    <t>Proportion</t>
  </si>
  <si>
    <t>P-value = 62.96% &gt; 5% ==&gt; we accept the Hypothesis H</t>
  </si>
  <si>
    <t>Conclusion:Proportions of tourism preference in trafic jam  groups are equal</t>
  </si>
  <si>
    <t>Comp. Chi Statistic to CRVAL:  Chi Statistic =1.733193 &lt; 7.814 ==&gt; accept the Hypothesis H</t>
  </si>
  <si>
    <t>Coefficient of determination R^2 =64.68% &gt; 60%</t>
  </si>
  <si>
    <t>We conclude the regression model has good quality</t>
  </si>
  <si>
    <t>Alternative Hypothesis K: slope a does not equal to 0.</t>
  </si>
  <si>
    <t>Regression F - statistic = R^2/((1-R^2)/(N-2))</t>
  </si>
  <si>
    <t>A) Critical value method</t>
  </si>
  <si>
    <t>F-test critical value = FINV(5%,1,N-2)</t>
  </si>
  <si>
    <t>Compare F-statistic to F- critical value</t>
  </si>
  <si>
    <t>F-statistic = 78.7835 &gt; F- critical value = 4.067</t>
  </si>
  <si>
    <t>We reject hypothesis H, conclude slope a does not equal to 0</t>
  </si>
  <si>
    <t>There is a very strongly increasing (positive) relationship between time and distance</t>
  </si>
  <si>
    <t>B) P-value method</t>
  </si>
  <si>
    <t>F- test p-value = FDIST(F-statistic,1,N-2)</t>
  </si>
  <si>
    <t>P-value = 0.0000 &lt; 5%,  we reject hypothesis H, conclude slope a does not equal to 0</t>
  </si>
  <si>
    <t>t - test Statisic</t>
  </si>
  <si>
    <t>ABS of t - test Statisic</t>
  </si>
  <si>
    <t>TINV(5%,N1-1)</t>
  </si>
  <si>
    <t>TINV(5%,N2-1)</t>
  </si>
  <si>
    <t xml:space="preserve">Preference Proportion </t>
  </si>
  <si>
    <t>CHIDIST(TestStat,K-1)</t>
  </si>
  <si>
    <t>B) Using critical value</t>
  </si>
  <si>
    <t>(BSS/(K-1)/(RSS/(N-K)</t>
  </si>
  <si>
    <t>Hypothesis H:  Average IndoorTemperature equals to Average Outdoor Temperature</t>
  </si>
</sst>
</file>

<file path=xl/styles.xml><?xml version="1.0" encoding="utf-8"?>
<styleSheet xmlns="http://schemas.openxmlformats.org/spreadsheetml/2006/main">
  <numFmts count="4">
    <numFmt numFmtId="164" formatCode="0.0"/>
    <numFmt numFmtId="166" formatCode="0.0000"/>
    <numFmt numFmtId="168" formatCode="0.00000000"/>
    <numFmt numFmtId="170" formatCode="0.0000000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166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/>
    <xf numFmtId="0" fontId="0" fillId="3" borderId="0" xfId="0" applyFill="1"/>
    <xf numFmtId="168" fontId="0" fillId="0" borderId="0" xfId="0" applyNumberFormat="1"/>
    <xf numFmtId="170" fontId="0" fillId="0" borderId="0" xfId="1" applyNumberFormat="1" applyFont="1"/>
    <xf numFmtId="17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4"/>
  <sheetViews>
    <sheetView workbookViewId="0">
      <selection activeCell="D1" sqref="D1:E1048576"/>
    </sheetView>
  </sheetViews>
  <sheetFormatPr defaultRowHeight="14.4"/>
  <cols>
    <col min="1" max="1" width="5.33203125" customWidth="1"/>
    <col min="2" max="2" width="5.44140625" customWidth="1"/>
    <col min="3" max="3" width="5.6640625" customWidth="1"/>
    <col min="4" max="4" width="8" customWidth="1"/>
    <col min="5" max="5" width="7.6640625" customWidth="1"/>
    <col min="6" max="6" width="7.109375" customWidth="1"/>
    <col min="7" max="7" width="6.88671875" customWidth="1"/>
    <col min="8" max="8" width="6.44140625" customWidth="1"/>
    <col min="9" max="9" width="8.6640625" customWidth="1"/>
    <col min="11" max="11" width="7.6640625" customWidth="1"/>
    <col min="12" max="12" width="7.33203125" customWidth="1"/>
    <col min="13" max="14" width="7.88671875" customWidth="1"/>
    <col min="15" max="15" width="6.44140625" customWidth="1"/>
    <col min="16" max="16" width="7.109375" customWidth="1"/>
    <col min="19" max="19" width="5.88671875" customWidth="1"/>
  </cols>
  <sheetData>
    <row r="1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>
      <c r="A2" s="3">
        <v>1</v>
      </c>
      <c r="B2" s="3">
        <v>23</v>
      </c>
      <c r="C2" t="s">
        <v>19</v>
      </c>
      <c r="D2" s="3">
        <v>166</v>
      </c>
      <c r="E2" s="1">
        <v>62</v>
      </c>
      <c r="F2" s="3">
        <v>2</v>
      </c>
      <c r="G2" s="2">
        <v>1</v>
      </c>
      <c r="H2" s="2">
        <v>5</v>
      </c>
      <c r="I2" s="3">
        <v>1</v>
      </c>
      <c r="J2" s="3">
        <v>0</v>
      </c>
      <c r="K2" s="3">
        <v>1</v>
      </c>
      <c r="L2" s="3">
        <v>1</v>
      </c>
      <c r="M2" s="3">
        <v>0</v>
      </c>
      <c r="N2" s="3">
        <v>1</v>
      </c>
      <c r="O2" s="3">
        <v>0</v>
      </c>
      <c r="P2" s="2">
        <v>55</v>
      </c>
      <c r="Q2" s="1">
        <v>22</v>
      </c>
      <c r="R2" s="1">
        <v>25</v>
      </c>
      <c r="S2" s="3">
        <v>0</v>
      </c>
    </row>
    <row r="3" spans="1:19">
      <c r="A3" s="3">
        <v>1</v>
      </c>
      <c r="B3" s="3">
        <v>25</v>
      </c>
      <c r="C3" t="s">
        <v>19</v>
      </c>
      <c r="D3" s="3">
        <v>168</v>
      </c>
      <c r="E3" s="1">
        <v>57</v>
      </c>
      <c r="F3" s="3">
        <v>2</v>
      </c>
      <c r="G3" s="2">
        <v>10</v>
      </c>
      <c r="H3" s="2">
        <v>20</v>
      </c>
      <c r="I3" s="3">
        <v>3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0</v>
      </c>
      <c r="P3" s="2">
        <v>60</v>
      </c>
      <c r="Q3" s="1">
        <v>24</v>
      </c>
      <c r="R3" s="1">
        <v>26</v>
      </c>
      <c r="S3" s="3">
        <v>0</v>
      </c>
    </row>
    <row r="4" spans="1:19">
      <c r="A4" s="3">
        <v>1</v>
      </c>
      <c r="B4" s="3">
        <v>26</v>
      </c>
      <c r="C4" t="s">
        <v>19</v>
      </c>
      <c r="D4" s="3">
        <v>172</v>
      </c>
      <c r="E4" s="1">
        <v>55</v>
      </c>
      <c r="F4" s="3">
        <v>2</v>
      </c>
      <c r="G4" s="2">
        <v>5</v>
      </c>
      <c r="H4" s="2">
        <v>20</v>
      </c>
      <c r="I4" s="3">
        <v>3</v>
      </c>
      <c r="J4" s="3">
        <v>1</v>
      </c>
      <c r="K4" s="3">
        <v>1</v>
      </c>
      <c r="L4" s="3">
        <v>0</v>
      </c>
      <c r="M4" s="3">
        <v>0</v>
      </c>
      <c r="N4" s="3">
        <v>1</v>
      </c>
      <c r="O4" s="3">
        <v>1</v>
      </c>
      <c r="P4" s="2">
        <v>50</v>
      </c>
      <c r="Q4" s="1">
        <v>18</v>
      </c>
      <c r="R4" s="1">
        <v>22</v>
      </c>
      <c r="S4" s="3">
        <v>0</v>
      </c>
    </row>
    <row r="5" spans="1:19">
      <c r="A5" s="3">
        <v>1</v>
      </c>
      <c r="B5" s="3">
        <v>31</v>
      </c>
      <c r="C5" t="s">
        <v>19</v>
      </c>
      <c r="D5" s="3">
        <v>160</v>
      </c>
      <c r="E5" s="1">
        <v>60</v>
      </c>
      <c r="F5" s="3">
        <v>0</v>
      </c>
      <c r="G5" s="2">
        <v>0.05</v>
      </c>
      <c r="H5" s="2">
        <v>5</v>
      </c>
      <c r="I5" s="3">
        <v>1</v>
      </c>
      <c r="J5" s="3">
        <v>0</v>
      </c>
      <c r="K5" s="3">
        <v>0</v>
      </c>
      <c r="L5" s="3">
        <v>0</v>
      </c>
      <c r="M5" s="3">
        <v>1</v>
      </c>
      <c r="N5" s="3">
        <v>0</v>
      </c>
      <c r="O5" s="3">
        <v>0</v>
      </c>
      <c r="P5" s="2">
        <v>40</v>
      </c>
      <c r="Q5" s="1">
        <v>20</v>
      </c>
      <c r="R5" s="1">
        <v>22</v>
      </c>
      <c r="S5" s="3">
        <v>0</v>
      </c>
    </row>
    <row r="6" spans="1:19">
      <c r="A6" s="3">
        <v>1</v>
      </c>
      <c r="B6" s="3">
        <v>25</v>
      </c>
      <c r="C6" t="s">
        <v>19</v>
      </c>
      <c r="D6" s="3">
        <v>172</v>
      </c>
      <c r="E6" s="1">
        <v>62</v>
      </c>
      <c r="F6" s="3">
        <v>2</v>
      </c>
      <c r="G6" s="2">
        <v>3</v>
      </c>
      <c r="H6" s="2">
        <v>10</v>
      </c>
      <c r="I6" s="3">
        <v>2</v>
      </c>
      <c r="J6" s="3">
        <v>1</v>
      </c>
      <c r="K6" s="3">
        <v>1</v>
      </c>
      <c r="L6" s="3">
        <v>1</v>
      </c>
      <c r="M6" s="3">
        <v>0</v>
      </c>
      <c r="N6" s="3">
        <v>1</v>
      </c>
      <c r="O6" s="3">
        <v>1</v>
      </c>
      <c r="P6" s="2">
        <v>50</v>
      </c>
      <c r="Q6" s="1">
        <v>22</v>
      </c>
      <c r="R6" s="1">
        <v>25</v>
      </c>
      <c r="S6" s="3">
        <v>0</v>
      </c>
    </row>
    <row r="7" spans="1:19">
      <c r="A7" s="3">
        <v>1</v>
      </c>
      <c r="B7" s="3">
        <v>23</v>
      </c>
      <c r="C7" t="s">
        <v>19</v>
      </c>
      <c r="D7" s="3">
        <v>168</v>
      </c>
      <c r="E7" s="1">
        <v>56</v>
      </c>
      <c r="F7" s="3">
        <v>2</v>
      </c>
      <c r="G7" s="2">
        <v>2</v>
      </c>
      <c r="H7" s="2">
        <v>5</v>
      </c>
      <c r="I7" s="3">
        <v>2</v>
      </c>
      <c r="J7" s="3">
        <v>0</v>
      </c>
      <c r="K7" s="3">
        <v>0</v>
      </c>
      <c r="L7" s="3">
        <v>0</v>
      </c>
      <c r="M7" s="3">
        <v>0</v>
      </c>
      <c r="N7" s="3">
        <v>1</v>
      </c>
      <c r="O7" s="3">
        <v>0</v>
      </c>
      <c r="P7" s="2">
        <v>13</v>
      </c>
      <c r="Q7" s="1">
        <v>21</v>
      </c>
      <c r="R7" s="1">
        <v>26</v>
      </c>
      <c r="S7" s="3">
        <v>0</v>
      </c>
    </row>
    <row r="8" spans="1:19">
      <c r="A8" s="3">
        <v>1</v>
      </c>
      <c r="B8" s="3">
        <v>23</v>
      </c>
      <c r="C8" t="s">
        <v>19</v>
      </c>
      <c r="D8" s="3">
        <v>170</v>
      </c>
      <c r="E8" s="1">
        <v>56.5</v>
      </c>
      <c r="F8" s="3">
        <v>2</v>
      </c>
      <c r="G8" s="2">
        <v>6</v>
      </c>
      <c r="H8" s="2">
        <v>10</v>
      </c>
      <c r="I8" s="3">
        <v>2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2">
        <v>33</v>
      </c>
      <c r="Q8" s="1">
        <v>20</v>
      </c>
      <c r="R8" s="1">
        <v>25</v>
      </c>
      <c r="S8" s="3">
        <v>0</v>
      </c>
    </row>
    <row r="9" spans="1:19">
      <c r="A9" s="3">
        <v>1</v>
      </c>
      <c r="B9" s="3">
        <v>23</v>
      </c>
      <c r="C9" t="s">
        <v>19</v>
      </c>
      <c r="D9" s="3">
        <v>161</v>
      </c>
      <c r="E9" s="1">
        <v>53</v>
      </c>
      <c r="F9" s="3">
        <v>2</v>
      </c>
      <c r="G9" s="2">
        <v>1</v>
      </c>
      <c r="H9" s="2">
        <v>5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2">
        <v>57</v>
      </c>
      <c r="Q9" s="1">
        <v>23</v>
      </c>
      <c r="R9" s="1">
        <v>27</v>
      </c>
      <c r="S9" s="3">
        <v>0</v>
      </c>
    </row>
    <row r="10" spans="1:19">
      <c r="A10" s="3">
        <v>1</v>
      </c>
      <c r="B10" s="3">
        <v>26</v>
      </c>
      <c r="C10" t="s">
        <v>19</v>
      </c>
      <c r="D10" s="3">
        <v>172</v>
      </c>
      <c r="E10" s="1">
        <v>63</v>
      </c>
      <c r="F10" s="3">
        <v>2</v>
      </c>
      <c r="G10" s="2">
        <v>1</v>
      </c>
      <c r="H10" s="2">
        <v>5</v>
      </c>
      <c r="I10" s="3">
        <v>1</v>
      </c>
      <c r="J10" s="3">
        <v>0</v>
      </c>
      <c r="K10" s="3">
        <v>1</v>
      </c>
      <c r="L10" s="3">
        <v>0</v>
      </c>
      <c r="M10" s="3">
        <v>1</v>
      </c>
      <c r="N10" s="3">
        <v>0</v>
      </c>
      <c r="O10" s="3">
        <v>1</v>
      </c>
      <c r="P10" s="2">
        <v>60</v>
      </c>
      <c r="Q10" s="1">
        <v>22</v>
      </c>
      <c r="R10" s="1">
        <v>25</v>
      </c>
      <c r="S10" s="3">
        <v>0</v>
      </c>
    </row>
    <row r="11" spans="1:19">
      <c r="A11" s="3">
        <v>1</v>
      </c>
      <c r="B11" s="3">
        <v>27</v>
      </c>
      <c r="C11" t="s">
        <v>19</v>
      </c>
      <c r="D11" s="3">
        <v>175</v>
      </c>
      <c r="E11" s="1">
        <v>60</v>
      </c>
      <c r="F11" s="3">
        <v>2</v>
      </c>
      <c r="G11" s="2">
        <v>0.2</v>
      </c>
      <c r="H11" s="2">
        <v>3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2">
        <v>70</v>
      </c>
      <c r="Q11" s="1">
        <v>24</v>
      </c>
      <c r="R11" s="1">
        <v>27</v>
      </c>
      <c r="S11" s="3">
        <v>0</v>
      </c>
    </row>
    <row r="12" spans="1:19">
      <c r="A12" s="3">
        <v>1</v>
      </c>
      <c r="B12" s="3">
        <v>29</v>
      </c>
      <c r="C12" t="s">
        <v>19</v>
      </c>
      <c r="D12" s="3">
        <v>170</v>
      </c>
      <c r="E12" s="1">
        <v>70</v>
      </c>
      <c r="F12" s="3">
        <v>2</v>
      </c>
      <c r="G12" s="2">
        <v>25</v>
      </c>
      <c r="H12" s="2">
        <v>45</v>
      </c>
      <c r="I12" s="3">
        <v>3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2">
        <v>60</v>
      </c>
      <c r="Q12" s="1">
        <v>28</v>
      </c>
      <c r="R12" s="1">
        <v>30</v>
      </c>
      <c r="S12" s="3">
        <v>0</v>
      </c>
    </row>
    <row r="13" spans="1:19">
      <c r="A13" s="3">
        <v>1</v>
      </c>
      <c r="B13" s="3">
        <v>40</v>
      </c>
      <c r="C13" t="s">
        <v>19</v>
      </c>
      <c r="D13" s="3">
        <v>165</v>
      </c>
      <c r="E13" s="1">
        <v>55</v>
      </c>
      <c r="F13" s="3">
        <v>2</v>
      </c>
      <c r="G13" s="2">
        <v>0.5</v>
      </c>
      <c r="H13" s="2">
        <v>15</v>
      </c>
      <c r="I13" s="3">
        <v>3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3">
        <v>0</v>
      </c>
      <c r="P13" s="2">
        <v>62</v>
      </c>
      <c r="Q13" s="1">
        <v>23</v>
      </c>
      <c r="R13" s="1">
        <v>26</v>
      </c>
      <c r="S13" s="3">
        <v>0</v>
      </c>
    </row>
    <row r="14" spans="1:19">
      <c r="A14" s="3">
        <v>1</v>
      </c>
      <c r="B14" s="3">
        <v>26</v>
      </c>
      <c r="C14" t="s">
        <v>19</v>
      </c>
      <c r="D14" s="3">
        <v>170</v>
      </c>
      <c r="E14" s="1">
        <v>61</v>
      </c>
      <c r="F14" s="3">
        <v>2</v>
      </c>
      <c r="G14" s="2">
        <v>0.1</v>
      </c>
      <c r="H14" s="2">
        <v>10</v>
      </c>
      <c r="I14" s="3">
        <v>1</v>
      </c>
      <c r="J14" s="3">
        <v>0</v>
      </c>
      <c r="K14" s="3">
        <v>0</v>
      </c>
      <c r="L14" s="3">
        <v>0</v>
      </c>
      <c r="M14" s="3">
        <v>1</v>
      </c>
      <c r="N14" s="3">
        <v>0</v>
      </c>
      <c r="O14" s="3">
        <v>0</v>
      </c>
      <c r="P14" s="2">
        <v>78</v>
      </c>
      <c r="Q14" s="1">
        <v>27</v>
      </c>
      <c r="R14" s="1">
        <v>30</v>
      </c>
      <c r="S14" s="3">
        <v>0</v>
      </c>
    </row>
    <row r="15" spans="1:19">
      <c r="A15" s="3">
        <v>1</v>
      </c>
      <c r="B15" s="3">
        <v>45</v>
      </c>
      <c r="C15" t="s">
        <v>19</v>
      </c>
      <c r="D15" s="3">
        <v>168</v>
      </c>
      <c r="E15" s="1">
        <v>70</v>
      </c>
      <c r="F15" s="3">
        <v>2</v>
      </c>
      <c r="G15" s="2">
        <v>2.5</v>
      </c>
      <c r="H15" s="2">
        <v>10</v>
      </c>
      <c r="I15" s="3">
        <v>3</v>
      </c>
      <c r="J15" s="3">
        <v>1</v>
      </c>
      <c r="K15" s="3">
        <v>1</v>
      </c>
      <c r="L15" s="3">
        <v>0</v>
      </c>
      <c r="M15" s="3">
        <v>1</v>
      </c>
      <c r="N15" s="3">
        <v>1</v>
      </c>
      <c r="O15" s="3">
        <v>1</v>
      </c>
      <c r="P15" s="2">
        <v>61</v>
      </c>
      <c r="Q15" s="1">
        <v>17</v>
      </c>
      <c r="R15" s="1">
        <v>19</v>
      </c>
      <c r="S15" s="3">
        <v>0</v>
      </c>
    </row>
    <row r="16" spans="1:19">
      <c r="A16" s="3">
        <v>1</v>
      </c>
      <c r="B16" s="3">
        <v>27</v>
      </c>
      <c r="C16" t="s">
        <v>19</v>
      </c>
      <c r="D16" s="3">
        <v>170</v>
      </c>
      <c r="E16" s="1">
        <v>53</v>
      </c>
      <c r="F16" s="3">
        <v>1</v>
      </c>
      <c r="G16" s="2">
        <v>2</v>
      </c>
      <c r="H16" s="2">
        <v>17</v>
      </c>
      <c r="I16" s="3">
        <v>3</v>
      </c>
      <c r="J16" s="3">
        <v>0</v>
      </c>
      <c r="K16" s="3">
        <v>1</v>
      </c>
      <c r="L16" s="3">
        <v>0</v>
      </c>
      <c r="M16" s="3">
        <v>1</v>
      </c>
      <c r="N16" s="3">
        <v>1</v>
      </c>
      <c r="O16" s="3">
        <v>0</v>
      </c>
      <c r="P16" s="2">
        <v>68</v>
      </c>
      <c r="Q16" s="1">
        <v>21</v>
      </c>
      <c r="R16" s="1">
        <v>23</v>
      </c>
      <c r="S16" s="3">
        <v>0</v>
      </c>
    </row>
    <row r="17" spans="1:19">
      <c r="A17" s="3">
        <v>1</v>
      </c>
      <c r="B17" s="3">
        <v>44</v>
      </c>
      <c r="C17" t="s">
        <v>19</v>
      </c>
      <c r="D17" s="3">
        <v>163</v>
      </c>
      <c r="E17" s="1">
        <v>63</v>
      </c>
      <c r="F17" s="3">
        <v>2</v>
      </c>
      <c r="G17" s="2">
        <v>10</v>
      </c>
      <c r="H17" s="2">
        <v>20</v>
      </c>
      <c r="I17" s="3">
        <v>3</v>
      </c>
      <c r="J17" s="3">
        <v>1</v>
      </c>
      <c r="K17" s="3">
        <v>0</v>
      </c>
      <c r="L17" s="3">
        <v>0</v>
      </c>
      <c r="M17" s="3">
        <v>0</v>
      </c>
      <c r="N17" s="3">
        <v>1</v>
      </c>
      <c r="O17" s="3">
        <v>1</v>
      </c>
      <c r="P17" s="2">
        <v>70</v>
      </c>
      <c r="Q17" s="1">
        <v>25</v>
      </c>
      <c r="R17" s="1">
        <v>28</v>
      </c>
      <c r="S17" s="3">
        <v>0</v>
      </c>
    </row>
    <row r="18" spans="1:19">
      <c r="A18" s="3">
        <v>1</v>
      </c>
      <c r="B18" s="3">
        <v>38</v>
      </c>
      <c r="C18" t="s">
        <v>19</v>
      </c>
      <c r="D18" s="3">
        <v>168</v>
      </c>
      <c r="E18" s="1">
        <v>70</v>
      </c>
      <c r="F18" s="3">
        <v>2</v>
      </c>
      <c r="G18" s="2">
        <v>1.5</v>
      </c>
      <c r="H18" s="2">
        <v>3</v>
      </c>
      <c r="I18" s="3">
        <v>3</v>
      </c>
      <c r="J18" s="3">
        <v>1</v>
      </c>
      <c r="K18" s="3">
        <v>1</v>
      </c>
      <c r="L18" s="3">
        <v>0</v>
      </c>
      <c r="M18" s="3">
        <v>1</v>
      </c>
      <c r="N18" s="3">
        <v>1</v>
      </c>
      <c r="O18" s="3">
        <v>0</v>
      </c>
      <c r="P18" s="2">
        <v>63</v>
      </c>
      <c r="Q18" s="1">
        <v>23</v>
      </c>
      <c r="R18" s="1">
        <v>26</v>
      </c>
      <c r="S18" s="3">
        <v>0</v>
      </c>
    </row>
    <row r="19" spans="1:19">
      <c r="A19" s="3">
        <v>1</v>
      </c>
      <c r="B19" s="3">
        <v>30</v>
      </c>
      <c r="C19" t="s">
        <v>19</v>
      </c>
      <c r="D19" s="3">
        <v>170</v>
      </c>
      <c r="E19" s="1">
        <v>62</v>
      </c>
      <c r="F19" s="3">
        <v>2</v>
      </c>
      <c r="G19" s="2">
        <v>10</v>
      </c>
      <c r="H19" s="2">
        <v>20</v>
      </c>
      <c r="I19" s="3">
        <v>3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2">
        <v>52</v>
      </c>
      <c r="Q19" s="1">
        <v>25</v>
      </c>
      <c r="R19" s="1">
        <v>27</v>
      </c>
      <c r="S19" s="3">
        <v>0</v>
      </c>
    </row>
    <row r="20" spans="1:19">
      <c r="A20" s="3">
        <v>1</v>
      </c>
      <c r="B20" s="3">
        <v>30</v>
      </c>
      <c r="C20" t="s">
        <v>19</v>
      </c>
      <c r="D20" s="3">
        <v>167</v>
      </c>
      <c r="E20" s="1">
        <v>58</v>
      </c>
      <c r="F20" s="3">
        <v>2</v>
      </c>
      <c r="G20" s="2">
        <v>7</v>
      </c>
      <c r="H20" s="2">
        <v>15</v>
      </c>
      <c r="I20" s="3">
        <v>1</v>
      </c>
      <c r="J20" s="3">
        <v>1</v>
      </c>
      <c r="K20" s="3">
        <v>1</v>
      </c>
      <c r="L20" s="3">
        <v>1</v>
      </c>
      <c r="M20" s="3">
        <v>0</v>
      </c>
      <c r="N20" s="3">
        <v>1</v>
      </c>
      <c r="O20" s="3">
        <v>1</v>
      </c>
      <c r="P20" s="2">
        <v>64</v>
      </c>
      <c r="Q20" s="1">
        <v>27</v>
      </c>
      <c r="R20" s="1">
        <v>28</v>
      </c>
      <c r="S20" s="3">
        <v>0</v>
      </c>
    </row>
    <row r="21" spans="1:19">
      <c r="A21" s="3">
        <v>1</v>
      </c>
      <c r="B21" s="3">
        <v>36</v>
      </c>
      <c r="C21" t="s">
        <v>19</v>
      </c>
      <c r="D21" s="3">
        <v>161</v>
      </c>
      <c r="E21" s="1">
        <v>58</v>
      </c>
      <c r="F21" s="3">
        <v>2</v>
      </c>
      <c r="G21" s="2">
        <v>4</v>
      </c>
      <c r="H21" s="2">
        <v>15</v>
      </c>
      <c r="I21" s="3">
        <v>2</v>
      </c>
      <c r="J21" s="3">
        <v>0</v>
      </c>
      <c r="K21" s="3">
        <v>1</v>
      </c>
      <c r="L21" s="3">
        <v>0</v>
      </c>
      <c r="M21" s="3">
        <v>0</v>
      </c>
      <c r="N21" s="3">
        <v>1</v>
      </c>
      <c r="O21" s="3">
        <v>0</v>
      </c>
      <c r="P21" s="2">
        <v>50</v>
      </c>
      <c r="Q21" s="1">
        <v>20</v>
      </c>
      <c r="R21" s="1">
        <v>25</v>
      </c>
      <c r="S21" s="3">
        <v>0</v>
      </c>
    </row>
    <row r="22" spans="1:19">
      <c r="A22" s="3">
        <v>1</v>
      </c>
      <c r="B22" s="3">
        <v>25</v>
      </c>
      <c r="C22" t="s">
        <v>19</v>
      </c>
      <c r="D22" s="3">
        <v>163</v>
      </c>
      <c r="E22" s="1">
        <v>57</v>
      </c>
      <c r="F22" s="3">
        <v>2</v>
      </c>
      <c r="G22" s="2">
        <v>13</v>
      </c>
      <c r="H22" s="2">
        <v>25</v>
      </c>
      <c r="I22" s="3">
        <v>4</v>
      </c>
      <c r="J22" s="3">
        <v>0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2">
        <v>50</v>
      </c>
      <c r="Q22" s="1">
        <v>20</v>
      </c>
      <c r="R22" s="1">
        <v>22</v>
      </c>
      <c r="S22" s="3">
        <v>0</v>
      </c>
    </row>
    <row r="23" spans="1:19">
      <c r="A23" s="3">
        <v>1</v>
      </c>
      <c r="B23" s="3">
        <v>40</v>
      </c>
      <c r="C23" t="s">
        <v>19</v>
      </c>
      <c r="D23" s="3">
        <v>167</v>
      </c>
      <c r="E23" s="1">
        <v>60</v>
      </c>
      <c r="F23" s="3">
        <v>2</v>
      </c>
      <c r="G23" s="2">
        <v>1</v>
      </c>
      <c r="H23" s="2">
        <v>2</v>
      </c>
      <c r="I23" s="3">
        <v>1</v>
      </c>
      <c r="J23" s="3">
        <v>0</v>
      </c>
      <c r="K23" s="3">
        <v>0</v>
      </c>
      <c r="L23" s="3">
        <v>0</v>
      </c>
      <c r="M23" s="3">
        <v>0</v>
      </c>
      <c r="N23" s="3">
        <v>1</v>
      </c>
      <c r="O23" s="3">
        <v>0</v>
      </c>
      <c r="P23" s="2">
        <v>80</v>
      </c>
      <c r="Q23" s="1">
        <v>24</v>
      </c>
      <c r="R23" s="1">
        <v>28</v>
      </c>
      <c r="S23" s="3">
        <v>0</v>
      </c>
    </row>
    <row r="24" spans="1:19">
      <c r="A24" s="3">
        <v>2</v>
      </c>
      <c r="B24" s="3">
        <v>25</v>
      </c>
      <c r="C24" t="s">
        <v>19</v>
      </c>
      <c r="D24" s="3">
        <v>172</v>
      </c>
      <c r="E24" s="1">
        <v>61</v>
      </c>
      <c r="F24" s="3">
        <v>2</v>
      </c>
      <c r="G24" s="2">
        <v>1</v>
      </c>
      <c r="H24" s="2">
        <v>5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2">
        <v>40</v>
      </c>
      <c r="Q24" s="1">
        <v>28</v>
      </c>
      <c r="R24" s="1">
        <v>23</v>
      </c>
      <c r="S24" s="3">
        <v>0</v>
      </c>
    </row>
    <row r="25" spans="1:19">
      <c r="A25" s="3">
        <v>2</v>
      </c>
      <c r="B25" s="3">
        <v>27</v>
      </c>
      <c r="C25" t="s">
        <v>19</v>
      </c>
      <c r="D25" s="3">
        <v>166</v>
      </c>
      <c r="E25" s="1">
        <v>53</v>
      </c>
      <c r="F25" s="3">
        <v>2</v>
      </c>
      <c r="G25" s="2">
        <v>1</v>
      </c>
      <c r="H25" s="2">
        <v>7</v>
      </c>
      <c r="I25" s="3">
        <v>2</v>
      </c>
      <c r="J25" s="3">
        <v>0</v>
      </c>
      <c r="K25" s="3">
        <v>1</v>
      </c>
      <c r="L25" s="3">
        <v>0</v>
      </c>
      <c r="M25" s="3">
        <v>1</v>
      </c>
      <c r="N25" s="3">
        <v>1</v>
      </c>
      <c r="O25" s="3">
        <v>0</v>
      </c>
      <c r="P25" s="2">
        <v>70</v>
      </c>
      <c r="Q25" s="1">
        <v>24</v>
      </c>
      <c r="R25" s="1">
        <v>26</v>
      </c>
      <c r="S25" s="3">
        <v>0</v>
      </c>
    </row>
    <row r="26" spans="1:19">
      <c r="A26" s="3">
        <v>2</v>
      </c>
      <c r="B26" s="3">
        <v>25</v>
      </c>
      <c r="C26" t="s">
        <v>19</v>
      </c>
      <c r="D26" s="3">
        <v>166</v>
      </c>
      <c r="E26" s="1">
        <v>54</v>
      </c>
      <c r="F26" s="3">
        <v>2</v>
      </c>
      <c r="G26" s="2">
        <v>7.5</v>
      </c>
      <c r="H26" s="2">
        <v>30</v>
      </c>
      <c r="I26" s="3">
        <v>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</v>
      </c>
      <c r="P26" s="2">
        <v>75</v>
      </c>
      <c r="Q26" s="1">
        <v>20</v>
      </c>
      <c r="R26" s="1">
        <v>24</v>
      </c>
      <c r="S26" s="3">
        <v>0</v>
      </c>
    </row>
    <row r="27" spans="1:19">
      <c r="A27" s="3">
        <v>2</v>
      </c>
      <c r="B27" s="3">
        <v>29</v>
      </c>
      <c r="C27" t="s">
        <v>19</v>
      </c>
      <c r="D27" s="3">
        <v>170</v>
      </c>
      <c r="E27" s="1">
        <v>58</v>
      </c>
      <c r="F27" s="3">
        <v>2</v>
      </c>
      <c r="G27" s="2">
        <v>7</v>
      </c>
      <c r="H27" s="2">
        <v>40</v>
      </c>
      <c r="I27" s="3">
        <v>4</v>
      </c>
      <c r="J27" s="3">
        <v>1</v>
      </c>
      <c r="K27" s="3">
        <v>0</v>
      </c>
      <c r="L27" s="3">
        <v>0</v>
      </c>
      <c r="M27" s="3">
        <v>1</v>
      </c>
      <c r="N27" s="3">
        <v>0</v>
      </c>
      <c r="O27" s="3">
        <v>0</v>
      </c>
      <c r="P27" s="2">
        <v>40</v>
      </c>
      <c r="Q27" s="1">
        <v>25</v>
      </c>
      <c r="R27" s="1">
        <v>27</v>
      </c>
      <c r="S27" s="3">
        <v>0</v>
      </c>
    </row>
    <row r="28" spans="1:19">
      <c r="A28" s="3">
        <v>2</v>
      </c>
      <c r="B28" s="3">
        <v>27</v>
      </c>
      <c r="C28" t="s">
        <v>19</v>
      </c>
      <c r="D28" s="3">
        <v>174</v>
      </c>
      <c r="E28" s="1">
        <v>75</v>
      </c>
      <c r="F28" s="3">
        <v>2</v>
      </c>
      <c r="G28" s="2">
        <v>7</v>
      </c>
      <c r="H28" s="2">
        <v>20</v>
      </c>
      <c r="I28" s="3">
        <v>2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2">
        <v>55</v>
      </c>
      <c r="Q28" s="1">
        <v>22</v>
      </c>
      <c r="R28" s="1">
        <v>23</v>
      </c>
      <c r="S28" s="3">
        <v>0</v>
      </c>
    </row>
    <row r="29" spans="1:19">
      <c r="A29" s="3">
        <v>2</v>
      </c>
      <c r="B29" s="3">
        <v>31</v>
      </c>
      <c r="C29" t="s">
        <v>19</v>
      </c>
      <c r="D29" s="3">
        <v>167</v>
      </c>
      <c r="E29" s="1">
        <v>62</v>
      </c>
      <c r="F29" s="3">
        <v>2</v>
      </c>
      <c r="G29" s="2">
        <v>3</v>
      </c>
      <c r="H29" s="2">
        <v>10</v>
      </c>
      <c r="I29" s="3">
        <v>3</v>
      </c>
      <c r="J29" s="3">
        <v>0</v>
      </c>
      <c r="K29" s="3">
        <v>1</v>
      </c>
      <c r="L29" s="3">
        <v>0</v>
      </c>
      <c r="M29" s="3">
        <v>1</v>
      </c>
      <c r="N29" s="3">
        <v>1</v>
      </c>
      <c r="O29" s="3">
        <v>0</v>
      </c>
      <c r="P29" s="2">
        <v>40</v>
      </c>
      <c r="Q29" s="1">
        <v>24</v>
      </c>
      <c r="R29" s="1">
        <v>16</v>
      </c>
      <c r="S29" s="3">
        <v>0</v>
      </c>
    </row>
    <row r="30" spans="1:19">
      <c r="A30" s="3">
        <v>2</v>
      </c>
      <c r="B30" s="3">
        <v>25</v>
      </c>
      <c r="C30" t="s">
        <v>19</v>
      </c>
      <c r="D30" s="3">
        <v>165</v>
      </c>
      <c r="E30" s="1">
        <v>64</v>
      </c>
      <c r="F30" s="3">
        <v>3</v>
      </c>
      <c r="G30" s="2">
        <v>8</v>
      </c>
      <c r="H30" s="2">
        <v>30</v>
      </c>
      <c r="I30" s="3">
        <v>3</v>
      </c>
      <c r="J30" s="3">
        <v>1</v>
      </c>
      <c r="K30" s="3">
        <v>0</v>
      </c>
      <c r="L30" s="3">
        <v>0</v>
      </c>
      <c r="M30" s="3">
        <v>0</v>
      </c>
      <c r="N30" s="3">
        <v>1</v>
      </c>
      <c r="O30" s="3">
        <v>0</v>
      </c>
      <c r="P30" s="2">
        <v>50</v>
      </c>
      <c r="Q30" s="1">
        <v>26</v>
      </c>
      <c r="R30" s="1">
        <v>27</v>
      </c>
      <c r="S30" s="3">
        <v>0</v>
      </c>
    </row>
    <row r="31" spans="1:19">
      <c r="A31" s="3">
        <v>2</v>
      </c>
      <c r="B31" s="3">
        <v>26</v>
      </c>
      <c r="C31" t="s">
        <v>19</v>
      </c>
      <c r="D31" s="3">
        <v>170</v>
      </c>
      <c r="E31" s="1">
        <v>68</v>
      </c>
      <c r="F31" s="3">
        <v>2</v>
      </c>
      <c r="G31" s="2">
        <v>4</v>
      </c>
      <c r="H31" s="2">
        <v>20</v>
      </c>
      <c r="I31" s="3">
        <v>3</v>
      </c>
      <c r="J31" s="3">
        <v>0</v>
      </c>
      <c r="K31" s="3">
        <v>1</v>
      </c>
      <c r="L31" s="3">
        <v>0</v>
      </c>
      <c r="M31" s="3">
        <v>0</v>
      </c>
      <c r="N31" s="3">
        <v>0</v>
      </c>
      <c r="O31" s="3">
        <v>0</v>
      </c>
      <c r="P31" s="2">
        <v>42</v>
      </c>
      <c r="Q31" s="1">
        <v>22</v>
      </c>
      <c r="R31" s="1">
        <v>25</v>
      </c>
      <c r="S31" s="3">
        <v>0</v>
      </c>
    </row>
    <row r="32" spans="1:19">
      <c r="A32" s="3">
        <v>2</v>
      </c>
      <c r="B32" s="3">
        <v>34</v>
      </c>
      <c r="C32" t="s">
        <v>19</v>
      </c>
      <c r="D32" s="3">
        <v>168</v>
      </c>
      <c r="E32" s="1">
        <v>62</v>
      </c>
      <c r="F32" s="3">
        <v>2</v>
      </c>
      <c r="G32" s="2">
        <v>8</v>
      </c>
      <c r="H32" s="2">
        <v>20</v>
      </c>
      <c r="I32" s="3">
        <v>2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0</v>
      </c>
      <c r="P32" s="2">
        <v>60</v>
      </c>
      <c r="Q32" s="1">
        <v>23</v>
      </c>
      <c r="R32" s="1">
        <v>22</v>
      </c>
      <c r="S32" s="3">
        <v>0</v>
      </c>
    </row>
    <row r="33" spans="1:19">
      <c r="A33" s="3">
        <v>2</v>
      </c>
      <c r="B33" s="3">
        <v>29</v>
      </c>
      <c r="C33" t="s">
        <v>19</v>
      </c>
      <c r="D33" s="3">
        <v>170</v>
      </c>
      <c r="E33" s="1">
        <v>61</v>
      </c>
      <c r="F33" s="3">
        <v>2</v>
      </c>
      <c r="G33" s="2">
        <v>2.5</v>
      </c>
      <c r="H33" s="2">
        <v>10</v>
      </c>
      <c r="I33" s="3">
        <v>3</v>
      </c>
      <c r="J33" s="3">
        <v>0</v>
      </c>
      <c r="K33" s="3">
        <v>0</v>
      </c>
      <c r="L33" s="3">
        <v>1</v>
      </c>
      <c r="M33" s="3">
        <v>0</v>
      </c>
      <c r="N33" s="3">
        <v>0</v>
      </c>
      <c r="O33" s="3">
        <v>1</v>
      </c>
      <c r="P33" s="2">
        <v>50</v>
      </c>
      <c r="Q33" s="1">
        <v>20</v>
      </c>
      <c r="R33" s="1">
        <v>19</v>
      </c>
      <c r="S33" s="3">
        <v>0</v>
      </c>
    </row>
    <row r="34" spans="1:19">
      <c r="A34" s="3">
        <v>2</v>
      </c>
      <c r="B34" s="3">
        <v>32</v>
      </c>
      <c r="C34" t="s">
        <v>19</v>
      </c>
      <c r="D34" s="3">
        <v>165</v>
      </c>
      <c r="E34" s="1">
        <v>64</v>
      </c>
      <c r="F34" s="3">
        <v>2</v>
      </c>
      <c r="G34" s="2">
        <v>10</v>
      </c>
      <c r="H34" s="2">
        <v>20</v>
      </c>
      <c r="I34" s="3">
        <v>3</v>
      </c>
      <c r="J34" s="3">
        <v>1</v>
      </c>
      <c r="K34" s="3">
        <v>1</v>
      </c>
      <c r="L34" s="3">
        <v>1</v>
      </c>
      <c r="M34" s="3">
        <v>1</v>
      </c>
      <c r="N34" s="3">
        <v>0</v>
      </c>
      <c r="O34" s="3">
        <v>1</v>
      </c>
      <c r="P34" s="2">
        <v>42</v>
      </c>
      <c r="Q34" s="1">
        <v>20.5</v>
      </c>
      <c r="R34" s="1">
        <v>22</v>
      </c>
      <c r="S34" s="3">
        <v>0</v>
      </c>
    </row>
    <row r="35" spans="1:19">
      <c r="A35" s="3">
        <v>2</v>
      </c>
      <c r="B35" s="3">
        <v>28</v>
      </c>
      <c r="C35" t="s">
        <v>19</v>
      </c>
      <c r="D35" s="3">
        <v>169</v>
      </c>
      <c r="E35" s="1">
        <v>56</v>
      </c>
      <c r="F35" s="3">
        <v>2</v>
      </c>
      <c r="G35" s="2">
        <v>8</v>
      </c>
      <c r="H35" s="2">
        <v>30</v>
      </c>
      <c r="I35" s="3">
        <v>4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2">
        <v>45</v>
      </c>
      <c r="Q35" s="1">
        <v>21</v>
      </c>
      <c r="R35" s="1">
        <v>20</v>
      </c>
      <c r="S35" s="3">
        <v>0</v>
      </c>
    </row>
    <row r="36" spans="1:19">
      <c r="A36" s="3">
        <v>2</v>
      </c>
      <c r="B36" s="3">
        <v>48</v>
      </c>
      <c r="C36" t="s">
        <v>19</v>
      </c>
      <c r="D36" s="3">
        <v>162</v>
      </c>
      <c r="E36" s="1">
        <v>65</v>
      </c>
      <c r="F36" s="3">
        <v>0</v>
      </c>
      <c r="G36" s="2">
        <v>0.7</v>
      </c>
      <c r="H36" s="2">
        <v>10</v>
      </c>
      <c r="I36" s="3">
        <v>1</v>
      </c>
      <c r="J36" s="3">
        <v>0</v>
      </c>
      <c r="K36" s="3">
        <v>0</v>
      </c>
      <c r="L36" s="3">
        <v>1</v>
      </c>
      <c r="M36" s="3">
        <v>0</v>
      </c>
      <c r="N36" s="3">
        <v>0</v>
      </c>
      <c r="O36" s="3">
        <v>1</v>
      </c>
      <c r="P36" s="2">
        <v>40</v>
      </c>
      <c r="Q36" s="1">
        <v>25</v>
      </c>
      <c r="R36" s="1">
        <v>26</v>
      </c>
      <c r="S36" s="3">
        <v>0</v>
      </c>
    </row>
    <row r="37" spans="1:19">
      <c r="A37" s="3">
        <v>2</v>
      </c>
      <c r="B37" s="3">
        <v>30</v>
      </c>
      <c r="C37" t="s">
        <v>19</v>
      </c>
      <c r="D37" s="3">
        <v>169</v>
      </c>
      <c r="E37" s="1">
        <v>55</v>
      </c>
      <c r="F37" s="3">
        <v>2</v>
      </c>
      <c r="G37" s="2">
        <v>6</v>
      </c>
      <c r="H37" s="2">
        <v>20</v>
      </c>
      <c r="I37" s="3">
        <v>4</v>
      </c>
      <c r="J37" s="3">
        <v>0</v>
      </c>
      <c r="K37" s="3">
        <v>1</v>
      </c>
      <c r="L37" s="3">
        <v>0</v>
      </c>
      <c r="M37" s="3">
        <v>0</v>
      </c>
      <c r="N37" s="3">
        <v>1</v>
      </c>
      <c r="O37" s="3">
        <v>1</v>
      </c>
      <c r="P37" s="2">
        <v>45</v>
      </c>
      <c r="Q37" s="1">
        <v>30</v>
      </c>
      <c r="R37" s="1">
        <v>32</v>
      </c>
      <c r="S37" s="3">
        <v>0</v>
      </c>
    </row>
    <row r="38" spans="1:19">
      <c r="A38" s="3">
        <v>1</v>
      </c>
      <c r="B38" s="3">
        <v>29</v>
      </c>
      <c r="C38" t="s">
        <v>20</v>
      </c>
      <c r="D38" s="3">
        <v>155</v>
      </c>
      <c r="E38" s="1">
        <v>48</v>
      </c>
      <c r="F38" s="3">
        <v>0</v>
      </c>
      <c r="G38" s="2">
        <v>7.0000000000000007E-2</v>
      </c>
      <c r="H38" s="2">
        <v>3</v>
      </c>
      <c r="I38" s="3">
        <v>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1</v>
      </c>
      <c r="P38" s="2">
        <v>60</v>
      </c>
      <c r="Q38" s="1">
        <v>15</v>
      </c>
      <c r="R38" s="1">
        <v>20</v>
      </c>
      <c r="S38" s="3">
        <v>1</v>
      </c>
    </row>
    <row r="39" spans="1:19">
      <c r="A39" s="3">
        <v>1</v>
      </c>
      <c r="B39" s="3">
        <v>24</v>
      </c>
      <c r="C39" t="s">
        <v>20</v>
      </c>
      <c r="D39" s="3">
        <v>153</v>
      </c>
      <c r="E39" s="1">
        <v>42</v>
      </c>
      <c r="F39" s="3">
        <v>2</v>
      </c>
      <c r="G39" s="2">
        <v>3</v>
      </c>
      <c r="H39" s="2">
        <v>10</v>
      </c>
      <c r="I39" s="3">
        <v>3</v>
      </c>
      <c r="J39" s="3">
        <v>1</v>
      </c>
      <c r="K39" s="3">
        <v>0</v>
      </c>
      <c r="L39" s="3">
        <v>0</v>
      </c>
      <c r="M39" s="3">
        <v>1</v>
      </c>
      <c r="N39" s="3">
        <v>0</v>
      </c>
      <c r="O39" s="3">
        <v>1</v>
      </c>
      <c r="P39" s="2">
        <v>60</v>
      </c>
      <c r="Q39" s="1">
        <v>23</v>
      </c>
      <c r="R39" s="1">
        <v>22</v>
      </c>
      <c r="S39" s="3">
        <v>1</v>
      </c>
    </row>
    <row r="40" spans="1:19">
      <c r="A40" s="3">
        <v>1</v>
      </c>
      <c r="B40" s="3">
        <v>30</v>
      </c>
      <c r="C40" t="s">
        <v>20</v>
      </c>
      <c r="D40" s="3">
        <v>155</v>
      </c>
      <c r="E40" s="1">
        <v>45</v>
      </c>
      <c r="F40" s="3">
        <v>2</v>
      </c>
      <c r="G40" s="2">
        <v>1</v>
      </c>
      <c r="H40" s="2">
        <v>10</v>
      </c>
      <c r="I40" s="3">
        <v>1</v>
      </c>
      <c r="J40" s="3">
        <v>0</v>
      </c>
      <c r="K40" s="3">
        <v>0</v>
      </c>
      <c r="L40" s="3">
        <v>1</v>
      </c>
      <c r="M40" s="3">
        <v>1</v>
      </c>
      <c r="N40" s="3">
        <v>0</v>
      </c>
      <c r="O40" s="3">
        <v>1</v>
      </c>
      <c r="P40" s="2">
        <v>45</v>
      </c>
      <c r="Q40" s="1">
        <v>20</v>
      </c>
      <c r="R40" s="1">
        <v>22</v>
      </c>
      <c r="S40" s="3">
        <v>1</v>
      </c>
    </row>
    <row r="41" spans="1:19">
      <c r="A41" s="3">
        <v>2</v>
      </c>
      <c r="B41" s="3">
        <v>34</v>
      </c>
      <c r="C41" t="s">
        <v>20</v>
      </c>
      <c r="D41" s="3">
        <v>156</v>
      </c>
      <c r="E41" s="1">
        <v>47</v>
      </c>
      <c r="F41" s="3">
        <v>2</v>
      </c>
      <c r="G41" s="2">
        <v>0.6</v>
      </c>
      <c r="H41" s="2">
        <v>5</v>
      </c>
      <c r="I41" s="3">
        <v>1</v>
      </c>
      <c r="J41" s="3">
        <v>1</v>
      </c>
      <c r="K41" s="3">
        <v>0</v>
      </c>
      <c r="L41" s="3">
        <v>0</v>
      </c>
      <c r="M41" s="3">
        <v>1</v>
      </c>
      <c r="N41" s="3">
        <v>0</v>
      </c>
      <c r="O41" s="3">
        <v>1</v>
      </c>
      <c r="P41" s="2">
        <v>35</v>
      </c>
      <c r="Q41" s="1">
        <v>22</v>
      </c>
      <c r="R41" s="1">
        <v>20</v>
      </c>
      <c r="S41" s="3">
        <v>1</v>
      </c>
    </row>
    <row r="42" spans="1:19">
      <c r="A42" s="3">
        <v>2</v>
      </c>
      <c r="B42" s="3">
        <v>34</v>
      </c>
      <c r="C42" t="s">
        <v>20</v>
      </c>
      <c r="D42" s="3">
        <v>155</v>
      </c>
      <c r="E42" s="1">
        <v>55</v>
      </c>
      <c r="F42" s="3">
        <v>2</v>
      </c>
      <c r="G42" s="2">
        <v>4</v>
      </c>
      <c r="H42" s="2">
        <v>10</v>
      </c>
      <c r="I42" s="3">
        <v>1</v>
      </c>
      <c r="J42" s="3">
        <v>0</v>
      </c>
      <c r="K42" s="3">
        <v>0</v>
      </c>
      <c r="L42" s="3">
        <v>1</v>
      </c>
      <c r="M42" s="3">
        <v>0</v>
      </c>
      <c r="N42" s="3">
        <v>0</v>
      </c>
      <c r="O42" s="3">
        <v>0</v>
      </c>
      <c r="P42" s="2">
        <v>10</v>
      </c>
      <c r="Q42" s="1">
        <v>20</v>
      </c>
      <c r="R42" s="1">
        <v>19</v>
      </c>
      <c r="S42" s="3">
        <v>1</v>
      </c>
    </row>
    <row r="43" spans="1:19">
      <c r="A43" s="3">
        <v>2</v>
      </c>
      <c r="B43" s="3">
        <v>23</v>
      </c>
      <c r="C43" t="s">
        <v>20</v>
      </c>
      <c r="D43" s="3">
        <v>150</v>
      </c>
      <c r="E43" s="1">
        <v>45</v>
      </c>
      <c r="F43" s="3">
        <v>1</v>
      </c>
      <c r="G43" s="2">
        <v>6.5</v>
      </c>
      <c r="H43" s="2">
        <v>35</v>
      </c>
      <c r="I43" s="3">
        <v>3</v>
      </c>
      <c r="J43" s="3">
        <v>1</v>
      </c>
      <c r="K43" s="3">
        <v>0</v>
      </c>
      <c r="L43" s="3">
        <v>1</v>
      </c>
      <c r="M43" s="3">
        <v>1</v>
      </c>
      <c r="N43" s="3">
        <v>0</v>
      </c>
      <c r="O43" s="3">
        <v>0</v>
      </c>
      <c r="P43" s="2">
        <v>45</v>
      </c>
      <c r="Q43" s="1">
        <v>22</v>
      </c>
      <c r="R43" s="1">
        <v>26</v>
      </c>
      <c r="S43" s="3">
        <v>1</v>
      </c>
    </row>
    <row r="44" spans="1:19">
      <c r="A44" s="3">
        <v>2</v>
      </c>
      <c r="B44" s="3">
        <v>28</v>
      </c>
      <c r="C44" t="s">
        <v>20</v>
      </c>
      <c r="D44" s="3">
        <v>152</v>
      </c>
      <c r="E44" s="1">
        <v>44</v>
      </c>
      <c r="F44" s="3">
        <v>2</v>
      </c>
      <c r="G44" s="2">
        <v>5</v>
      </c>
      <c r="H44" s="2">
        <v>20</v>
      </c>
      <c r="I44" s="3">
        <v>3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2">
        <v>200</v>
      </c>
      <c r="Q44" s="1">
        <v>25</v>
      </c>
      <c r="R44" s="1">
        <v>23</v>
      </c>
      <c r="S44" s="3">
        <v>1</v>
      </c>
    </row>
    <row r="45" spans="1:19">
      <c r="A45" s="3">
        <v>2</v>
      </c>
      <c r="B45" s="3">
        <v>33</v>
      </c>
      <c r="C45" t="s">
        <v>20</v>
      </c>
      <c r="D45" s="3">
        <v>157</v>
      </c>
      <c r="E45" s="1">
        <v>56</v>
      </c>
      <c r="F45" s="3">
        <v>2</v>
      </c>
      <c r="G45" s="2">
        <v>1</v>
      </c>
      <c r="H45" s="2">
        <v>5</v>
      </c>
      <c r="I45" s="3">
        <v>1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1</v>
      </c>
      <c r="P45" s="2">
        <v>60</v>
      </c>
      <c r="Q45" s="1">
        <v>22</v>
      </c>
      <c r="R45" s="1">
        <v>19</v>
      </c>
      <c r="S45" s="3">
        <v>1</v>
      </c>
    </row>
    <row r="46" spans="1:19">
      <c r="A46" s="3">
        <v>2</v>
      </c>
      <c r="B46" s="3">
        <v>35</v>
      </c>
      <c r="C46" t="s">
        <v>20</v>
      </c>
      <c r="D46" s="3">
        <v>160</v>
      </c>
      <c r="E46" s="1">
        <v>56</v>
      </c>
      <c r="F46" s="3">
        <v>2</v>
      </c>
      <c r="G46" s="2">
        <v>5</v>
      </c>
      <c r="H46" s="2">
        <v>20</v>
      </c>
      <c r="I46" s="3">
        <v>2</v>
      </c>
      <c r="J46" s="3">
        <v>1</v>
      </c>
      <c r="K46" s="3">
        <v>0</v>
      </c>
      <c r="L46" s="3">
        <v>1</v>
      </c>
      <c r="M46" s="3">
        <v>1</v>
      </c>
      <c r="N46" s="3">
        <v>0</v>
      </c>
      <c r="O46" s="3">
        <v>1</v>
      </c>
      <c r="P46" s="2">
        <v>65</v>
      </c>
      <c r="Q46" s="1">
        <v>25</v>
      </c>
      <c r="R46" s="1">
        <v>25</v>
      </c>
      <c r="S46" s="3">
        <v>1</v>
      </c>
    </row>
    <row r="48" spans="1:19">
      <c r="D48" s="2"/>
    </row>
    <row r="49" spans="4:4">
      <c r="D49" s="3"/>
    </row>
    <row r="54" spans="4:4">
      <c r="D54" s="4"/>
    </row>
  </sheetData>
  <sortState ref="A2:S46">
    <sortCondition ref="C1:C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topLeftCell="C1" zoomScale="198" zoomScaleNormal="198" workbookViewId="0">
      <selection activeCell="F16" sqref="F16"/>
    </sheetView>
  </sheetViews>
  <sheetFormatPr defaultRowHeight="14.4"/>
  <cols>
    <col min="5" max="5" width="18.5546875" customWidth="1"/>
    <col min="6" max="6" width="10.33203125" customWidth="1"/>
    <col min="7" max="7" width="10.44140625" customWidth="1"/>
  </cols>
  <sheetData>
    <row r="1" spans="1:8">
      <c r="A1" t="s">
        <v>0</v>
      </c>
      <c r="B1" t="s">
        <v>7</v>
      </c>
    </row>
    <row r="2" spans="1:8">
      <c r="A2" s="3">
        <v>1</v>
      </c>
      <c r="B2" s="2">
        <v>5</v>
      </c>
      <c r="F2" t="s">
        <v>26</v>
      </c>
    </row>
    <row r="3" spans="1:8">
      <c r="A3" s="3">
        <v>1</v>
      </c>
      <c r="B3" s="2">
        <v>20</v>
      </c>
      <c r="F3" t="s">
        <v>38</v>
      </c>
    </row>
    <row r="4" spans="1:8">
      <c r="A4" s="3">
        <v>1</v>
      </c>
      <c r="B4" s="2">
        <v>20</v>
      </c>
    </row>
    <row r="5" spans="1:8">
      <c r="A5" s="3">
        <v>1</v>
      </c>
      <c r="B5" s="2">
        <v>5</v>
      </c>
      <c r="E5" t="s">
        <v>27</v>
      </c>
    </row>
    <row r="6" spans="1:8">
      <c r="A6" s="3">
        <v>1</v>
      </c>
      <c r="B6" s="2">
        <v>10</v>
      </c>
      <c r="F6" t="s">
        <v>33</v>
      </c>
      <c r="G6" t="s">
        <v>34</v>
      </c>
    </row>
    <row r="7" spans="1:8">
      <c r="A7" s="3">
        <v>1</v>
      </c>
      <c r="B7" s="2">
        <v>5</v>
      </c>
      <c r="E7" t="s">
        <v>28</v>
      </c>
      <c r="F7">
        <f>COUNTIF(A:A,1)</f>
        <v>25</v>
      </c>
      <c r="G7">
        <f>COUNTIF(A:A,2)</f>
        <v>20</v>
      </c>
    </row>
    <row r="8" spans="1:8">
      <c r="A8" s="3">
        <v>1</v>
      </c>
      <c r="B8" s="2">
        <v>10</v>
      </c>
      <c r="E8" t="s">
        <v>21</v>
      </c>
      <c r="F8">
        <f>AVERAGEIF($A:$A,1,$B:$B)</f>
        <v>12.32</v>
      </c>
      <c r="G8">
        <f>AVERAGEIF($A:$A,2,$B:$B)</f>
        <v>18.350000000000001</v>
      </c>
    </row>
    <row r="9" spans="1:8">
      <c r="A9" s="3">
        <v>1</v>
      </c>
      <c r="B9" s="2">
        <v>5</v>
      </c>
      <c r="E9" t="s">
        <v>29</v>
      </c>
      <c r="F9">
        <f>VAR(B2:B26)</f>
        <v>90.643333333333331</v>
      </c>
      <c r="G9">
        <f>VAR(B27:B46)</f>
        <v>111.29210526315791</v>
      </c>
    </row>
    <row r="10" spans="1:8">
      <c r="A10" s="3">
        <v>1</v>
      </c>
      <c r="B10" s="2">
        <v>5</v>
      </c>
      <c r="E10" t="s">
        <v>273</v>
      </c>
      <c r="F10">
        <f>SQRT((F7*G7)/(F7+G7))*SQRT((F7+G7-2)/(F7*F9+G7*G9))*(F8-G8)</f>
        <v>-1.9665908573812441</v>
      </c>
      <c r="H10" t="s">
        <v>35</v>
      </c>
    </row>
    <row r="11" spans="1:8">
      <c r="A11" s="3">
        <v>1</v>
      </c>
      <c r="B11" s="2">
        <v>3</v>
      </c>
      <c r="E11" t="s">
        <v>274</v>
      </c>
      <c r="F11">
        <f>ABS(F10)</f>
        <v>1.9665908573812441</v>
      </c>
    </row>
    <row r="12" spans="1:8">
      <c r="A12" s="3">
        <v>1</v>
      </c>
      <c r="B12" s="2">
        <v>45</v>
      </c>
      <c r="E12" t="s">
        <v>30</v>
      </c>
      <c r="F12">
        <f>TDIST(F11,F7+G7-2,2)</f>
        <v>5.5705912313262704E-2</v>
      </c>
      <c r="H12" t="s">
        <v>36</v>
      </c>
    </row>
    <row r="13" spans="1:8">
      <c r="A13" s="3">
        <v>1</v>
      </c>
      <c r="B13" s="2">
        <v>15</v>
      </c>
    </row>
    <row r="14" spans="1:8">
      <c r="A14" s="3">
        <v>1</v>
      </c>
      <c r="B14" s="2">
        <v>10</v>
      </c>
      <c r="E14" t="s">
        <v>31</v>
      </c>
      <c r="F14" t="s">
        <v>37</v>
      </c>
      <c r="H14" t="s">
        <v>39</v>
      </c>
    </row>
    <row r="15" spans="1:8">
      <c r="A15" s="3">
        <v>1</v>
      </c>
      <c r="B15" s="2">
        <v>10</v>
      </c>
    </row>
    <row r="16" spans="1:8">
      <c r="A16" s="3">
        <v>1</v>
      </c>
      <c r="B16" s="2">
        <v>17</v>
      </c>
      <c r="E16" t="s">
        <v>32</v>
      </c>
      <c r="F16" t="s">
        <v>40</v>
      </c>
    </row>
    <row r="17" spans="1:11">
      <c r="A17" s="3">
        <v>1</v>
      </c>
      <c r="B17" s="2">
        <v>20</v>
      </c>
    </row>
    <row r="18" spans="1:11">
      <c r="A18" s="3">
        <v>1</v>
      </c>
      <c r="B18" s="2">
        <v>3</v>
      </c>
      <c r="E18" t="s">
        <v>45</v>
      </c>
    </row>
    <row r="19" spans="1:11">
      <c r="A19" s="3">
        <v>1</v>
      </c>
      <c r="B19" s="2">
        <v>20</v>
      </c>
    </row>
    <row r="20" spans="1:11">
      <c r="A20" s="3">
        <v>1</v>
      </c>
      <c r="B20" s="2">
        <v>15</v>
      </c>
      <c r="E20" t="s">
        <v>41</v>
      </c>
      <c r="G20">
        <f>TINV(5%,F7+G7-2)</f>
        <v>2.0166921734373453</v>
      </c>
      <c r="H20" t="s">
        <v>42</v>
      </c>
    </row>
    <row r="21" spans="1:11">
      <c r="A21" s="3">
        <v>1</v>
      </c>
      <c r="B21" s="2">
        <v>15</v>
      </c>
      <c r="E21" t="s">
        <v>43</v>
      </c>
      <c r="G21" t="s">
        <v>44</v>
      </c>
      <c r="J21" t="s">
        <v>39</v>
      </c>
    </row>
    <row r="22" spans="1:11">
      <c r="A22" s="3">
        <v>1</v>
      </c>
      <c r="B22" s="2">
        <v>25</v>
      </c>
      <c r="E22" t="s">
        <v>32</v>
      </c>
      <c r="F22" t="s">
        <v>40</v>
      </c>
    </row>
    <row r="23" spans="1:11">
      <c r="A23" s="3">
        <v>1</v>
      </c>
      <c r="B23" s="2">
        <v>2</v>
      </c>
    </row>
    <row r="24" spans="1:11">
      <c r="A24" s="3">
        <v>1</v>
      </c>
      <c r="B24" s="2">
        <v>3</v>
      </c>
      <c r="E24" t="s">
        <v>46</v>
      </c>
    </row>
    <row r="25" spans="1:11">
      <c r="A25" s="3">
        <v>1</v>
      </c>
      <c r="B25" s="2">
        <v>10</v>
      </c>
    </row>
    <row r="26" spans="1:11">
      <c r="A26" s="3">
        <v>1</v>
      </c>
      <c r="B26" s="2">
        <v>10</v>
      </c>
      <c r="E26" t="s">
        <v>47</v>
      </c>
      <c r="F26">
        <f>TINV(5%,F7-1)</f>
        <v>2.0638985473180682</v>
      </c>
      <c r="G26">
        <f>TINV(5%,G7-1)</f>
        <v>2.0930240498548649</v>
      </c>
      <c r="I26" t="s">
        <v>275</v>
      </c>
      <c r="K26" t="s">
        <v>276</v>
      </c>
    </row>
    <row r="27" spans="1:11">
      <c r="A27" s="3">
        <v>2</v>
      </c>
      <c r="B27" s="2">
        <v>5</v>
      </c>
      <c r="D27" t="s">
        <v>48</v>
      </c>
      <c r="E27" t="s">
        <v>49</v>
      </c>
      <c r="F27">
        <f>F8-F26*SQRT(F9/(F7-1))</f>
        <v>8.3090185034982298</v>
      </c>
      <c r="G27">
        <f>G8-G26*SQRT(G9/(G7-1))</f>
        <v>13.284415117838888</v>
      </c>
      <c r="I27" t="s">
        <v>51</v>
      </c>
    </row>
    <row r="28" spans="1:11">
      <c r="A28" s="3">
        <v>2</v>
      </c>
      <c r="B28" s="2">
        <v>7</v>
      </c>
      <c r="E28" t="s">
        <v>50</v>
      </c>
      <c r="F28">
        <f>F8+F26*SQRT(F9/(F7-1))</f>
        <v>16.330981496501771</v>
      </c>
      <c r="G28">
        <f>G8+G26*SQRT(G9/(G7-1))</f>
        <v>23.415584882161113</v>
      </c>
      <c r="I28" t="s">
        <v>52</v>
      </c>
    </row>
    <row r="29" spans="1:11">
      <c r="A29" s="3">
        <v>2</v>
      </c>
      <c r="B29" s="2">
        <v>30</v>
      </c>
    </row>
    <row r="30" spans="1:11">
      <c r="A30" s="3">
        <v>2</v>
      </c>
      <c r="B30" s="2">
        <v>40</v>
      </c>
      <c r="E30" t="s">
        <v>53</v>
      </c>
      <c r="F30" t="s">
        <v>54</v>
      </c>
    </row>
    <row r="31" spans="1:11">
      <c r="A31" s="3">
        <v>2</v>
      </c>
      <c r="B31" s="2">
        <v>20</v>
      </c>
      <c r="E31" t="s">
        <v>55</v>
      </c>
    </row>
    <row r="32" spans="1:11">
      <c r="A32" s="3">
        <v>2</v>
      </c>
      <c r="B32" s="2">
        <v>10</v>
      </c>
      <c r="E32" t="s">
        <v>32</v>
      </c>
      <c r="F32" t="s">
        <v>40</v>
      </c>
    </row>
    <row r="33" spans="1:2">
      <c r="A33" s="3">
        <v>2</v>
      </c>
      <c r="B33" s="2">
        <v>30</v>
      </c>
    </row>
    <row r="34" spans="1:2">
      <c r="A34" s="3">
        <v>2</v>
      </c>
      <c r="B34" s="2">
        <v>20</v>
      </c>
    </row>
    <row r="35" spans="1:2">
      <c r="A35" s="3">
        <v>2</v>
      </c>
      <c r="B35" s="2">
        <v>20</v>
      </c>
    </row>
    <row r="36" spans="1:2">
      <c r="A36" s="3">
        <v>2</v>
      </c>
      <c r="B36" s="2">
        <v>10</v>
      </c>
    </row>
    <row r="37" spans="1:2">
      <c r="A37" s="3">
        <v>2</v>
      </c>
      <c r="B37" s="2">
        <v>20</v>
      </c>
    </row>
    <row r="38" spans="1:2">
      <c r="A38" s="3">
        <v>2</v>
      </c>
      <c r="B38" s="2">
        <v>30</v>
      </c>
    </row>
    <row r="39" spans="1:2">
      <c r="A39" s="3">
        <v>2</v>
      </c>
      <c r="B39" s="2">
        <v>10</v>
      </c>
    </row>
    <row r="40" spans="1:2">
      <c r="A40" s="3">
        <v>2</v>
      </c>
      <c r="B40" s="2">
        <v>20</v>
      </c>
    </row>
    <row r="41" spans="1:2">
      <c r="A41" s="3">
        <v>2</v>
      </c>
      <c r="B41" s="2">
        <v>5</v>
      </c>
    </row>
    <row r="42" spans="1:2">
      <c r="A42" s="3">
        <v>2</v>
      </c>
      <c r="B42" s="2">
        <v>10</v>
      </c>
    </row>
    <row r="43" spans="1:2">
      <c r="A43" s="3">
        <v>2</v>
      </c>
      <c r="B43" s="2">
        <v>35</v>
      </c>
    </row>
    <row r="44" spans="1:2">
      <c r="A44" s="3">
        <v>2</v>
      </c>
      <c r="B44" s="2">
        <v>20</v>
      </c>
    </row>
    <row r="45" spans="1:2">
      <c r="A45" s="3">
        <v>2</v>
      </c>
      <c r="B45" s="2">
        <v>5</v>
      </c>
    </row>
    <row r="46" spans="1:2">
      <c r="A46" s="3">
        <v>2</v>
      </c>
      <c r="B46" s="2">
        <v>20</v>
      </c>
    </row>
  </sheetData>
  <sortState ref="A2:B46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4"/>
  <sheetViews>
    <sheetView zoomScale="159" zoomScaleNormal="159" workbookViewId="0">
      <selection activeCell="J16" sqref="J16"/>
    </sheetView>
  </sheetViews>
  <sheetFormatPr defaultRowHeight="14.4"/>
  <cols>
    <col min="1" max="1" width="7.33203125" customWidth="1"/>
    <col min="2" max="2" width="8.88671875" customWidth="1"/>
    <col min="3" max="3" width="5.6640625" customWidth="1"/>
    <col min="4" max="4" width="6.33203125" customWidth="1"/>
    <col min="5" max="5" width="16.5546875" customWidth="1"/>
    <col min="6" max="6" width="15.5546875" customWidth="1"/>
    <col min="7" max="7" width="12.109375" customWidth="1"/>
  </cols>
  <sheetData>
    <row r="1" spans="1:8">
      <c r="A1" t="s">
        <v>2</v>
      </c>
      <c r="B1" t="s">
        <v>3</v>
      </c>
    </row>
    <row r="2" spans="1:8">
      <c r="A2" t="s">
        <v>19</v>
      </c>
      <c r="B2" s="3">
        <v>166</v>
      </c>
      <c r="E2" t="s">
        <v>254</v>
      </c>
    </row>
    <row r="3" spans="1:8">
      <c r="A3" t="s">
        <v>19</v>
      </c>
      <c r="B3" s="3">
        <v>168</v>
      </c>
      <c r="E3" t="s">
        <v>255</v>
      </c>
    </row>
    <row r="4" spans="1:8">
      <c r="A4" t="s">
        <v>19</v>
      </c>
      <c r="B4" s="3">
        <v>172</v>
      </c>
    </row>
    <row r="5" spans="1:8">
      <c r="A5" t="s">
        <v>19</v>
      </c>
      <c r="B5" s="3">
        <v>160</v>
      </c>
      <c r="F5" t="s">
        <v>57</v>
      </c>
      <c r="G5" t="s">
        <v>58</v>
      </c>
    </row>
    <row r="6" spans="1:8">
      <c r="A6" t="s">
        <v>19</v>
      </c>
      <c r="B6" s="3">
        <v>172</v>
      </c>
      <c r="E6" t="s">
        <v>56</v>
      </c>
      <c r="F6">
        <f>COUNTIF($A:$A,"nam")</f>
        <v>36</v>
      </c>
      <c r="G6">
        <f>COUNTIF($A:$A,"nu")</f>
        <v>9</v>
      </c>
    </row>
    <row r="7" spans="1:8">
      <c r="A7" t="s">
        <v>19</v>
      </c>
      <c r="B7" s="3">
        <v>168</v>
      </c>
      <c r="E7" t="s">
        <v>21</v>
      </c>
      <c r="F7">
        <f>AVERAGEIF($A:$A,"nam",$B:$B)</f>
        <v>167.75</v>
      </c>
      <c r="G7">
        <f>AVERAGEIF($A:$A,"nu",$B:$B)</f>
        <v>154.77777777777777</v>
      </c>
    </row>
    <row r="8" spans="1:8">
      <c r="A8" t="s">
        <v>19</v>
      </c>
      <c r="B8" s="3">
        <v>170</v>
      </c>
      <c r="E8" t="s">
        <v>29</v>
      </c>
      <c r="F8">
        <f>VAR(B2:B37)</f>
        <v>13.45</v>
      </c>
      <c r="G8">
        <f>VAR(B38:B46)</f>
        <v>8.4444444444452529</v>
      </c>
    </row>
    <row r="9" spans="1:8">
      <c r="A9" t="s">
        <v>19</v>
      </c>
      <c r="B9" s="3">
        <v>161</v>
      </c>
      <c r="E9" t="s">
        <v>59</v>
      </c>
      <c r="F9">
        <f>SQRT((F6*G6)/(F6+G6))*SQRT((F6+G6-2)/(F6*F8+G6*G8))*(F7-G7)</f>
        <v>9.643691380916021</v>
      </c>
      <c r="H9" t="s">
        <v>60</v>
      </c>
    </row>
    <row r="10" spans="1:8">
      <c r="A10" t="s">
        <v>19</v>
      </c>
      <c r="B10" s="3">
        <v>172</v>
      </c>
      <c r="E10" t="s">
        <v>61</v>
      </c>
      <c r="F10">
        <f>ABS(F9)</f>
        <v>9.643691380916021</v>
      </c>
    </row>
    <row r="11" spans="1:8">
      <c r="A11" t="s">
        <v>19</v>
      </c>
      <c r="B11" s="3">
        <v>175</v>
      </c>
    </row>
    <row r="12" spans="1:8">
      <c r="A12" t="s">
        <v>19</v>
      </c>
      <c r="B12" s="3">
        <v>170</v>
      </c>
      <c r="E12" t="s">
        <v>62</v>
      </c>
    </row>
    <row r="13" spans="1:8">
      <c r="A13" t="s">
        <v>19</v>
      </c>
      <c r="B13" s="3">
        <v>165</v>
      </c>
      <c r="E13" t="s">
        <v>63</v>
      </c>
      <c r="F13" s="14">
        <f>TDIST(F10,F6+G6-2,2)</f>
        <v>2.5661484308854404E-12</v>
      </c>
      <c r="H13" t="s">
        <v>64</v>
      </c>
    </row>
    <row r="14" spans="1:8">
      <c r="A14" t="s">
        <v>19</v>
      </c>
      <c r="B14" s="3">
        <v>170</v>
      </c>
      <c r="E14" t="s">
        <v>65</v>
      </c>
      <c r="G14" t="s">
        <v>66</v>
      </c>
    </row>
    <row r="15" spans="1:8">
      <c r="A15" t="s">
        <v>19</v>
      </c>
      <c r="B15" s="3">
        <v>168</v>
      </c>
      <c r="E15" t="s">
        <v>32</v>
      </c>
      <c r="F15" t="s">
        <v>71</v>
      </c>
    </row>
    <row r="16" spans="1:8">
      <c r="A16" t="s">
        <v>19</v>
      </c>
      <c r="B16" s="3">
        <v>170</v>
      </c>
    </row>
    <row r="17" spans="1:8">
      <c r="A17" t="s">
        <v>19</v>
      </c>
      <c r="B17" s="3">
        <v>163</v>
      </c>
      <c r="E17" t="s">
        <v>70</v>
      </c>
    </row>
    <row r="18" spans="1:8">
      <c r="A18" t="s">
        <v>19</v>
      </c>
      <c r="B18" s="3">
        <v>168</v>
      </c>
      <c r="E18" t="s">
        <v>67</v>
      </c>
      <c r="F18">
        <f>TINV(5%,F6+G6-2)</f>
        <v>2.0166921734373453</v>
      </c>
      <c r="H18" t="s">
        <v>42</v>
      </c>
    </row>
    <row r="19" spans="1:8">
      <c r="A19" t="s">
        <v>19</v>
      </c>
      <c r="B19" s="3">
        <v>170</v>
      </c>
      <c r="E19" t="s">
        <v>68</v>
      </c>
      <c r="H19" t="s">
        <v>69</v>
      </c>
    </row>
    <row r="20" spans="1:8">
      <c r="A20" t="s">
        <v>19</v>
      </c>
      <c r="B20" s="3">
        <v>167</v>
      </c>
      <c r="E20" t="s">
        <v>32</v>
      </c>
      <c r="F20" t="s">
        <v>72</v>
      </c>
    </row>
    <row r="21" spans="1:8">
      <c r="A21" t="s">
        <v>19</v>
      </c>
      <c r="B21" s="3">
        <v>161</v>
      </c>
    </row>
    <row r="22" spans="1:8">
      <c r="A22" t="s">
        <v>19</v>
      </c>
      <c r="B22" s="3">
        <v>163</v>
      </c>
      <c r="E22" t="s">
        <v>46</v>
      </c>
    </row>
    <row r="23" spans="1:8">
      <c r="A23" t="s">
        <v>19</v>
      </c>
      <c r="B23" s="3">
        <v>167</v>
      </c>
      <c r="E23" t="s">
        <v>73</v>
      </c>
      <c r="F23" s="7">
        <f>TINV(5%,F6-1)</f>
        <v>2.0301079154483119</v>
      </c>
      <c r="G23" s="7">
        <f>TINV(5%,G6-1)</f>
        <v>2.3060041332991172</v>
      </c>
      <c r="H23" t="s">
        <v>74</v>
      </c>
    </row>
    <row r="24" spans="1:8">
      <c r="A24" t="s">
        <v>19</v>
      </c>
      <c r="B24" s="3">
        <v>172</v>
      </c>
      <c r="E24" t="s">
        <v>75</v>
      </c>
      <c r="F24" s="7">
        <f>F7-F23*SQRT(F8/(F6-1))</f>
        <v>166.49152021305159</v>
      </c>
      <c r="G24" s="7">
        <f>G7-G23*SQRT(G8/(G6-1))</f>
        <v>152.40858374940876</v>
      </c>
      <c r="H24" t="s">
        <v>77</v>
      </c>
    </row>
    <row r="25" spans="1:8">
      <c r="A25" t="s">
        <v>19</v>
      </c>
      <c r="B25" s="3">
        <v>166</v>
      </c>
      <c r="E25" t="s">
        <v>76</v>
      </c>
      <c r="F25" s="7">
        <f>F7+F23*SQRT(F8/(F6-1))</f>
        <v>169.00847978694841</v>
      </c>
      <c r="G25" s="7">
        <f>G7+G23*SQRT(G8/(G6-1))</f>
        <v>157.14697180614678</v>
      </c>
      <c r="H25" t="s">
        <v>78</v>
      </c>
    </row>
    <row r="26" spans="1:8">
      <c r="A26" t="s">
        <v>19</v>
      </c>
      <c r="B26" s="3">
        <v>166</v>
      </c>
    </row>
    <row r="27" spans="1:8">
      <c r="A27" t="s">
        <v>19</v>
      </c>
      <c r="B27" s="3">
        <v>170</v>
      </c>
      <c r="E27" t="s">
        <v>79</v>
      </c>
      <c r="F27" t="s">
        <v>80</v>
      </c>
    </row>
    <row r="28" spans="1:8">
      <c r="A28" t="s">
        <v>19</v>
      </c>
      <c r="B28" s="3">
        <v>174</v>
      </c>
      <c r="F28" t="s">
        <v>81</v>
      </c>
    </row>
    <row r="29" spans="1:8">
      <c r="A29" t="s">
        <v>19</v>
      </c>
      <c r="B29" s="3">
        <v>167</v>
      </c>
      <c r="F29" t="s">
        <v>82</v>
      </c>
    </row>
    <row r="30" spans="1:8">
      <c r="A30" t="s">
        <v>19</v>
      </c>
      <c r="B30" s="3">
        <v>165</v>
      </c>
      <c r="E30" t="s">
        <v>32</v>
      </c>
      <c r="F30" t="s">
        <v>72</v>
      </c>
    </row>
    <row r="31" spans="1:8">
      <c r="A31" t="s">
        <v>19</v>
      </c>
      <c r="B31" s="3">
        <v>170</v>
      </c>
    </row>
    <row r="32" spans="1:8">
      <c r="A32" t="s">
        <v>19</v>
      </c>
      <c r="B32" s="3">
        <v>168</v>
      </c>
    </row>
    <row r="33" spans="1:7">
      <c r="A33" t="s">
        <v>19</v>
      </c>
      <c r="B33" s="3">
        <v>170</v>
      </c>
      <c r="E33" t="s">
        <v>83</v>
      </c>
    </row>
    <row r="34" spans="1:7">
      <c r="A34" t="s">
        <v>19</v>
      </c>
      <c r="B34" s="3">
        <v>165</v>
      </c>
      <c r="E34" t="s">
        <v>84</v>
      </c>
    </row>
    <row r="35" spans="1:7">
      <c r="A35" t="s">
        <v>19</v>
      </c>
      <c r="B35" s="3">
        <v>169</v>
      </c>
    </row>
    <row r="36" spans="1:7">
      <c r="A36" t="s">
        <v>19</v>
      </c>
      <c r="B36" s="3">
        <v>162</v>
      </c>
      <c r="E36" t="s">
        <v>85</v>
      </c>
      <c r="F36">
        <f>F8/G8</f>
        <v>1.5927631578945842</v>
      </c>
    </row>
    <row r="37" spans="1:7">
      <c r="A37" t="s">
        <v>19</v>
      </c>
      <c r="B37" s="3">
        <v>169</v>
      </c>
      <c r="E37" t="s">
        <v>63</v>
      </c>
      <c r="F37">
        <f>FDIST(F36,F6-1,G6-1)*2</f>
        <v>0.50253968325052767</v>
      </c>
    </row>
    <row r="38" spans="1:7">
      <c r="A38" t="s">
        <v>20</v>
      </c>
      <c r="B38" s="3">
        <v>155</v>
      </c>
      <c r="E38" t="s">
        <v>86</v>
      </c>
      <c r="G38" t="s">
        <v>88</v>
      </c>
    </row>
    <row r="39" spans="1:7">
      <c r="A39" t="s">
        <v>20</v>
      </c>
      <c r="B39" s="3">
        <v>153</v>
      </c>
      <c r="E39" t="s">
        <v>32</v>
      </c>
      <c r="F39" t="s">
        <v>87</v>
      </c>
    </row>
    <row r="40" spans="1:7">
      <c r="A40" t="s">
        <v>20</v>
      </c>
      <c r="B40" s="3">
        <v>155</v>
      </c>
      <c r="E40" t="s">
        <v>89</v>
      </c>
      <c r="F40">
        <f>FINV(2.5%,F6-1,G6-1)</f>
        <v>3.8631544050160187</v>
      </c>
    </row>
    <row r="41" spans="1:7">
      <c r="A41" t="s">
        <v>20</v>
      </c>
      <c r="B41" s="3">
        <v>156</v>
      </c>
      <c r="E41" t="s">
        <v>90</v>
      </c>
      <c r="G41" t="s">
        <v>91</v>
      </c>
    </row>
    <row r="42" spans="1:7">
      <c r="A42" t="s">
        <v>20</v>
      </c>
      <c r="B42" s="3">
        <v>155</v>
      </c>
      <c r="E42" t="s">
        <v>32</v>
      </c>
      <c r="F42" t="s">
        <v>87</v>
      </c>
    </row>
    <row r="43" spans="1:7">
      <c r="A43" t="s">
        <v>20</v>
      </c>
      <c r="B43" s="3">
        <v>150</v>
      </c>
    </row>
    <row r="44" spans="1:7">
      <c r="A44" t="s">
        <v>20</v>
      </c>
      <c r="B44" s="3">
        <v>152</v>
      </c>
    </row>
    <row r="45" spans="1:7">
      <c r="A45" t="s">
        <v>20</v>
      </c>
      <c r="B45" s="3">
        <v>157</v>
      </c>
    </row>
    <row r="46" spans="1:7">
      <c r="A46" t="s">
        <v>20</v>
      </c>
      <c r="B46" s="3">
        <v>160</v>
      </c>
    </row>
    <row r="48" spans="1:7">
      <c r="B48" s="2"/>
    </row>
    <row r="49" spans="2:2">
      <c r="B49" s="3"/>
    </row>
    <row r="54" spans="2:2">
      <c r="B54" s="4"/>
    </row>
  </sheetData>
  <sortState ref="A2:B54">
    <sortCondition ref="A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6"/>
  <sheetViews>
    <sheetView zoomScale="148" zoomScaleNormal="148" workbookViewId="0">
      <selection activeCell="F2" sqref="F2"/>
    </sheetView>
  </sheetViews>
  <sheetFormatPr defaultRowHeight="14.4"/>
  <cols>
    <col min="1" max="1" width="10" customWidth="1"/>
    <col min="6" max="6" width="14.109375" customWidth="1"/>
    <col min="7" max="7" width="10.88671875" customWidth="1"/>
  </cols>
  <sheetData>
    <row r="1" spans="1:8">
      <c r="A1" s="9" t="s">
        <v>93</v>
      </c>
      <c r="B1" s="9" t="s">
        <v>94</v>
      </c>
      <c r="C1" s="5" t="s">
        <v>95</v>
      </c>
    </row>
    <row r="2" spans="1:8">
      <c r="A2" s="1">
        <v>22</v>
      </c>
      <c r="B2" s="1">
        <v>25</v>
      </c>
      <c r="C2" s="1">
        <f>A2-B2</f>
        <v>-3</v>
      </c>
      <c r="F2" t="s">
        <v>281</v>
      </c>
    </row>
    <row r="3" spans="1:8">
      <c r="A3" s="1">
        <v>24</v>
      </c>
      <c r="B3" s="1">
        <v>26</v>
      </c>
      <c r="C3" s="1">
        <f t="shared" ref="C3:C46" si="0">A3-B3</f>
        <v>-2</v>
      </c>
      <c r="F3" t="s">
        <v>92</v>
      </c>
    </row>
    <row r="4" spans="1:8">
      <c r="A4" s="1">
        <v>18</v>
      </c>
      <c r="B4" s="1">
        <v>22</v>
      </c>
      <c r="C4" s="1">
        <f t="shared" si="0"/>
        <v>-4</v>
      </c>
      <c r="G4" t="s">
        <v>96</v>
      </c>
    </row>
    <row r="5" spans="1:8">
      <c r="A5" s="1">
        <v>20</v>
      </c>
      <c r="B5" s="1">
        <v>22</v>
      </c>
      <c r="C5" s="1">
        <f t="shared" si="0"/>
        <v>-2</v>
      </c>
      <c r="F5" t="s">
        <v>23</v>
      </c>
      <c r="G5" s="5">
        <f>COUNT(C:C)</f>
        <v>45</v>
      </c>
    </row>
    <row r="6" spans="1:8">
      <c r="A6" s="1">
        <v>22</v>
      </c>
      <c r="B6" s="1">
        <v>25</v>
      </c>
      <c r="C6" s="1">
        <f t="shared" si="0"/>
        <v>-3</v>
      </c>
      <c r="F6" t="s">
        <v>97</v>
      </c>
      <c r="G6" s="5">
        <f>AVERAGE(C:C)</f>
        <v>-1.5444444444444445</v>
      </c>
    </row>
    <row r="7" spans="1:8">
      <c r="A7" s="1">
        <v>21</v>
      </c>
      <c r="B7" s="1">
        <v>26</v>
      </c>
      <c r="C7" s="1">
        <f t="shared" si="0"/>
        <v>-5</v>
      </c>
      <c r="F7" t="s">
        <v>98</v>
      </c>
      <c r="G7" s="5">
        <f>STDEV(C:C)</f>
        <v>2.6752702119731206</v>
      </c>
    </row>
    <row r="8" spans="1:8">
      <c r="A8" s="1">
        <v>20</v>
      </c>
      <c r="B8" s="1">
        <v>25</v>
      </c>
      <c r="C8" s="1">
        <f t="shared" si="0"/>
        <v>-5</v>
      </c>
      <c r="F8" t="s">
        <v>99</v>
      </c>
      <c r="G8" s="5">
        <f>G6*SQRT(G5)/G7</f>
        <v>-3.8726735898979618</v>
      </c>
      <c r="H8" t="s">
        <v>100</v>
      </c>
    </row>
    <row r="9" spans="1:8">
      <c r="A9" s="1">
        <v>23</v>
      </c>
      <c r="B9" s="1">
        <v>27</v>
      </c>
      <c r="C9" s="1">
        <f t="shared" si="0"/>
        <v>-4</v>
      </c>
      <c r="F9" t="s">
        <v>102</v>
      </c>
      <c r="G9">
        <f>ABS(G8)</f>
        <v>3.8726735898979618</v>
      </c>
    </row>
    <row r="10" spans="1:8">
      <c r="A10" s="1">
        <v>22</v>
      </c>
      <c r="B10" s="1">
        <v>25</v>
      </c>
      <c r="C10" s="1">
        <f t="shared" si="0"/>
        <v>-3</v>
      </c>
    </row>
    <row r="11" spans="1:8">
      <c r="A11" s="1">
        <v>24</v>
      </c>
      <c r="B11" s="1">
        <v>27</v>
      </c>
      <c r="C11" s="1">
        <f t="shared" si="0"/>
        <v>-3</v>
      </c>
      <c r="F11" t="s">
        <v>62</v>
      </c>
      <c r="G11" s="5"/>
    </row>
    <row r="12" spans="1:8">
      <c r="A12" s="1">
        <v>28</v>
      </c>
      <c r="B12" s="1">
        <v>30</v>
      </c>
      <c r="C12" s="1">
        <f t="shared" si="0"/>
        <v>-2</v>
      </c>
      <c r="F12" t="s">
        <v>101</v>
      </c>
      <c r="G12" s="5">
        <f>TDIST(G9,G5-1,2)</f>
        <v>3.5348990479562283E-4</v>
      </c>
      <c r="H12" t="s">
        <v>103</v>
      </c>
    </row>
    <row r="13" spans="1:8">
      <c r="A13" s="1">
        <v>23</v>
      </c>
      <c r="B13" s="1">
        <v>26</v>
      </c>
      <c r="C13" s="1">
        <f t="shared" si="0"/>
        <v>-3</v>
      </c>
      <c r="F13" s="10" t="s">
        <v>104</v>
      </c>
    </row>
    <row r="14" spans="1:8">
      <c r="A14" s="1">
        <v>27</v>
      </c>
      <c r="B14" s="1">
        <v>30</v>
      </c>
      <c r="C14" s="1">
        <f t="shared" si="0"/>
        <v>-3</v>
      </c>
      <c r="F14" t="s">
        <v>105</v>
      </c>
    </row>
    <row r="15" spans="1:8">
      <c r="A15" s="1">
        <v>17</v>
      </c>
      <c r="B15" s="1">
        <v>19</v>
      </c>
      <c r="C15" s="1">
        <f t="shared" si="0"/>
        <v>-2</v>
      </c>
    </row>
    <row r="16" spans="1:8">
      <c r="A16" s="1">
        <v>21</v>
      </c>
      <c r="B16" s="1">
        <v>23</v>
      </c>
      <c r="C16" s="1">
        <f t="shared" si="0"/>
        <v>-2</v>
      </c>
      <c r="F16" t="s">
        <v>70</v>
      </c>
    </row>
    <row r="17" spans="1:8">
      <c r="A17" s="1">
        <v>25</v>
      </c>
      <c r="B17" s="1">
        <v>28</v>
      </c>
      <c r="C17" s="1">
        <f t="shared" si="0"/>
        <v>-3</v>
      </c>
      <c r="F17" t="s">
        <v>106</v>
      </c>
      <c r="G17">
        <f>TINV(5%,G5-1)</f>
        <v>2.0153675467665533</v>
      </c>
      <c r="H17" t="s">
        <v>107</v>
      </c>
    </row>
    <row r="18" spans="1:8">
      <c r="A18" s="1">
        <v>23</v>
      </c>
      <c r="B18" s="1">
        <v>26</v>
      </c>
      <c r="C18" s="1">
        <f t="shared" si="0"/>
        <v>-3</v>
      </c>
      <c r="F18" t="s">
        <v>108</v>
      </c>
    </row>
    <row r="19" spans="1:8">
      <c r="A19" s="1">
        <v>25</v>
      </c>
      <c r="B19" s="1">
        <v>27</v>
      </c>
      <c r="C19" s="1">
        <f t="shared" si="0"/>
        <v>-2</v>
      </c>
      <c r="F19" t="s">
        <v>109</v>
      </c>
    </row>
    <row r="20" spans="1:8">
      <c r="A20" s="1">
        <v>27</v>
      </c>
      <c r="B20" s="1">
        <v>28</v>
      </c>
      <c r="C20" s="1">
        <f t="shared" si="0"/>
        <v>-1</v>
      </c>
      <c r="F20" t="s">
        <v>105</v>
      </c>
    </row>
    <row r="21" spans="1:8">
      <c r="A21" s="1">
        <v>20</v>
      </c>
      <c r="B21" s="1">
        <v>25</v>
      </c>
      <c r="C21" s="1">
        <f t="shared" si="0"/>
        <v>-5</v>
      </c>
    </row>
    <row r="22" spans="1:8">
      <c r="A22" s="1">
        <v>20</v>
      </c>
      <c r="B22" s="1">
        <v>22</v>
      </c>
      <c r="C22" s="1">
        <f t="shared" si="0"/>
        <v>-2</v>
      </c>
      <c r="F22" t="s">
        <v>110</v>
      </c>
    </row>
    <row r="23" spans="1:8">
      <c r="A23" s="1">
        <v>24</v>
      </c>
      <c r="B23" s="1">
        <v>28</v>
      </c>
      <c r="C23" s="1">
        <f t="shared" si="0"/>
        <v>-4</v>
      </c>
      <c r="F23" t="s">
        <v>49</v>
      </c>
      <c r="G23">
        <f>G6-G17*G7/SQRT(G5)</f>
        <v>-2.3481845838759332</v>
      </c>
      <c r="H23" t="s">
        <v>111</v>
      </c>
    </row>
    <row r="24" spans="1:8">
      <c r="A24" s="1">
        <v>28</v>
      </c>
      <c r="B24" s="1">
        <v>23</v>
      </c>
      <c r="C24" s="1">
        <f t="shared" si="0"/>
        <v>5</v>
      </c>
      <c r="F24" t="s">
        <v>50</v>
      </c>
      <c r="G24">
        <f>G6+G17*G7/SQRT(G5)</f>
        <v>-0.7407043050129557</v>
      </c>
      <c r="H24" t="s">
        <v>112</v>
      </c>
    </row>
    <row r="25" spans="1:8">
      <c r="A25" s="1">
        <v>24</v>
      </c>
      <c r="B25" s="1">
        <v>26</v>
      </c>
      <c r="C25" s="1">
        <f t="shared" si="0"/>
        <v>-2</v>
      </c>
      <c r="F25" t="s">
        <v>113</v>
      </c>
    </row>
    <row r="26" spans="1:8">
      <c r="A26" s="1">
        <v>20</v>
      </c>
      <c r="B26" s="1">
        <v>24</v>
      </c>
      <c r="C26" s="1">
        <f t="shared" si="0"/>
        <v>-4</v>
      </c>
      <c r="F26" t="s">
        <v>114</v>
      </c>
    </row>
    <row r="27" spans="1:8">
      <c r="A27" s="1">
        <v>25</v>
      </c>
      <c r="B27" s="1">
        <v>27</v>
      </c>
      <c r="C27" s="1">
        <f t="shared" si="0"/>
        <v>-2</v>
      </c>
      <c r="F27" t="s">
        <v>105</v>
      </c>
    </row>
    <row r="28" spans="1:8">
      <c r="A28" s="1">
        <v>22</v>
      </c>
      <c r="B28" s="1">
        <v>23</v>
      </c>
      <c r="C28" s="1">
        <f t="shared" si="0"/>
        <v>-1</v>
      </c>
    </row>
    <row r="29" spans="1:8">
      <c r="A29" s="1">
        <v>24</v>
      </c>
      <c r="B29" s="1">
        <v>16</v>
      </c>
      <c r="C29" s="1">
        <f t="shared" si="0"/>
        <v>8</v>
      </c>
    </row>
    <row r="30" spans="1:8">
      <c r="A30" s="1">
        <v>26</v>
      </c>
      <c r="B30" s="1">
        <v>27</v>
      </c>
      <c r="C30" s="1">
        <f t="shared" si="0"/>
        <v>-1</v>
      </c>
    </row>
    <row r="31" spans="1:8">
      <c r="A31" s="1">
        <v>22</v>
      </c>
      <c r="B31" s="1">
        <v>25</v>
      </c>
      <c r="C31" s="1">
        <f t="shared" si="0"/>
        <v>-3</v>
      </c>
    </row>
    <row r="32" spans="1:8">
      <c r="A32" s="1">
        <v>23</v>
      </c>
      <c r="B32" s="1">
        <v>22</v>
      </c>
      <c r="C32" s="1">
        <f t="shared" si="0"/>
        <v>1</v>
      </c>
    </row>
    <row r="33" spans="1:3">
      <c r="A33" s="1">
        <v>20</v>
      </c>
      <c r="B33" s="1">
        <v>19</v>
      </c>
      <c r="C33" s="1">
        <f t="shared" si="0"/>
        <v>1</v>
      </c>
    </row>
    <row r="34" spans="1:3">
      <c r="A34" s="1">
        <v>20.5</v>
      </c>
      <c r="B34" s="1">
        <v>22</v>
      </c>
      <c r="C34" s="1">
        <f t="shared" si="0"/>
        <v>-1.5</v>
      </c>
    </row>
    <row r="35" spans="1:3">
      <c r="A35" s="1">
        <v>21</v>
      </c>
      <c r="B35" s="1">
        <v>20</v>
      </c>
      <c r="C35" s="1">
        <f t="shared" si="0"/>
        <v>1</v>
      </c>
    </row>
    <row r="36" spans="1:3">
      <c r="A36" s="1">
        <v>25</v>
      </c>
      <c r="B36" s="1">
        <v>26</v>
      </c>
      <c r="C36" s="1">
        <f t="shared" si="0"/>
        <v>-1</v>
      </c>
    </row>
    <row r="37" spans="1:3">
      <c r="A37" s="1">
        <v>30</v>
      </c>
      <c r="B37" s="1">
        <v>32</v>
      </c>
      <c r="C37" s="1">
        <f t="shared" si="0"/>
        <v>-2</v>
      </c>
    </row>
    <row r="38" spans="1:3">
      <c r="A38" s="1">
        <v>15</v>
      </c>
      <c r="B38" s="1">
        <v>20</v>
      </c>
      <c r="C38" s="1">
        <f t="shared" si="0"/>
        <v>-5</v>
      </c>
    </row>
    <row r="39" spans="1:3">
      <c r="A39" s="1">
        <v>23</v>
      </c>
      <c r="B39" s="1">
        <v>22</v>
      </c>
      <c r="C39" s="1">
        <f t="shared" si="0"/>
        <v>1</v>
      </c>
    </row>
    <row r="40" spans="1:3">
      <c r="A40" s="1">
        <v>20</v>
      </c>
      <c r="B40" s="1">
        <v>22</v>
      </c>
      <c r="C40" s="1">
        <f t="shared" si="0"/>
        <v>-2</v>
      </c>
    </row>
    <row r="41" spans="1:3">
      <c r="A41" s="1">
        <v>22</v>
      </c>
      <c r="B41" s="1">
        <v>20</v>
      </c>
      <c r="C41" s="1">
        <f t="shared" si="0"/>
        <v>2</v>
      </c>
    </row>
    <row r="42" spans="1:3">
      <c r="A42" s="1">
        <v>20</v>
      </c>
      <c r="B42" s="1">
        <v>19</v>
      </c>
      <c r="C42" s="1">
        <f t="shared" si="0"/>
        <v>1</v>
      </c>
    </row>
    <row r="43" spans="1:3">
      <c r="A43" s="1">
        <v>22</v>
      </c>
      <c r="B43" s="1">
        <v>26</v>
      </c>
      <c r="C43" s="1">
        <f t="shared" si="0"/>
        <v>-4</v>
      </c>
    </row>
    <row r="44" spans="1:3">
      <c r="A44" s="1">
        <v>25</v>
      </c>
      <c r="B44" s="1">
        <v>23</v>
      </c>
      <c r="C44" s="1">
        <f t="shared" si="0"/>
        <v>2</v>
      </c>
    </row>
    <row r="45" spans="1:3">
      <c r="A45" s="1">
        <v>22</v>
      </c>
      <c r="B45" s="1">
        <v>19</v>
      </c>
      <c r="C45" s="1">
        <f t="shared" si="0"/>
        <v>3</v>
      </c>
    </row>
    <row r="46" spans="1:3">
      <c r="A46" s="1">
        <v>25</v>
      </c>
      <c r="B46" s="1">
        <v>25</v>
      </c>
      <c r="C46" s="1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zoomScale="172" zoomScaleNormal="172" workbookViewId="0">
      <selection activeCell="F8" sqref="F8"/>
    </sheetView>
  </sheetViews>
  <sheetFormatPr defaultRowHeight="14.4"/>
  <cols>
    <col min="1" max="1" width="8.6640625" customWidth="1"/>
    <col min="2" max="2" width="6.44140625" customWidth="1"/>
    <col min="5" max="5" width="19.5546875" customWidth="1"/>
  </cols>
  <sheetData>
    <row r="1" spans="1:10">
      <c r="A1" s="8" t="s">
        <v>8</v>
      </c>
      <c r="B1" s="8" t="s">
        <v>14</v>
      </c>
    </row>
    <row r="2" spans="1:10">
      <c r="A2" s="3">
        <v>1</v>
      </c>
      <c r="B2" s="3">
        <v>0</v>
      </c>
      <c r="E2" t="s">
        <v>130</v>
      </c>
    </row>
    <row r="3" spans="1:10">
      <c r="A3" s="3">
        <v>3</v>
      </c>
      <c r="B3" s="3">
        <v>0</v>
      </c>
      <c r="E3" t="s">
        <v>131</v>
      </c>
    </row>
    <row r="4" spans="1:10">
      <c r="A4" s="3">
        <v>3</v>
      </c>
      <c r="B4" s="3">
        <v>1</v>
      </c>
    </row>
    <row r="5" spans="1:10">
      <c r="A5" s="3">
        <v>1</v>
      </c>
      <c r="B5" s="3">
        <v>0</v>
      </c>
      <c r="E5" t="s">
        <v>115</v>
      </c>
    </row>
    <row r="6" spans="1:10">
      <c r="A6" s="3">
        <v>2</v>
      </c>
      <c r="B6" s="3">
        <v>1</v>
      </c>
      <c r="F6" t="s">
        <v>116</v>
      </c>
    </row>
    <row r="7" spans="1:10">
      <c r="A7" s="3">
        <v>2</v>
      </c>
      <c r="B7" s="3">
        <v>0</v>
      </c>
      <c r="F7" t="s">
        <v>121</v>
      </c>
      <c r="G7" t="s">
        <v>122</v>
      </c>
      <c r="H7" t="s">
        <v>123</v>
      </c>
      <c r="I7" t="s">
        <v>124</v>
      </c>
      <c r="J7" t="s">
        <v>117</v>
      </c>
    </row>
    <row r="8" spans="1:10">
      <c r="A8" s="3">
        <v>2</v>
      </c>
      <c r="B8" s="3">
        <v>1</v>
      </c>
      <c r="E8" t="s">
        <v>118</v>
      </c>
      <c r="F8">
        <f>COUNTIFS($A:$A,1,$B:$B,1)</f>
        <v>10</v>
      </c>
      <c r="G8">
        <f>COUNTIFS($A:$A,2,$B:$B,1)</f>
        <v>4</v>
      </c>
      <c r="H8">
        <f>COUNTIFS($A:$A,3,$B:$B,1)</f>
        <v>8</v>
      </c>
      <c r="I8">
        <f>COUNTIFS($A:$A,4,$B:$B,1)</f>
        <v>2</v>
      </c>
      <c r="J8">
        <f>SUM(F8:I8)</f>
        <v>24</v>
      </c>
    </row>
    <row r="9" spans="1:10">
      <c r="A9" s="3">
        <v>1</v>
      </c>
      <c r="B9" s="3">
        <v>1</v>
      </c>
      <c r="E9" t="s">
        <v>119</v>
      </c>
      <c r="F9">
        <f>COUNTIFS($A:$A,1,$B:$B,0)</f>
        <v>5</v>
      </c>
      <c r="G9">
        <f>COUNTIFS($A:$A,2,$B:$B,0)</f>
        <v>4</v>
      </c>
      <c r="H9">
        <f>COUNTIFS($A:$A,3,$B:$B,0)</f>
        <v>9</v>
      </c>
      <c r="I9">
        <f>COUNTIFS($A:$A,4,$B:$B,0)</f>
        <v>3</v>
      </c>
      <c r="J9">
        <f>SUM(F9:I9)</f>
        <v>21</v>
      </c>
    </row>
    <row r="10" spans="1:10">
      <c r="A10" s="3">
        <v>1</v>
      </c>
      <c r="B10" s="3">
        <v>1</v>
      </c>
      <c r="E10" t="s">
        <v>120</v>
      </c>
      <c r="F10">
        <f>SUM(F8:F9)</f>
        <v>15</v>
      </c>
      <c r="G10">
        <f t="shared" ref="G10:J10" si="0">SUM(G8:G9)</f>
        <v>8</v>
      </c>
      <c r="H10">
        <f t="shared" si="0"/>
        <v>17</v>
      </c>
      <c r="I10">
        <f t="shared" si="0"/>
        <v>5</v>
      </c>
      <c r="J10">
        <f t="shared" si="0"/>
        <v>45</v>
      </c>
    </row>
    <row r="11" spans="1:10">
      <c r="A11" s="3">
        <v>1</v>
      </c>
      <c r="B11" s="3">
        <v>1</v>
      </c>
      <c r="E11" t="s">
        <v>256</v>
      </c>
      <c r="F11" s="6">
        <f>F8/F10</f>
        <v>0.66666666666666663</v>
      </c>
      <c r="G11" s="6">
        <f t="shared" ref="G11:I11" si="1">G8/G10</f>
        <v>0.5</v>
      </c>
      <c r="H11" s="6">
        <f t="shared" si="1"/>
        <v>0.47058823529411764</v>
      </c>
      <c r="I11" s="6">
        <f t="shared" si="1"/>
        <v>0.4</v>
      </c>
    </row>
    <row r="12" spans="1:10">
      <c r="A12" s="3">
        <v>3</v>
      </c>
      <c r="B12" s="3">
        <v>1</v>
      </c>
    </row>
    <row r="13" spans="1:10">
      <c r="A13" s="3">
        <v>3</v>
      </c>
      <c r="B13" s="3">
        <v>0</v>
      </c>
    </row>
    <row r="14" spans="1:10">
      <c r="A14" s="3">
        <v>1</v>
      </c>
      <c r="B14" s="3">
        <v>0</v>
      </c>
      <c r="E14" t="s">
        <v>125</v>
      </c>
    </row>
    <row r="15" spans="1:10">
      <c r="A15" s="3">
        <v>3</v>
      </c>
      <c r="B15" s="3">
        <v>1</v>
      </c>
      <c r="F15" t="s">
        <v>116</v>
      </c>
    </row>
    <row r="16" spans="1:10">
      <c r="A16" s="3">
        <v>3</v>
      </c>
      <c r="B16" s="3">
        <v>0</v>
      </c>
      <c r="F16" t="s">
        <v>121</v>
      </c>
      <c r="G16" t="s">
        <v>122</v>
      </c>
      <c r="H16" t="s">
        <v>123</v>
      </c>
      <c r="I16" t="s">
        <v>124</v>
      </c>
    </row>
    <row r="17" spans="1:10">
      <c r="A17" s="3">
        <v>3</v>
      </c>
      <c r="B17" s="3">
        <v>1</v>
      </c>
      <c r="E17" t="s">
        <v>118</v>
      </c>
      <c r="F17">
        <f>$J8/$J$10*F$10</f>
        <v>8</v>
      </c>
      <c r="G17">
        <f>$J8/$J$10*G$10</f>
        <v>4.2666666666666666</v>
      </c>
      <c r="H17">
        <f>$J8/$J$10*H$10</f>
        <v>9.0666666666666664</v>
      </c>
      <c r="I17">
        <f>$J8/$J$10*I$10</f>
        <v>2.6666666666666665</v>
      </c>
      <c r="J17">
        <f>SUM(F17:I17)</f>
        <v>24</v>
      </c>
    </row>
    <row r="18" spans="1:10">
      <c r="A18" s="3">
        <v>3</v>
      </c>
      <c r="B18" s="3">
        <v>0</v>
      </c>
      <c r="E18" t="s">
        <v>119</v>
      </c>
      <c r="F18">
        <f>$J9/$J$10*F$10</f>
        <v>7</v>
      </c>
      <c r="G18">
        <f>$J9/$J$10*G$10</f>
        <v>3.7333333333333334</v>
      </c>
      <c r="H18">
        <f>$J9/$J$10*H$10</f>
        <v>7.9333333333333336</v>
      </c>
      <c r="I18">
        <f>$J9/$J$10*I$10</f>
        <v>2.3333333333333335</v>
      </c>
      <c r="J18">
        <f>SUM(F18:I18)</f>
        <v>21</v>
      </c>
    </row>
    <row r="19" spans="1:10">
      <c r="A19" s="3">
        <v>3</v>
      </c>
      <c r="B19" s="3">
        <v>1</v>
      </c>
      <c r="F19">
        <f t="shared" ref="F19:J19" si="2">SUM(F17:F18)</f>
        <v>15</v>
      </c>
      <c r="G19">
        <f t="shared" si="2"/>
        <v>8</v>
      </c>
      <c r="H19">
        <f t="shared" si="2"/>
        <v>17</v>
      </c>
      <c r="I19">
        <f t="shared" si="2"/>
        <v>5</v>
      </c>
      <c r="J19">
        <f t="shared" si="2"/>
        <v>45</v>
      </c>
    </row>
    <row r="20" spans="1:10">
      <c r="A20" s="3">
        <v>1</v>
      </c>
      <c r="B20" s="3">
        <v>1</v>
      </c>
    </row>
    <row r="21" spans="1:10">
      <c r="A21" s="3">
        <v>2</v>
      </c>
      <c r="B21" s="3">
        <v>0</v>
      </c>
      <c r="E21" t="s">
        <v>126</v>
      </c>
    </row>
    <row r="22" spans="1:10">
      <c r="A22" s="3">
        <v>4</v>
      </c>
      <c r="B22" s="3">
        <v>0</v>
      </c>
      <c r="F22" t="s">
        <v>121</v>
      </c>
      <c r="G22" t="s">
        <v>122</v>
      </c>
      <c r="H22" t="s">
        <v>123</v>
      </c>
      <c r="I22" t="s">
        <v>124</v>
      </c>
    </row>
    <row r="23" spans="1:10">
      <c r="A23" s="3">
        <v>1</v>
      </c>
      <c r="B23" s="3">
        <v>0</v>
      </c>
      <c r="E23" t="s">
        <v>118</v>
      </c>
      <c r="F23">
        <f>(F8-F17)^2/F17</f>
        <v>0.5</v>
      </c>
      <c r="G23">
        <f>(G8-G17)^2/G17</f>
        <v>1.6666666666666659E-2</v>
      </c>
      <c r="H23">
        <f>(H8-H17)^2/H17</f>
        <v>0.12549019607843132</v>
      </c>
      <c r="I23">
        <f>(I8-I17)^2/I17</f>
        <v>0.1666666666666666</v>
      </c>
    </row>
    <row r="24" spans="1:10">
      <c r="A24" s="3">
        <v>1</v>
      </c>
      <c r="B24" s="3">
        <v>1</v>
      </c>
      <c r="E24" t="s">
        <v>119</v>
      </c>
      <c r="F24">
        <f>(F9-F18)^2/F18</f>
        <v>0.5714285714285714</v>
      </c>
      <c r="G24">
        <f>(G9-G18)^2/G18</f>
        <v>1.9047619047619039E-2</v>
      </c>
      <c r="H24">
        <f>(H9-H18)^2/H18</f>
        <v>0.14341736694677865</v>
      </c>
      <c r="I24">
        <f>(I9-I18)^2/I18</f>
        <v>0.19047619047619038</v>
      </c>
    </row>
    <row r="25" spans="1:10">
      <c r="A25" s="3">
        <v>2</v>
      </c>
      <c r="B25" s="3">
        <v>0</v>
      </c>
    </row>
    <row r="26" spans="1:10">
      <c r="A26" s="3">
        <v>4</v>
      </c>
      <c r="B26" s="3">
        <v>1</v>
      </c>
      <c r="E26" t="s">
        <v>127</v>
      </c>
      <c r="F26">
        <f>SUM(F23:I24)</f>
        <v>1.7331932773109242</v>
      </c>
    </row>
    <row r="27" spans="1:10">
      <c r="A27" s="3">
        <v>4</v>
      </c>
      <c r="B27" s="3">
        <v>0</v>
      </c>
      <c r="E27" t="s">
        <v>62</v>
      </c>
    </row>
    <row r="28" spans="1:10">
      <c r="A28" s="3">
        <v>2</v>
      </c>
      <c r="B28" s="3">
        <v>1</v>
      </c>
      <c r="E28" t="s">
        <v>128</v>
      </c>
      <c r="F28">
        <f>CHIDIST(F26,4-1)</f>
        <v>0.62957956764533174</v>
      </c>
      <c r="H28" t="s">
        <v>133</v>
      </c>
    </row>
    <row r="29" spans="1:10">
      <c r="A29" s="3">
        <v>3</v>
      </c>
      <c r="B29" s="3">
        <v>0</v>
      </c>
      <c r="E29" t="s">
        <v>129</v>
      </c>
      <c r="F29" t="s">
        <v>257</v>
      </c>
    </row>
    <row r="30" spans="1:10">
      <c r="A30" s="3">
        <v>3</v>
      </c>
      <c r="B30" s="3">
        <v>0</v>
      </c>
      <c r="E30" t="s">
        <v>258</v>
      </c>
    </row>
    <row r="31" spans="1:10">
      <c r="A31" s="3">
        <v>3</v>
      </c>
      <c r="B31" s="3">
        <v>0</v>
      </c>
    </row>
    <row r="32" spans="1:10">
      <c r="A32" s="3">
        <v>2</v>
      </c>
      <c r="B32" s="3">
        <v>0</v>
      </c>
      <c r="E32" t="s">
        <v>132</v>
      </c>
    </row>
    <row r="33" spans="1:8">
      <c r="A33" s="3">
        <v>3</v>
      </c>
      <c r="B33" s="3">
        <v>1</v>
      </c>
      <c r="E33" t="s">
        <v>134</v>
      </c>
      <c r="F33">
        <f>CHIINV(5%,4-1)</f>
        <v>7.81472776394987</v>
      </c>
      <c r="H33" t="s">
        <v>135</v>
      </c>
    </row>
    <row r="34" spans="1:8">
      <c r="A34" s="3">
        <v>3</v>
      </c>
      <c r="B34" s="3">
        <v>1</v>
      </c>
      <c r="E34" t="s">
        <v>259</v>
      </c>
    </row>
    <row r="35" spans="1:8">
      <c r="A35" s="3">
        <v>4</v>
      </c>
      <c r="B35" s="3">
        <v>0</v>
      </c>
      <c r="E35" t="s">
        <v>136</v>
      </c>
    </row>
    <row r="36" spans="1:8">
      <c r="A36" s="3">
        <v>1</v>
      </c>
      <c r="B36" s="3">
        <v>1</v>
      </c>
    </row>
    <row r="37" spans="1:8">
      <c r="A37" s="3">
        <v>4</v>
      </c>
      <c r="B37" s="3">
        <v>1</v>
      </c>
    </row>
    <row r="38" spans="1:8">
      <c r="A38" s="3">
        <v>1</v>
      </c>
      <c r="B38" s="3">
        <v>1</v>
      </c>
    </row>
    <row r="39" spans="1:8">
      <c r="A39" s="3">
        <v>3</v>
      </c>
      <c r="B39" s="3">
        <v>1</v>
      </c>
    </row>
    <row r="40" spans="1:8">
      <c r="A40" s="3">
        <v>1</v>
      </c>
      <c r="B40" s="3">
        <v>1</v>
      </c>
    </row>
    <row r="41" spans="1:8">
      <c r="A41" s="3">
        <v>1</v>
      </c>
      <c r="B41" s="3">
        <v>1</v>
      </c>
    </row>
    <row r="42" spans="1:8">
      <c r="A42" s="3">
        <v>1</v>
      </c>
      <c r="B42" s="3">
        <v>0</v>
      </c>
    </row>
    <row r="43" spans="1:8">
      <c r="A43" s="3">
        <v>3</v>
      </c>
      <c r="B43" s="3">
        <v>0</v>
      </c>
    </row>
    <row r="44" spans="1:8">
      <c r="A44" s="3">
        <v>3</v>
      </c>
      <c r="B44" s="3">
        <v>0</v>
      </c>
    </row>
    <row r="45" spans="1:8">
      <c r="A45" s="3">
        <v>1</v>
      </c>
      <c r="B45" s="3">
        <v>1</v>
      </c>
    </row>
    <row r="46" spans="1:8">
      <c r="A46" s="3">
        <v>2</v>
      </c>
      <c r="B46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6"/>
  <sheetViews>
    <sheetView zoomScale="172" zoomScaleNormal="172" workbookViewId="0">
      <selection activeCell="I12" sqref="I12"/>
    </sheetView>
  </sheetViews>
  <sheetFormatPr defaultRowHeight="14.4"/>
  <cols>
    <col min="1" max="1" width="10.44140625" customWidth="1"/>
    <col min="6" max="6" width="22.33203125" customWidth="1"/>
  </cols>
  <sheetData>
    <row r="1" spans="1:9">
      <c r="A1" s="8" t="s">
        <v>139</v>
      </c>
      <c r="B1" s="8" t="s">
        <v>140</v>
      </c>
      <c r="C1" t="s">
        <v>95</v>
      </c>
    </row>
    <row r="2" spans="1:9">
      <c r="A2" s="1">
        <v>22</v>
      </c>
      <c r="B2" s="1">
        <v>25</v>
      </c>
      <c r="C2" s="1">
        <f>A2-B2</f>
        <v>-3</v>
      </c>
      <c r="F2" t="s">
        <v>137</v>
      </c>
    </row>
    <row r="3" spans="1:9">
      <c r="A3" s="1">
        <v>24</v>
      </c>
      <c r="B3" s="1">
        <v>26</v>
      </c>
      <c r="C3" s="1">
        <f t="shared" ref="C3:C46" si="0">A3-B3</f>
        <v>-2</v>
      </c>
      <c r="F3" t="s">
        <v>138</v>
      </c>
    </row>
    <row r="4" spans="1:9">
      <c r="A4" s="1">
        <v>18</v>
      </c>
      <c r="B4" s="1">
        <v>22</v>
      </c>
      <c r="C4" s="1">
        <f t="shared" si="0"/>
        <v>-4</v>
      </c>
    </row>
    <row r="5" spans="1:9">
      <c r="A5" s="1">
        <v>20</v>
      </c>
      <c r="B5" s="1">
        <v>22</v>
      </c>
      <c r="C5" s="1">
        <f t="shared" si="0"/>
        <v>-2</v>
      </c>
      <c r="G5" t="s">
        <v>96</v>
      </c>
    </row>
    <row r="6" spans="1:9">
      <c r="A6" s="1">
        <v>22</v>
      </c>
      <c r="B6" s="1">
        <v>25</v>
      </c>
      <c r="C6" s="1">
        <f t="shared" si="0"/>
        <v>-3</v>
      </c>
      <c r="F6" t="s">
        <v>23</v>
      </c>
      <c r="G6">
        <f>COUNT(C:C)</f>
        <v>45</v>
      </c>
    </row>
    <row r="7" spans="1:9">
      <c r="A7" s="1">
        <v>21</v>
      </c>
      <c r="B7" s="1">
        <v>26</v>
      </c>
      <c r="C7" s="1">
        <f t="shared" si="0"/>
        <v>-5</v>
      </c>
      <c r="F7" t="s">
        <v>141</v>
      </c>
      <c r="G7">
        <f>AVERAGE(C:C)</f>
        <v>-1.5444444444444445</v>
      </c>
    </row>
    <row r="8" spans="1:9">
      <c r="A8" s="1">
        <v>20</v>
      </c>
      <c r="B8" s="1">
        <v>25</v>
      </c>
      <c r="C8" s="1">
        <f t="shared" si="0"/>
        <v>-5</v>
      </c>
      <c r="F8" t="s">
        <v>22</v>
      </c>
      <c r="G8">
        <f>STDEV(C:C)</f>
        <v>2.6752702119731206</v>
      </c>
    </row>
    <row r="9" spans="1:9">
      <c r="A9" s="1">
        <v>23</v>
      </c>
      <c r="B9" s="1">
        <v>27</v>
      </c>
      <c r="C9" s="1">
        <f t="shared" si="0"/>
        <v>-4</v>
      </c>
    </row>
    <row r="10" spans="1:9">
      <c r="A10" s="1">
        <v>22</v>
      </c>
      <c r="B10" s="1">
        <v>25</v>
      </c>
      <c r="C10" s="1">
        <f t="shared" si="0"/>
        <v>-3</v>
      </c>
      <c r="F10" t="s">
        <v>142</v>
      </c>
      <c r="G10">
        <f>G7*SQRT(G6)/G8</f>
        <v>-3.8726735898979618</v>
      </c>
      <c r="I10" t="s">
        <v>145</v>
      </c>
    </row>
    <row r="11" spans="1:9">
      <c r="A11" s="1">
        <v>24</v>
      </c>
      <c r="B11" s="1">
        <v>27</v>
      </c>
      <c r="C11" s="1">
        <f t="shared" si="0"/>
        <v>-3</v>
      </c>
      <c r="F11" t="s">
        <v>143</v>
      </c>
      <c r="G11">
        <f>ABS(G10)</f>
        <v>3.8726735898979618</v>
      </c>
    </row>
    <row r="12" spans="1:9">
      <c r="A12" s="1">
        <v>28</v>
      </c>
      <c r="B12" s="1">
        <v>30</v>
      </c>
      <c r="C12" s="1">
        <f t="shared" si="0"/>
        <v>-2</v>
      </c>
    </row>
    <row r="13" spans="1:9">
      <c r="A13" s="1">
        <v>23</v>
      </c>
      <c r="B13" s="1">
        <v>26</v>
      </c>
      <c r="C13" s="1">
        <f t="shared" si="0"/>
        <v>-3</v>
      </c>
      <c r="F13" t="s">
        <v>62</v>
      </c>
    </row>
    <row r="14" spans="1:9">
      <c r="A14" s="1">
        <v>27</v>
      </c>
      <c r="B14" s="1">
        <v>30</v>
      </c>
      <c r="C14" s="1">
        <f t="shared" si="0"/>
        <v>-3</v>
      </c>
      <c r="F14" t="s">
        <v>101</v>
      </c>
      <c r="G14">
        <f>TDIST(G11,G6-1,2)</f>
        <v>3.5348990479562283E-4</v>
      </c>
      <c r="I14" t="s">
        <v>157</v>
      </c>
    </row>
    <row r="15" spans="1:9">
      <c r="A15" s="1">
        <v>17</v>
      </c>
      <c r="B15" s="1">
        <v>19</v>
      </c>
      <c r="C15" s="1">
        <f t="shared" si="0"/>
        <v>-2</v>
      </c>
      <c r="F15" t="s">
        <v>146</v>
      </c>
      <c r="G15" t="s">
        <v>150</v>
      </c>
    </row>
    <row r="16" spans="1:9">
      <c r="A16" s="1">
        <v>21</v>
      </c>
      <c r="B16" s="1">
        <v>23</v>
      </c>
      <c r="C16" s="1">
        <f t="shared" si="0"/>
        <v>-2</v>
      </c>
      <c r="F16" t="s">
        <v>151</v>
      </c>
    </row>
    <row r="17" spans="1:9">
      <c r="A17" s="1">
        <v>25</v>
      </c>
      <c r="B17" s="1">
        <v>28</v>
      </c>
      <c r="C17" s="1">
        <f t="shared" si="0"/>
        <v>-3</v>
      </c>
    </row>
    <row r="18" spans="1:9">
      <c r="A18" s="1">
        <v>23</v>
      </c>
      <c r="B18" s="1">
        <v>26</v>
      </c>
      <c r="C18" s="1">
        <f t="shared" si="0"/>
        <v>-3</v>
      </c>
      <c r="F18" t="s">
        <v>144</v>
      </c>
    </row>
    <row r="19" spans="1:9">
      <c r="A19" s="1">
        <v>25</v>
      </c>
      <c r="B19" s="1">
        <v>27</v>
      </c>
      <c r="C19" s="1">
        <f t="shared" si="0"/>
        <v>-2</v>
      </c>
      <c r="F19" t="s">
        <v>147</v>
      </c>
      <c r="G19">
        <f>TINV(5%,G6-1)</f>
        <v>2.0153675467665533</v>
      </c>
      <c r="I19" t="s">
        <v>107</v>
      </c>
    </row>
    <row r="20" spans="1:9">
      <c r="A20" s="1">
        <v>27</v>
      </c>
      <c r="B20" s="1">
        <v>28</v>
      </c>
      <c r="C20" s="1">
        <f t="shared" si="0"/>
        <v>-1</v>
      </c>
      <c r="F20" t="s">
        <v>148</v>
      </c>
    </row>
    <row r="21" spans="1:9">
      <c r="A21" s="1">
        <v>20</v>
      </c>
      <c r="B21" s="1">
        <v>25</v>
      </c>
      <c r="C21" s="1">
        <f t="shared" si="0"/>
        <v>-5</v>
      </c>
      <c r="F21" t="s">
        <v>149</v>
      </c>
    </row>
    <row r="22" spans="1:9">
      <c r="A22" s="1">
        <v>20</v>
      </c>
      <c r="B22" s="1">
        <v>22</v>
      </c>
      <c r="C22" s="1">
        <f t="shared" si="0"/>
        <v>-2</v>
      </c>
      <c r="F22" t="s">
        <v>151</v>
      </c>
    </row>
    <row r="23" spans="1:9">
      <c r="A23" s="1">
        <v>24</v>
      </c>
      <c r="B23" s="1">
        <v>28</v>
      </c>
      <c r="C23" s="1">
        <f t="shared" si="0"/>
        <v>-4</v>
      </c>
    </row>
    <row r="24" spans="1:9">
      <c r="A24" s="1">
        <v>28</v>
      </c>
      <c r="B24" s="1">
        <v>23</v>
      </c>
      <c r="C24" s="1">
        <f t="shared" si="0"/>
        <v>5</v>
      </c>
      <c r="F24" t="s">
        <v>152</v>
      </c>
    </row>
    <row r="25" spans="1:9">
      <c r="A25" s="1">
        <v>24</v>
      </c>
      <c r="B25" s="1">
        <v>26</v>
      </c>
      <c r="C25" s="1">
        <f t="shared" si="0"/>
        <v>-2</v>
      </c>
      <c r="F25" t="s">
        <v>49</v>
      </c>
      <c r="G25">
        <f>G7-G19*G8/SQRT(G6)</f>
        <v>-2.3481845838759332</v>
      </c>
      <c r="I25" t="s">
        <v>153</v>
      </c>
    </row>
    <row r="26" spans="1:9">
      <c r="A26" s="1">
        <v>20</v>
      </c>
      <c r="B26" s="1">
        <v>24</v>
      </c>
      <c r="C26" s="1">
        <f t="shared" si="0"/>
        <v>-4</v>
      </c>
      <c r="F26" t="s">
        <v>50</v>
      </c>
      <c r="G26">
        <f>G7+G19*G8/SQRT(G6)</f>
        <v>-0.7407043050129557</v>
      </c>
      <c r="I26" t="s">
        <v>154</v>
      </c>
    </row>
    <row r="27" spans="1:9">
      <c r="A27" s="1">
        <v>25</v>
      </c>
      <c r="B27" s="1">
        <v>27</v>
      </c>
      <c r="C27" s="1">
        <f t="shared" si="0"/>
        <v>-2</v>
      </c>
      <c r="F27" t="s">
        <v>155</v>
      </c>
    </row>
    <row r="28" spans="1:9">
      <c r="A28" s="1">
        <v>22</v>
      </c>
      <c r="B28" s="1">
        <v>23</v>
      </c>
      <c r="C28" s="1">
        <f t="shared" si="0"/>
        <v>-1</v>
      </c>
      <c r="F28" t="s">
        <v>156</v>
      </c>
    </row>
    <row r="29" spans="1:9">
      <c r="A29" s="1">
        <v>24</v>
      </c>
      <c r="B29" s="1">
        <v>16</v>
      </c>
      <c r="C29" s="1">
        <f t="shared" si="0"/>
        <v>8</v>
      </c>
      <c r="F29" t="s">
        <v>151</v>
      </c>
    </row>
    <row r="30" spans="1:9">
      <c r="A30" s="1">
        <v>26</v>
      </c>
      <c r="B30" s="1">
        <v>27</v>
      </c>
      <c r="C30" s="1">
        <f t="shared" si="0"/>
        <v>-1</v>
      </c>
    </row>
    <row r="31" spans="1:9">
      <c r="A31" s="1">
        <v>22</v>
      </c>
      <c r="B31" s="1">
        <v>25</v>
      </c>
      <c r="C31" s="1">
        <f t="shared" si="0"/>
        <v>-3</v>
      </c>
    </row>
    <row r="32" spans="1:9">
      <c r="A32" s="1">
        <v>23</v>
      </c>
      <c r="B32" s="1">
        <v>22</v>
      </c>
      <c r="C32" s="1">
        <f t="shared" si="0"/>
        <v>1</v>
      </c>
    </row>
    <row r="33" spans="1:3">
      <c r="A33" s="1">
        <v>20</v>
      </c>
      <c r="B33" s="1">
        <v>19</v>
      </c>
      <c r="C33" s="1">
        <f t="shared" si="0"/>
        <v>1</v>
      </c>
    </row>
    <row r="34" spans="1:3">
      <c r="A34" s="1">
        <v>20.5</v>
      </c>
      <c r="B34" s="1">
        <v>22</v>
      </c>
      <c r="C34" s="1">
        <f t="shared" si="0"/>
        <v>-1.5</v>
      </c>
    </row>
    <row r="35" spans="1:3">
      <c r="A35" s="1">
        <v>21</v>
      </c>
      <c r="B35" s="1">
        <v>20</v>
      </c>
      <c r="C35" s="1">
        <f t="shared" si="0"/>
        <v>1</v>
      </c>
    </row>
    <row r="36" spans="1:3">
      <c r="A36" s="1">
        <v>25</v>
      </c>
      <c r="B36" s="1">
        <v>26</v>
      </c>
      <c r="C36" s="1">
        <f t="shared" si="0"/>
        <v>-1</v>
      </c>
    </row>
    <row r="37" spans="1:3">
      <c r="A37" s="1">
        <v>30</v>
      </c>
      <c r="B37" s="1">
        <v>32</v>
      </c>
      <c r="C37" s="1">
        <f t="shared" si="0"/>
        <v>-2</v>
      </c>
    </row>
    <row r="38" spans="1:3">
      <c r="A38" s="1">
        <v>15</v>
      </c>
      <c r="B38" s="1">
        <v>20</v>
      </c>
      <c r="C38" s="1">
        <f t="shared" si="0"/>
        <v>-5</v>
      </c>
    </row>
    <row r="39" spans="1:3">
      <c r="A39" s="1">
        <v>23</v>
      </c>
      <c r="B39" s="1">
        <v>22</v>
      </c>
      <c r="C39" s="1">
        <f t="shared" si="0"/>
        <v>1</v>
      </c>
    </row>
    <row r="40" spans="1:3">
      <c r="A40" s="1">
        <v>20</v>
      </c>
      <c r="B40" s="1">
        <v>22</v>
      </c>
      <c r="C40" s="1">
        <f t="shared" si="0"/>
        <v>-2</v>
      </c>
    </row>
    <row r="41" spans="1:3">
      <c r="A41" s="1">
        <v>22</v>
      </c>
      <c r="B41" s="1">
        <v>20</v>
      </c>
      <c r="C41" s="1">
        <f t="shared" si="0"/>
        <v>2</v>
      </c>
    </row>
    <row r="42" spans="1:3">
      <c r="A42" s="1">
        <v>20</v>
      </c>
      <c r="B42" s="1">
        <v>19</v>
      </c>
      <c r="C42" s="1">
        <f t="shared" si="0"/>
        <v>1</v>
      </c>
    </row>
    <row r="43" spans="1:3">
      <c r="A43" s="1">
        <v>22</v>
      </c>
      <c r="B43" s="1">
        <v>26</v>
      </c>
      <c r="C43" s="1">
        <f t="shared" si="0"/>
        <v>-4</v>
      </c>
    </row>
    <row r="44" spans="1:3">
      <c r="A44" s="1">
        <v>25</v>
      </c>
      <c r="B44" s="1">
        <v>23</v>
      </c>
      <c r="C44" s="1">
        <f t="shared" si="0"/>
        <v>2</v>
      </c>
    </row>
    <row r="45" spans="1:3">
      <c r="A45" s="1">
        <v>22</v>
      </c>
      <c r="B45" s="1">
        <v>19</v>
      </c>
      <c r="C45" s="1">
        <f t="shared" si="0"/>
        <v>3</v>
      </c>
    </row>
    <row r="46" spans="1:3">
      <c r="A46" s="1">
        <v>25</v>
      </c>
      <c r="B46" s="1">
        <v>25</v>
      </c>
      <c r="C46" s="1">
        <f t="shared" si="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6"/>
  <sheetViews>
    <sheetView zoomScale="184" zoomScaleNormal="184" workbookViewId="0">
      <selection activeCell="F29" sqref="F29"/>
    </sheetView>
  </sheetViews>
  <sheetFormatPr defaultRowHeight="14.4"/>
  <cols>
    <col min="1" max="1" width="8.6640625" customWidth="1"/>
    <col min="2" max="2" width="7.6640625" customWidth="1"/>
    <col min="5" max="5" width="20.6640625" customWidth="1"/>
  </cols>
  <sheetData>
    <row r="1" spans="1:10">
      <c r="A1" s="8" t="s">
        <v>8</v>
      </c>
      <c r="B1" s="8" t="s">
        <v>10</v>
      </c>
      <c r="E1" t="s">
        <v>158</v>
      </c>
    </row>
    <row r="2" spans="1:10">
      <c r="A2" s="3">
        <v>1</v>
      </c>
      <c r="B2" s="3">
        <v>1</v>
      </c>
      <c r="E2" t="s">
        <v>159</v>
      </c>
    </row>
    <row r="3" spans="1:10">
      <c r="A3" s="3">
        <v>3</v>
      </c>
      <c r="B3" s="3">
        <v>1</v>
      </c>
    </row>
    <row r="4" spans="1:10">
      <c r="A4" s="3">
        <v>3</v>
      </c>
      <c r="B4" s="3">
        <v>1</v>
      </c>
      <c r="E4" t="s">
        <v>160</v>
      </c>
    </row>
    <row r="5" spans="1:10">
      <c r="A5" s="3">
        <v>1</v>
      </c>
      <c r="B5" s="3">
        <v>0</v>
      </c>
      <c r="F5" t="s">
        <v>121</v>
      </c>
      <c r="G5" t="s">
        <v>122</v>
      </c>
      <c r="H5" t="s">
        <v>123</v>
      </c>
      <c r="I5" t="s">
        <v>124</v>
      </c>
      <c r="J5" t="s">
        <v>161</v>
      </c>
    </row>
    <row r="6" spans="1:10">
      <c r="A6" s="3">
        <v>2</v>
      </c>
      <c r="B6" s="3">
        <v>1</v>
      </c>
      <c r="E6" t="s">
        <v>118</v>
      </c>
      <c r="F6">
        <f>COUNTIFS($A:$A,1,$B:$B,1)</f>
        <v>6</v>
      </c>
      <c r="G6">
        <f>COUNTIFS($A:$A,2,$B:$B,1)</f>
        <v>6</v>
      </c>
      <c r="H6">
        <f>COUNTIFS($A:$A,3,$B:$B,1)</f>
        <v>10</v>
      </c>
      <c r="I6">
        <f>COUNTIFS($A:$A,4,$B:$B,1)</f>
        <v>2</v>
      </c>
      <c r="J6">
        <f>SUM(F6:I6)</f>
        <v>24</v>
      </c>
    </row>
    <row r="7" spans="1:10">
      <c r="A7" s="3">
        <v>2</v>
      </c>
      <c r="B7" s="3">
        <v>0</v>
      </c>
      <c r="E7" t="s">
        <v>119</v>
      </c>
      <c r="F7">
        <f>COUNTIFS($A:$A,1,$B:$B,0)</f>
        <v>9</v>
      </c>
      <c r="G7">
        <f>COUNTIFS($A:$A,2,$B:$B,0)</f>
        <v>2</v>
      </c>
      <c r="H7">
        <f>COUNTIFS($A:$A,3,$B:$B,0)</f>
        <v>7</v>
      </c>
      <c r="I7">
        <f>COUNTIFS($A:$A,4,$B:$B,0)</f>
        <v>3</v>
      </c>
      <c r="J7">
        <f>SUM(F7:I7)</f>
        <v>21</v>
      </c>
    </row>
    <row r="8" spans="1:10">
      <c r="A8" s="3">
        <v>2</v>
      </c>
      <c r="B8" s="3">
        <v>1</v>
      </c>
      <c r="E8" t="s">
        <v>162</v>
      </c>
      <c r="F8">
        <f>SUM(F6:F7)</f>
        <v>15</v>
      </c>
      <c r="G8">
        <f t="shared" ref="G8:J8" si="0">SUM(G6:G7)</f>
        <v>8</v>
      </c>
      <c r="H8">
        <f t="shared" si="0"/>
        <v>17</v>
      </c>
      <c r="I8">
        <f t="shared" si="0"/>
        <v>5</v>
      </c>
      <c r="J8">
        <f t="shared" si="0"/>
        <v>45</v>
      </c>
    </row>
    <row r="9" spans="1:10">
      <c r="A9" s="3">
        <v>1</v>
      </c>
      <c r="B9" s="3">
        <v>1</v>
      </c>
      <c r="E9" t="s">
        <v>277</v>
      </c>
      <c r="F9" s="6">
        <f>F6/F8</f>
        <v>0.4</v>
      </c>
      <c r="G9" s="6">
        <f t="shared" ref="G9:I9" si="1">G6/G8</f>
        <v>0.75</v>
      </c>
      <c r="H9" s="6">
        <f t="shared" si="1"/>
        <v>0.58823529411764708</v>
      </c>
      <c r="I9" s="6">
        <f t="shared" si="1"/>
        <v>0.4</v>
      </c>
    </row>
    <row r="10" spans="1:10">
      <c r="A10" s="3">
        <v>1</v>
      </c>
      <c r="B10" s="3">
        <v>1</v>
      </c>
    </row>
    <row r="11" spans="1:10">
      <c r="A11" s="3">
        <v>1</v>
      </c>
      <c r="B11" s="3">
        <v>1</v>
      </c>
      <c r="E11" t="s">
        <v>163</v>
      </c>
    </row>
    <row r="12" spans="1:10">
      <c r="A12" s="3">
        <v>3</v>
      </c>
      <c r="B12" s="3">
        <v>1</v>
      </c>
      <c r="F12" t="s">
        <v>121</v>
      </c>
      <c r="G12" t="s">
        <v>122</v>
      </c>
      <c r="H12" t="s">
        <v>123</v>
      </c>
      <c r="I12" t="s">
        <v>124</v>
      </c>
      <c r="J12" t="s">
        <v>161</v>
      </c>
    </row>
    <row r="13" spans="1:10">
      <c r="A13" s="3">
        <v>3</v>
      </c>
      <c r="B13" s="3">
        <v>0</v>
      </c>
      <c r="E13" t="s">
        <v>118</v>
      </c>
      <c r="F13">
        <f>F$8*$J6/$J$8</f>
        <v>8</v>
      </c>
      <c r="G13">
        <f t="shared" ref="G13:I13" si="2">G$8*$J6/$J$8</f>
        <v>4.2666666666666666</v>
      </c>
      <c r="H13">
        <f t="shared" si="2"/>
        <v>9.0666666666666664</v>
      </c>
      <c r="I13">
        <f t="shared" si="2"/>
        <v>2.6666666666666665</v>
      </c>
      <c r="J13">
        <f>SUM(F13:I13)</f>
        <v>24</v>
      </c>
    </row>
    <row r="14" spans="1:10">
      <c r="A14" s="3">
        <v>1</v>
      </c>
      <c r="B14" s="3">
        <v>0</v>
      </c>
      <c r="E14" t="s">
        <v>119</v>
      </c>
      <c r="F14">
        <f t="shared" ref="F14:I14" si="3">F$8*$J7/$J$8</f>
        <v>7</v>
      </c>
      <c r="G14">
        <f t="shared" si="3"/>
        <v>3.7333333333333334</v>
      </c>
      <c r="H14">
        <f t="shared" si="3"/>
        <v>7.9333333333333336</v>
      </c>
      <c r="I14">
        <f t="shared" si="3"/>
        <v>2.3333333333333335</v>
      </c>
      <c r="J14">
        <f>SUM(F14:I14)</f>
        <v>21</v>
      </c>
    </row>
    <row r="15" spans="1:10">
      <c r="A15" s="3">
        <v>3</v>
      </c>
      <c r="B15" s="3">
        <v>1</v>
      </c>
      <c r="E15" t="s">
        <v>162</v>
      </c>
      <c r="F15">
        <f>SUM(F13:F14)</f>
        <v>15</v>
      </c>
      <c r="G15">
        <f t="shared" ref="G15" si="4">SUM(G13:G14)</f>
        <v>8</v>
      </c>
      <c r="H15">
        <f t="shared" ref="H15" si="5">SUM(H13:H14)</f>
        <v>17</v>
      </c>
      <c r="I15">
        <f t="shared" ref="I15" si="6">SUM(I13:I14)</f>
        <v>5</v>
      </c>
      <c r="J15">
        <f t="shared" ref="J15" si="7">SUM(J13:J14)</f>
        <v>45</v>
      </c>
    </row>
    <row r="16" spans="1:10">
      <c r="A16" s="3">
        <v>3</v>
      </c>
      <c r="B16" s="3">
        <v>1</v>
      </c>
    </row>
    <row r="17" spans="1:9">
      <c r="A17" s="3">
        <v>3</v>
      </c>
      <c r="B17" s="3">
        <v>0</v>
      </c>
      <c r="E17" t="s">
        <v>164</v>
      </c>
    </row>
    <row r="18" spans="1:9">
      <c r="A18" s="3">
        <v>3</v>
      </c>
      <c r="B18" s="3">
        <v>1</v>
      </c>
      <c r="F18" t="s">
        <v>121</v>
      </c>
      <c r="G18" t="s">
        <v>122</v>
      </c>
      <c r="H18" t="s">
        <v>123</v>
      </c>
      <c r="I18" t="s">
        <v>124</v>
      </c>
    </row>
    <row r="19" spans="1:9">
      <c r="A19" s="3">
        <v>3</v>
      </c>
      <c r="B19" s="3">
        <v>1</v>
      </c>
      <c r="E19" t="s">
        <v>118</v>
      </c>
      <c r="F19">
        <f>(F6-F13)^2/F13</f>
        <v>0.5</v>
      </c>
      <c r="G19">
        <f t="shared" ref="G19:I19" si="8">(G6-G13)^2/G13</f>
        <v>0.70416666666666672</v>
      </c>
      <c r="H19">
        <f t="shared" si="8"/>
        <v>9.6078431372549067E-2</v>
      </c>
      <c r="I19">
        <f t="shared" si="8"/>
        <v>0.1666666666666666</v>
      </c>
    </row>
    <row r="20" spans="1:9">
      <c r="A20" s="3">
        <v>1</v>
      </c>
      <c r="B20" s="3">
        <v>1</v>
      </c>
      <c r="E20" t="s">
        <v>119</v>
      </c>
      <c r="F20">
        <f t="shared" ref="F20:I20" si="9">(F7-F14)^2/F14</f>
        <v>0.5714285714285714</v>
      </c>
      <c r="G20">
        <f t="shared" si="9"/>
        <v>0.80476190476190479</v>
      </c>
      <c r="H20">
        <f t="shared" si="9"/>
        <v>0.10980392156862749</v>
      </c>
      <c r="I20">
        <f t="shared" si="9"/>
        <v>0.19047619047619038</v>
      </c>
    </row>
    <row r="21" spans="1:9">
      <c r="A21" s="3">
        <v>2</v>
      </c>
      <c r="B21" s="3">
        <v>1</v>
      </c>
    </row>
    <row r="22" spans="1:9">
      <c r="A22" s="3">
        <v>4</v>
      </c>
      <c r="B22" s="3">
        <v>1</v>
      </c>
      <c r="E22" t="s">
        <v>165</v>
      </c>
      <c r="F22">
        <f>SUM(F19:I20)</f>
        <v>3.1433823529411757</v>
      </c>
    </row>
    <row r="23" spans="1:9">
      <c r="A23" s="3">
        <v>1</v>
      </c>
      <c r="B23" s="3">
        <v>0</v>
      </c>
    </row>
    <row r="24" spans="1:9">
      <c r="A24" s="3">
        <v>1</v>
      </c>
      <c r="B24" s="3">
        <v>1</v>
      </c>
      <c r="E24" t="s">
        <v>62</v>
      </c>
    </row>
    <row r="25" spans="1:9">
      <c r="A25" s="3">
        <v>2</v>
      </c>
      <c r="B25" s="3">
        <v>1</v>
      </c>
      <c r="E25" t="s">
        <v>166</v>
      </c>
      <c r="F25">
        <f>CHIDIST(F22,4-1)</f>
        <v>0.37004228277406681</v>
      </c>
      <c r="H25" t="s">
        <v>278</v>
      </c>
    </row>
    <row r="26" spans="1:9">
      <c r="A26" s="3">
        <v>4</v>
      </c>
      <c r="B26" s="3">
        <v>0</v>
      </c>
      <c r="E26" t="s">
        <v>167</v>
      </c>
    </row>
    <row r="27" spans="1:9">
      <c r="A27" s="3">
        <v>4</v>
      </c>
      <c r="B27" s="3">
        <v>0</v>
      </c>
      <c r="E27" t="s">
        <v>168</v>
      </c>
    </row>
    <row r="28" spans="1:9">
      <c r="A28" s="3">
        <v>2</v>
      </c>
      <c r="B28" s="3">
        <v>1</v>
      </c>
      <c r="E28" t="s">
        <v>279</v>
      </c>
    </row>
    <row r="29" spans="1:9">
      <c r="A29" s="3">
        <v>3</v>
      </c>
      <c r="B29" s="3">
        <v>1</v>
      </c>
      <c r="E29" t="s">
        <v>169</v>
      </c>
      <c r="F29">
        <f>CHIINV(5%,4-1)</f>
        <v>7.81472776394987</v>
      </c>
      <c r="H29" t="s">
        <v>135</v>
      </c>
    </row>
    <row r="30" spans="1:9">
      <c r="A30" s="3">
        <v>3</v>
      </c>
      <c r="B30" s="3">
        <v>0</v>
      </c>
      <c r="E30" t="s">
        <v>170</v>
      </c>
    </row>
    <row r="31" spans="1:9">
      <c r="A31" s="3">
        <v>3</v>
      </c>
      <c r="B31" s="3">
        <v>1</v>
      </c>
      <c r="E31" t="s">
        <v>171</v>
      </c>
    </row>
    <row r="32" spans="1:9">
      <c r="A32" s="3">
        <v>2</v>
      </c>
      <c r="B32" s="3">
        <v>1</v>
      </c>
      <c r="E32" t="s">
        <v>168</v>
      </c>
    </row>
    <row r="33" spans="1:2">
      <c r="A33" s="3">
        <v>3</v>
      </c>
      <c r="B33" s="3">
        <v>0</v>
      </c>
    </row>
    <row r="34" spans="1:2">
      <c r="A34" s="3">
        <v>3</v>
      </c>
      <c r="B34" s="3">
        <v>1</v>
      </c>
    </row>
    <row r="35" spans="1:2">
      <c r="A35" s="3">
        <v>4</v>
      </c>
      <c r="B35" s="3">
        <v>0</v>
      </c>
    </row>
    <row r="36" spans="1:2">
      <c r="A36" s="3">
        <v>1</v>
      </c>
      <c r="B36" s="3">
        <v>0</v>
      </c>
    </row>
    <row r="37" spans="1:2">
      <c r="A37" s="3">
        <v>4</v>
      </c>
      <c r="B37" s="3">
        <v>1</v>
      </c>
    </row>
    <row r="38" spans="1:2">
      <c r="A38" s="3">
        <v>1</v>
      </c>
      <c r="B38" s="3">
        <v>0</v>
      </c>
    </row>
    <row r="39" spans="1:2">
      <c r="A39" s="3">
        <v>3</v>
      </c>
      <c r="B39" s="3">
        <v>0</v>
      </c>
    </row>
    <row r="40" spans="1:2">
      <c r="A40" s="3">
        <v>1</v>
      </c>
      <c r="B40" s="3">
        <v>0</v>
      </c>
    </row>
    <row r="41" spans="1:2">
      <c r="A41" s="3">
        <v>1</v>
      </c>
      <c r="B41" s="3">
        <v>0</v>
      </c>
    </row>
    <row r="42" spans="1:2">
      <c r="A42" s="3">
        <v>1</v>
      </c>
      <c r="B42" s="3">
        <v>0</v>
      </c>
    </row>
    <row r="43" spans="1:2">
      <c r="A43" s="3">
        <v>3</v>
      </c>
      <c r="B43" s="3">
        <v>0</v>
      </c>
    </row>
    <row r="44" spans="1:2">
      <c r="A44" s="3">
        <v>3</v>
      </c>
      <c r="B44" s="3">
        <v>0</v>
      </c>
    </row>
    <row r="45" spans="1:2">
      <c r="A45" s="3">
        <v>1</v>
      </c>
      <c r="B45" s="3">
        <v>0</v>
      </c>
    </row>
    <row r="46" spans="1:2">
      <c r="A46" s="3">
        <v>2</v>
      </c>
      <c r="B46" s="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46"/>
  <sheetViews>
    <sheetView zoomScale="178" zoomScaleNormal="178" workbookViewId="0">
      <selection activeCell="K24" sqref="K24"/>
    </sheetView>
  </sheetViews>
  <sheetFormatPr defaultRowHeight="14.4"/>
  <cols>
    <col min="1" max="1" width="6.88671875" customWidth="1"/>
    <col min="2" max="2" width="8.6640625" customWidth="1"/>
    <col min="4" max="4" width="11.44140625" customWidth="1"/>
    <col min="6" max="6" width="24" customWidth="1"/>
  </cols>
  <sheetData>
    <row r="1" spans="1:11">
      <c r="A1" s="8" t="s">
        <v>6</v>
      </c>
      <c r="B1" s="8" t="s">
        <v>8</v>
      </c>
      <c r="C1" t="s">
        <v>183</v>
      </c>
      <c r="D1" t="s">
        <v>184</v>
      </c>
      <c r="F1" t="s">
        <v>209</v>
      </c>
    </row>
    <row r="2" spans="1:11">
      <c r="A2" s="2">
        <v>1</v>
      </c>
      <c r="B2" s="3">
        <v>1</v>
      </c>
      <c r="C2" s="2">
        <f t="shared" ref="C2:C16" si="0">A2-$G$9</f>
        <v>-0.31466666666666665</v>
      </c>
      <c r="D2" s="11">
        <f>C2^2</f>
        <v>9.9015111111111095E-2</v>
      </c>
      <c r="F2" t="s">
        <v>220</v>
      </c>
    </row>
    <row r="3" spans="1:11">
      <c r="A3" s="2">
        <v>0.05</v>
      </c>
      <c r="B3" s="3">
        <v>1</v>
      </c>
      <c r="C3" s="2">
        <f t="shared" si="0"/>
        <v>-1.2646666666666666</v>
      </c>
      <c r="D3" s="11">
        <f t="shared" ref="D3:D46" si="1">C3^2</f>
        <v>1.5993817777777777</v>
      </c>
      <c r="F3" t="s">
        <v>221</v>
      </c>
    </row>
    <row r="4" spans="1:11">
      <c r="A4" s="2">
        <v>1</v>
      </c>
      <c r="B4" s="3">
        <v>1</v>
      </c>
      <c r="C4" s="2">
        <f t="shared" si="0"/>
        <v>-0.31466666666666665</v>
      </c>
      <c r="D4" s="11">
        <f t="shared" si="1"/>
        <v>9.9015111111111095E-2</v>
      </c>
    </row>
    <row r="5" spans="1:11">
      <c r="A5" s="2">
        <v>1</v>
      </c>
      <c r="B5" s="3">
        <v>1</v>
      </c>
      <c r="C5" s="2">
        <f t="shared" si="0"/>
        <v>-0.31466666666666665</v>
      </c>
      <c r="D5" s="11">
        <f t="shared" si="1"/>
        <v>9.9015111111111095E-2</v>
      </c>
      <c r="G5" t="s">
        <v>210</v>
      </c>
    </row>
    <row r="6" spans="1:11">
      <c r="A6" s="2">
        <v>0.2</v>
      </c>
      <c r="B6" s="3">
        <v>1</v>
      </c>
      <c r="C6" s="2">
        <f t="shared" si="0"/>
        <v>-1.1146666666666667</v>
      </c>
      <c r="D6" s="11">
        <f t="shared" si="1"/>
        <v>1.2424817777777779</v>
      </c>
      <c r="G6" t="s">
        <v>121</v>
      </c>
      <c r="H6" t="s">
        <v>122</v>
      </c>
      <c r="I6" t="s">
        <v>123</v>
      </c>
      <c r="J6" t="s">
        <v>124</v>
      </c>
      <c r="K6" t="s">
        <v>175</v>
      </c>
    </row>
    <row r="7" spans="1:11">
      <c r="A7" s="2">
        <v>0.1</v>
      </c>
      <c r="B7" s="3">
        <v>1</v>
      </c>
      <c r="C7" s="2">
        <f t="shared" si="0"/>
        <v>-1.2146666666666666</v>
      </c>
      <c r="D7" s="11">
        <f t="shared" si="1"/>
        <v>1.4754151111111109</v>
      </c>
      <c r="F7" t="s">
        <v>176</v>
      </c>
      <c r="K7">
        <v>4</v>
      </c>
    </row>
    <row r="8" spans="1:11">
      <c r="A8" s="2">
        <v>7</v>
      </c>
      <c r="B8" s="3">
        <v>1</v>
      </c>
      <c r="C8" s="2">
        <f t="shared" si="0"/>
        <v>5.6853333333333333</v>
      </c>
      <c r="D8" s="11">
        <f t="shared" si="1"/>
        <v>32.323015111111111</v>
      </c>
      <c r="F8" t="s">
        <v>211</v>
      </c>
      <c r="G8">
        <f>COUNTIF($B:$B,1)</f>
        <v>15</v>
      </c>
      <c r="H8">
        <f>COUNTIF($B:$B,2)</f>
        <v>8</v>
      </c>
      <c r="I8">
        <f>COUNTIF($B:$B,3)</f>
        <v>17</v>
      </c>
      <c r="J8">
        <f>COUNTIF($B:$B,4)</f>
        <v>5</v>
      </c>
      <c r="K8">
        <f>SUM(G8:J8)</f>
        <v>45</v>
      </c>
    </row>
    <row r="9" spans="1:11">
      <c r="A9" s="2">
        <v>1</v>
      </c>
      <c r="B9" s="3">
        <v>1</v>
      </c>
      <c r="C9" s="2">
        <f t="shared" si="0"/>
        <v>-0.31466666666666665</v>
      </c>
      <c r="D9" s="11">
        <f t="shared" si="1"/>
        <v>9.9015111111111095E-2</v>
      </c>
      <c r="F9" t="s">
        <v>177</v>
      </c>
      <c r="G9">
        <f>AVERAGEIF($B:$B,1,$A:$A)</f>
        <v>1.3146666666666667</v>
      </c>
      <c r="H9">
        <f>AVERAGEIF($B:$B,2,$A:$A)</f>
        <v>4.5</v>
      </c>
      <c r="I9">
        <f>AVERAGEIF($B:$B,3,$A:$A)</f>
        <v>6.382352941176471</v>
      </c>
      <c r="J9">
        <f>AVERAGEIF($B:$B,4,$A:$A)</f>
        <v>8.3000000000000007</v>
      </c>
    </row>
    <row r="10" spans="1:11">
      <c r="A10" s="2">
        <v>1</v>
      </c>
      <c r="B10" s="3">
        <v>1</v>
      </c>
      <c r="C10" s="2">
        <f t="shared" si="0"/>
        <v>-0.31466666666666665</v>
      </c>
      <c r="D10" s="11">
        <f t="shared" si="1"/>
        <v>9.9015111111111095E-2</v>
      </c>
      <c r="F10" t="s">
        <v>178</v>
      </c>
      <c r="K10">
        <f>AVERAGE(A:A)</f>
        <v>4.5715555555555554</v>
      </c>
    </row>
    <row r="11" spans="1:11">
      <c r="A11" s="2">
        <v>0.7</v>
      </c>
      <c r="B11" s="3">
        <v>1</v>
      </c>
      <c r="C11" s="2">
        <f t="shared" si="0"/>
        <v>-0.61466666666666669</v>
      </c>
      <c r="D11" s="11">
        <f t="shared" si="1"/>
        <v>0.37781511111111116</v>
      </c>
      <c r="F11" t="s">
        <v>212</v>
      </c>
      <c r="G11">
        <f>G9-$K$10</f>
        <v>-3.2568888888888887</v>
      </c>
      <c r="H11">
        <f>H9-$K$10</f>
        <v>-7.1555555555555372E-2</v>
      </c>
      <c r="I11">
        <f>I9-$K$10</f>
        <v>1.8107973856209156</v>
      </c>
      <c r="J11">
        <f>J9-$K$10</f>
        <v>3.7284444444444453</v>
      </c>
    </row>
    <row r="12" spans="1:11">
      <c r="A12" s="2">
        <v>7.0000000000000007E-2</v>
      </c>
      <c r="B12" s="3">
        <v>1</v>
      </c>
      <c r="C12" s="2">
        <f t="shared" si="0"/>
        <v>-1.2446666666666666</v>
      </c>
      <c r="D12" s="11">
        <f t="shared" si="1"/>
        <v>1.5491951111111109</v>
      </c>
      <c r="F12" t="s">
        <v>180</v>
      </c>
      <c r="G12">
        <f>G11^2</f>
        <v>10.607325234567901</v>
      </c>
      <c r="H12">
        <f t="shared" ref="H12:J12" si="2">H11^2</f>
        <v>5.1201975308641711E-3</v>
      </c>
      <c r="I12">
        <f t="shared" si="2"/>
        <v>3.2789871717715431</v>
      </c>
      <c r="J12">
        <f t="shared" si="2"/>
        <v>13.901297975308649</v>
      </c>
    </row>
    <row r="13" spans="1:11">
      <c r="A13" s="2">
        <v>1</v>
      </c>
      <c r="B13" s="3">
        <v>1</v>
      </c>
      <c r="C13" s="2">
        <f t="shared" si="0"/>
        <v>-0.31466666666666665</v>
      </c>
      <c r="D13" s="11">
        <f t="shared" si="1"/>
        <v>9.9015111111111095E-2</v>
      </c>
      <c r="F13" t="s">
        <v>185</v>
      </c>
      <c r="G13">
        <f>G8*G12</f>
        <v>159.10987851851851</v>
      </c>
      <c r="H13">
        <f t="shared" ref="H13:J13" si="3">H8*H12</f>
        <v>4.0961580246913369E-2</v>
      </c>
      <c r="I13">
        <f t="shared" si="3"/>
        <v>55.742781920116229</v>
      </c>
      <c r="J13">
        <f t="shared" si="3"/>
        <v>69.506489876543242</v>
      </c>
    </row>
    <row r="14" spans="1:11">
      <c r="A14" s="2">
        <v>0.6</v>
      </c>
      <c r="B14" s="3">
        <v>1</v>
      </c>
      <c r="C14" s="2">
        <f t="shared" si="0"/>
        <v>-0.71466666666666667</v>
      </c>
      <c r="D14" s="11">
        <f t="shared" si="1"/>
        <v>0.51074844444444445</v>
      </c>
      <c r="F14" t="s">
        <v>213</v>
      </c>
      <c r="K14">
        <f>SUM(G13:J13)</f>
        <v>284.40011189542491</v>
      </c>
    </row>
    <row r="15" spans="1:11">
      <c r="A15" s="2">
        <v>4</v>
      </c>
      <c r="B15" s="3">
        <v>1</v>
      </c>
      <c r="C15" s="2">
        <f t="shared" si="0"/>
        <v>2.6853333333333333</v>
      </c>
      <c r="D15" s="11">
        <f t="shared" si="1"/>
        <v>7.2110151111111112</v>
      </c>
      <c r="F15" t="s">
        <v>214</v>
      </c>
      <c r="K15">
        <f>SUM(D:D)</f>
        <v>660.54687921568643</v>
      </c>
    </row>
    <row r="16" spans="1:11">
      <c r="A16" s="2">
        <v>1</v>
      </c>
      <c r="B16" s="3">
        <v>1</v>
      </c>
      <c r="C16" s="2">
        <f t="shared" si="0"/>
        <v>-0.31466666666666665</v>
      </c>
      <c r="D16" s="11">
        <f t="shared" si="1"/>
        <v>9.9015111111111095E-2</v>
      </c>
    </row>
    <row r="17" spans="1:11">
      <c r="A17" s="2">
        <v>3</v>
      </c>
      <c r="B17" s="3">
        <v>2</v>
      </c>
      <c r="C17" s="2">
        <f t="shared" ref="C17:C24" si="4">A17-$H$9</f>
        <v>-1.5</v>
      </c>
      <c r="D17" s="11">
        <f t="shared" si="1"/>
        <v>2.25</v>
      </c>
      <c r="F17" t="s">
        <v>215</v>
      </c>
      <c r="G17" t="s">
        <v>216</v>
      </c>
      <c r="K17">
        <f>(K14/(K7-1))/(K15/(K8-K7))</f>
        <v>5.8842175347986583</v>
      </c>
    </row>
    <row r="18" spans="1:11">
      <c r="A18" s="2">
        <v>2</v>
      </c>
      <c r="B18" s="3">
        <v>2</v>
      </c>
      <c r="C18" s="2">
        <f t="shared" si="4"/>
        <v>-2.5</v>
      </c>
      <c r="D18" s="11">
        <f t="shared" si="1"/>
        <v>6.25</v>
      </c>
      <c r="F18" t="s">
        <v>217</v>
      </c>
      <c r="G18" t="s">
        <v>188</v>
      </c>
      <c r="K18">
        <f>FINV(5%,K7-1,K8-K7)</f>
        <v>2.8327471389590864</v>
      </c>
    </row>
    <row r="19" spans="1:11">
      <c r="A19" s="2">
        <v>6</v>
      </c>
      <c r="B19" s="3">
        <v>2</v>
      </c>
      <c r="C19" s="2">
        <f t="shared" si="4"/>
        <v>1.5</v>
      </c>
      <c r="D19" s="11">
        <f t="shared" si="1"/>
        <v>2.25</v>
      </c>
      <c r="F19" t="s">
        <v>218</v>
      </c>
    </row>
    <row r="20" spans="1:11">
      <c r="A20" s="2">
        <v>4</v>
      </c>
      <c r="B20" s="3">
        <v>2</v>
      </c>
      <c r="C20" s="2">
        <f t="shared" si="4"/>
        <v>-0.5</v>
      </c>
      <c r="D20" s="11">
        <f t="shared" si="1"/>
        <v>0.25</v>
      </c>
      <c r="F20" t="s">
        <v>219</v>
      </c>
    </row>
    <row r="21" spans="1:11">
      <c r="A21" s="2">
        <v>1</v>
      </c>
      <c r="B21" s="3">
        <v>2</v>
      </c>
      <c r="C21" s="2">
        <f t="shared" si="4"/>
        <v>-3.5</v>
      </c>
      <c r="D21" s="11">
        <f t="shared" si="1"/>
        <v>12.25</v>
      </c>
      <c r="F21" t="s">
        <v>222</v>
      </c>
    </row>
    <row r="22" spans="1:11">
      <c r="A22" s="2">
        <v>7</v>
      </c>
      <c r="B22" s="3">
        <v>2</v>
      </c>
      <c r="C22" s="2">
        <f t="shared" si="4"/>
        <v>2.5</v>
      </c>
      <c r="D22" s="11">
        <f t="shared" si="1"/>
        <v>6.25</v>
      </c>
    </row>
    <row r="23" spans="1:11">
      <c r="A23" s="2">
        <v>8</v>
      </c>
      <c r="B23" s="3">
        <v>2</v>
      </c>
      <c r="C23" s="2">
        <f t="shared" si="4"/>
        <v>3.5</v>
      </c>
      <c r="D23" s="11">
        <f t="shared" si="1"/>
        <v>12.25</v>
      </c>
      <c r="F23" t="s">
        <v>223</v>
      </c>
    </row>
    <row r="24" spans="1:11">
      <c r="A24" s="2">
        <v>5</v>
      </c>
      <c r="B24" s="3">
        <v>2</v>
      </c>
      <c r="C24" s="2">
        <f t="shared" si="4"/>
        <v>0.5</v>
      </c>
      <c r="D24" s="11">
        <f t="shared" si="1"/>
        <v>0.25</v>
      </c>
      <c r="F24" t="s">
        <v>224</v>
      </c>
      <c r="G24" t="s">
        <v>225</v>
      </c>
      <c r="K24">
        <f>FDIST(K17,K7-1,K8-K7)</f>
        <v>1.9472357279822822E-3</v>
      </c>
    </row>
    <row r="25" spans="1:11">
      <c r="A25" s="2">
        <v>10</v>
      </c>
      <c r="B25" s="3">
        <v>3</v>
      </c>
      <c r="C25" s="2">
        <f t="shared" ref="C25:C41" si="5">A25-$I$9</f>
        <v>3.617647058823529</v>
      </c>
      <c r="D25" s="11">
        <f t="shared" si="1"/>
        <v>13.087370242214529</v>
      </c>
    </row>
    <row r="26" spans="1:11">
      <c r="A26" s="2">
        <v>5</v>
      </c>
      <c r="B26" s="3">
        <v>3</v>
      </c>
      <c r="C26" s="2">
        <f t="shared" si="5"/>
        <v>-1.382352941176471</v>
      </c>
      <c r="D26" s="11">
        <f t="shared" si="1"/>
        <v>1.91089965397924</v>
      </c>
      <c r="F26" t="s">
        <v>226</v>
      </c>
    </row>
    <row r="27" spans="1:11">
      <c r="A27" s="2">
        <v>25</v>
      </c>
      <c r="B27" s="3">
        <v>3</v>
      </c>
      <c r="C27" s="2">
        <f t="shared" si="5"/>
        <v>18.617647058823529</v>
      </c>
      <c r="D27" s="11">
        <f t="shared" si="1"/>
        <v>346.6167820069204</v>
      </c>
      <c r="F27" t="s">
        <v>222</v>
      </c>
    </row>
    <row r="28" spans="1:11">
      <c r="A28" s="2">
        <v>0.5</v>
      </c>
      <c r="B28" s="3">
        <v>3</v>
      </c>
      <c r="C28" s="2">
        <f t="shared" si="5"/>
        <v>-5.882352941176471</v>
      </c>
      <c r="D28" s="11">
        <f t="shared" si="1"/>
        <v>34.602076124567482</v>
      </c>
    </row>
    <row r="29" spans="1:11">
      <c r="A29" s="2">
        <v>2.5</v>
      </c>
      <c r="B29" s="3">
        <v>3</v>
      </c>
      <c r="C29" s="2">
        <f t="shared" si="5"/>
        <v>-3.882352941176471</v>
      </c>
      <c r="D29" s="11">
        <f t="shared" si="1"/>
        <v>15.072664359861594</v>
      </c>
    </row>
    <row r="30" spans="1:11">
      <c r="A30" s="2">
        <v>2</v>
      </c>
      <c r="B30" s="3">
        <v>3</v>
      </c>
      <c r="C30" s="2">
        <f t="shared" si="5"/>
        <v>-4.382352941176471</v>
      </c>
      <c r="D30" s="11">
        <f t="shared" si="1"/>
        <v>19.205017301038065</v>
      </c>
    </row>
    <row r="31" spans="1:11">
      <c r="A31" s="2">
        <v>10</v>
      </c>
      <c r="B31" s="3">
        <v>3</v>
      </c>
      <c r="C31" s="2">
        <f t="shared" si="5"/>
        <v>3.617647058823529</v>
      </c>
      <c r="D31" s="11">
        <f t="shared" si="1"/>
        <v>13.087370242214529</v>
      </c>
    </row>
    <row r="32" spans="1:11">
      <c r="A32" s="2">
        <v>1.5</v>
      </c>
      <c r="B32" s="3">
        <v>3</v>
      </c>
      <c r="C32" s="2">
        <f t="shared" si="5"/>
        <v>-4.882352941176471</v>
      </c>
      <c r="D32" s="11">
        <f t="shared" si="1"/>
        <v>23.837370242214536</v>
      </c>
    </row>
    <row r="33" spans="1:4">
      <c r="A33" s="2">
        <v>10</v>
      </c>
      <c r="B33" s="3">
        <v>3</v>
      </c>
      <c r="C33" s="2">
        <f t="shared" si="5"/>
        <v>3.617647058823529</v>
      </c>
      <c r="D33" s="11">
        <f t="shared" si="1"/>
        <v>13.087370242214529</v>
      </c>
    </row>
    <row r="34" spans="1:4">
      <c r="A34" s="2">
        <v>3</v>
      </c>
      <c r="B34" s="3">
        <v>3</v>
      </c>
      <c r="C34" s="2">
        <f t="shared" si="5"/>
        <v>-3.382352941176471</v>
      </c>
      <c r="D34" s="11">
        <f t="shared" si="1"/>
        <v>11.440311418685123</v>
      </c>
    </row>
    <row r="35" spans="1:4">
      <c r="A35" s="2">
        <v>8</v>
      </c>
      <c r="B35" s="3">
        <v>3</v>
      </c>
      <c r="C35" s="2">
        <f t="shared" si="5"/>
        <v>1.617647058823529</v>
      </c>
      <c r="D35" s="11">
        <f t="shared" si="1"/>
        <v>2.6167820069204137</v>
      </c>
    </row>
    <row r="36" spans="1:4">
      <c r="A36" s="2">
        <v>4</v>
      </c>
      <c r="B36" s="3">
        <v>3</v>
      </c>
      <c r="C36" s="2">
        <f t="shared" si="5"/>
        <v>-2.382352941176471</v>
      </c>
      <c r="D36" s="11">
        <f t="shared" si="1"/>
        <v>5.6756055363321822</v>
      </c>
    </row>
    <row r="37" spans="1:4">
      <c r="A37" s="2">
        <v>2.5</v>
      </c>
      <c r="B37" s="3">
        <v>3</v>
      </c>
      <c r="C37" s="2">
        <f t="shared" si="5"/>
        <v>-3.882352941176471</v>
      </c>
      <c r="D37" s="11">
        <f t="shared" si="1"/>
        <v>15.072664359861594</v>
      </c>
    </row>
    <row r="38" spans="1:4">
      <c r="A38" s="2">
        <v>10</v>
      </c>
      <c r="B38" s="3">
        <v>3</v>
      </c>
      <c r="C38" s="2">
        <f t="shared" si="5"/>
        <v>3.617647058823529</v>
      </c>
      <c r="D38" s="11">
        <f t="shared" si="1"/>
        <v>13.087370242214529</v>
      </c>
    </row>
    <row r="39" spans="1:4">
      <c r="A39" s="2">
        <v>3</v>
      </c>
      <c r="B39" s="3">
        <v>3</v>
      </c>
      <c r="C39" s="2">
        <f t="shared" si="5"/>
        <v>-3.382352941176471</v>
      </c>
      <c r="D39" s="11">
        <f t="shared" si="1"/>
        <v>11.440311418685123</v>
      </c>
    </row>
    <row r="40" spans="1:4">
      <c r="A40" s="2">
        <v>6.5</v>
      </c>
      <c r="B40" s="3">
        <v>3</v>
      </c>
      <c r="C40" s="2">
        <f t="shared" si="5"/>
        <v>0.11764705882352899</v>
      </c>
      <c r="D40" s="11">
        <f t="shared" si="1"/>
        <v>1.3840830449826891E-2</v>
      </c>
    </row>
    <row r="41" spans="1:4">
      <c r="A41" s="2">
        <v>5</v>
      </c>
      <c r="B41" s="3">
        <v>3</v>
      </c>
      <c r="C41" s="2">
        <f t="shared" si="5"/>
        <v>-1.382352941176471</v>
      </c>
      <c r="D41" s="11">
        <f t="shared" si="1"/>
        <v>1.91089965397924</v>
      </c>
    </row>
    <row r="42" spans="1:4">
      <c r="A42" s="2">
        <v>13</v>
      </c>
      <c r="B42" s="3">
        <v>4</v>
      </c>
      <c r="C42" s="2">
        <f>A42-$J$9</f>
        <v>4.6999999999999993</v>
      </c>
      <c r="D42" s="11">
        <f t="shared" si="1"/>
        <v>22.089999999999993</v>
      </c>
    </row>
    <row r="43" spans="1:4">
      <c r="A43" s="2">
        <v>7.5</v>
      </c>
      <c r="B43" s="3">
        <v>4</v>
      </c>
      <c r="C43" s="2">
        <f>A43-$J$9</f>
        <v>-0.80000000000000071</v>
      </c>
      <c r="D43" s="11">
        <f t="shared" si="1"/>
        <v>0.64000000000000112</v>
      </c>
    </row>
    <row r="44" spans="1:4">
      <c r="A44" s="2">
        <v>7</v>
      </c>
      <c r="B44" s="3">
        <v>4</v>
      </c>
      <c r="C44" s="2">
        <f>A44-$J$9</f>
        <v>-1.3000000000000007</v>
      </c>
      <c r="D44" s="11">
        <f t="shared" si="1"/>
        <v>1.6900000000000019</v>
      </c>
    </row>
    <row r="45" spans="1:4">
      <c r="A45" s="2">
        <v>8</v>
      </c>
      <c r="B45" s="3">
        <v>4</v>
      </c>
      <c r="C45" s="2">
        <f>A45-$J$9</f>
        <v>-0.30000000000000071</v>
      </c>
      <c r="D45" s="11">
        <f t="shared" si="1"/>
        <v>9.0000000000000427E-2</v>
      </c>
    </row>
    <row r="46" spans="1:4">
      <c r="A46" s="2">
        <v>6</v>
      </c>
      <c r="B46" s="3">
        <v>4</v>
      </c>
      <c r="C46" s="2">
        <f>A46-$J$9</f>
        <v>-2.3000000000000007</v>
      </c>
      <c r="D46" s="11">
        <f t="shared" si="1"/>
        <v>5.2900000000000036</v>
      </c>
    </row>
  </sheetData>
  <sortState ref="A2:C54">
    <sortCondition ref="B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46"/>
  <sheetViews>
    <sheetView zoomScale="178" zoomScaleNormal="178" workbookViewId="0">
      <selection activeCell="K23" sqref="K23"/>
    </sheetView>
  </sheetViews>
  <sheetFormatPr defaultRowHeight="14.4"/>
  <cols>
    <col min="1" max="1" width="5.44140625" customWidth="1"/>
    <col min="2" max="2" width="8.6640625" customWidth="1"/>
    <col min="3" max="3" width="7.5546875" customWidth="1"/>
    <col min="4" max="4" width="10.33203125" customWidth="1"/>
    <col min="6" max="6" width="19.33203125" customWidth="1"/>
  </cols>
  <sheetData>
    <row r="1" spans="1:11">
      <c r="A1" s="8" t="s">
        <v>1</v>
      </c>
      <c r="B1" s="8" t="s">
        <v>8</v>
      </c>
      <c r="C1" t="s">
        <v>183</v>
      </c>
      <c r="D1" t="s">
        <v>184</v>
      </c>
      <c r="F1" t="s">
        <v>172</v>
      </c>
    </row>
    <row r="2" spans="1:11">
      <c r="A2" s="3">
        <v>23</v>
      </c>
      <c r="B2" s="3">
        <v>1</v>
      </c>
      <c r="C2">
        <f>A2-$G$9</f>
        <v>-7.6000000000000014</v>
      </c>
      <c r="D2">
        <f>C2^2</f>
        <v>57.760000000000019</v>
      </c>
    </row>
    <row r="3" spans="1:11">
      <c r="A3" s="3">
        <v>31</v>
      </c>
      <c r="B3" s="3">
        <v>1</v>
      </c>
      <c r="C3">
        <f>A3-$G$9</f>
        <v>0.39999999999999858</v>
      </c>
      <c r="D3">
        <f t="shared" ref="D3:D46" si="0">C3^2</f>
        <v>0.15999999999999887</v>
      </c>
      <c r="F3" t="s">
        <v>173</v>
      </c>
    </row>
    <row r="4" spans="1:11">
      <c r="A4" s="3">
        <v>23</v>
      </c>
      <c r="B4" s="3">
        <v>1</v>
      </c>
      <c r="C4">
        <f>A4-$G$9</f>
        <v>-7.6000000000000014</v>
      </c>
      <c r="D4">
        <f t="shared" si="0"/>
        <v>57.760000000000019</v>
      </c>
      <c r="F4" t="s">
        <v>174</v>
      </c>
    </row>
    <row r="5" spans="1:11">
      <c r="A5" s="3">
        <v>26</v>
      </c>
      <c r="B5" s="3">
        <v>1</v>
      </c>
      <c r="C5">
        <f>A5-$G$9</f>
        <v>-4.6000000000000014</v>
      </c>
      <c r="D5">
        <f t="shared" si="0"/>
        <v>21.160000000000014</v>
      </c>
    </row>
    <row r="6" spans="1:11">
      <c r="A6" s="3">
        <v>27</v>
      </c>
      <c r="B6" s="3">
        <v>1</v>
      </c>
      <c r="C6">
        <f>A6-$G$9</f>
        <v>-3.6000000000000014</v>
      </c>
      <c r="D6">
        <f t="shared" si="0"/>
        <v>12.96000000000001</v>
      </c>
      <c r="G6" t="s">
        <v>121</v>
      </c>
      <c r="H6" t="s">
        <v>122</v>
      </c>
      <c r="I6" t="s">
        <v>123</v>
      </c>
      <c r="J6" t="s">
        <v>124</v>
      </c>
      <c r="K6" t="s">
        <v>175</v>
      </c>
    </row>
    <row r="7" spans="1:11">
      <c r="A7" s="3">
        <v>26</v>
      </c>
      <c r="B7" s="3">
        <v>1</v>
      </c>
      <c r="C7">
        <f t="shared" ref="C7:C16" si="1">A7-$G$9</f>
        <v>-4.6000000000000014</v>
      </c>
      <c r="D7">
        <f t="shared" si="0"/>
        <v>21.160000000000014</v>
      </c>
      <c r="F7" t="s">
        <v>176</v>
      </c>
      <c r="K7">
        <v>4</v>
      </c>
    </row>
    <row r="8" spans="1:11">
      <c r="A8" s="3">
        <v>30</v>
      </c>
      <c r="B8" s="3">
        <v>1</v>
      </c>
      <c r="C8">
        <f t="shared" si="1"/>
        <v>-0.60000000000000142</v>
      </c>
      <c r="D8">
        <f t="shared" si="0"/>
        <v>0.36000000000000171</v>
      </c>
      <c r="F8" t="s">
        <v>56</v>
      </c>
      <c r="G8">
        <f>COUNTIF($B:$B,1)</f>
        <v>15</v>
      </c>
      <c r="H8">
        <f>COUNTIF($B:$B,2)</f>
        <v>8</v>
      </c>
      <c r="I8">
        <f>COUNTIF($B:$B,3)</f>
        <v>17</v>
      </c>
      <c r="J8">
        <f>COUNTIF($B:$B,4)</f>
        <v>5</v>
      </c>
      <c r="K8">
        <f>SUM(G8:J8)</f>
        <v>45</v>
      </c>
    </row>
    <row r="9" spans="1:11">
      <c r="A9" s="3">
        <v>40</v>
      </c>
      <c r="B9" s="3">
        <v>1</v>
      </c>
      <c r="C9">
        <f t="shared" si="1"/>
        <v>9.3999999999999986</v>
      </c>
      <c r="D9">
        <f t="shared" si="0"/>
        <v>88.359999999999971</v>
      </c>
      <c r="F9" t="s">
        <v>177</v>
      </c>
      <c r="G9">
        <f>AVERAGEIF($B:$B,1,$A:$A)</f>
        <v>30.6</v>
      </c>
      <c r="H9">
        <f>AVERAGEIF($B:$B,2,$A:$A)</f>
        <v>28.75</v>
      </c>
      <c r="I9">
        <f>AVERAGEIF($B:$B,3,$A:$A)</f>
        <v>30.705882352941178</v>
      </c>
      <c r="J9">
        <f>AVERAGEIF($B:$B,4,$A:$A)</f>
        <v>27.4</v>
      </c>
    </row>
    <row r="10" spans="1:11">
      <c r="A10" s="3">
        <v>25</v>
      </c>
      <c r="B10" s="3">
        <v>1</v>
      </c>
      <c r="C10">
        <f t="shared" si="1"/>
        <v>-5.6000000000000014</v>
      </c>
      <c r="D10">
        <f t="shared" si="0"/>
        <v>31.360000000000017</v>
      </c>
      <c r="F10" t="s">
        <v>178</v>
      </c>
      <c r="K10">
        <f>AVERAGE(A:A)</f>
        <v>29.955555555555556</v>
      </c>
    </row>
    <row r="11" spans="1:11">
      <c r="A11" s="3">
        <v>48</v>
      </c>
      <c r="B11" s="3">
        <v>1</v>
      </c>
      <c r="C11">
        <f t="shared" si="1"/>
        <v>17.399999999999999</v>
      </c>
      <c r="D11">
        <f t="shared" si="0"/>
        <v>302.75999999999993</v>
      </c>
      <c r="F11" t="s">
        <v>179</v>
      </c>
      <c r="G11">
        <f>G9-$K10</f>
        <v>0.64444444444444571</v>
      </c>
      <c r="H11">
        <f t="shared" ref="H11:J11" si="2">H9-$K10</f>
        <v>-1.2055555555555557</v>
      </c>
      <c r="I11">
        <f t="shared" si="2"/>
        <v>0.7503267973856218</v>
      </c>
      <c r="J11">
        <f t="shared" si="2"/>
        <v>-2.5555555555555571</v>
      </c>
    </row>
    <row r="12" spans="1:11">
      <c r="A12" s="3">
        <v>29</v>
      </c>
      <c r="B12" s="3">
        <v>1</v>
      </c>
      <c r="C12">
        <f t="shared" si="1"/>
        <v>-1.6000000000000014</v>
      </c>
      <c r="D12">
        <f t="shared" si="0"/>
        <v>2.5600000000000045</v>
      </c>
      <c r="F12" t="s">
        <v>180</v>
      </c>
      <c r="G12">
        <f>G11^2</f>
        <v>0.41530864197531026</v>
      </c>
      <c r="H12">
        <f t="shared" ref="H12:J12" si="3">H11^2</f>
        <v>1.4533641975308647</v>
      </c>
      <c r="I12">
        <f t="shared" si="3"/>
        <v>0.56299030287496399</v>
      </c>
      <c r="J12">
        <f t="shared" si="3"/>
        <v>6.5308641975308719</v>
      </c>
    </row>
    <row r="13" spans="1:11">
      <c r="A13" s="3">
        <v>30</v>
      </c>
      <c r="B13" s="3">
        <v>1</v>
      </c>
      <c r="C13">
        <f t="shared" si="1"/>
        <v>-0.60000000000000142</v>
      </c>
      <c r="D13">
        <f t="shared" si="0"/>
        <v>0.36000000000000171</v>
      </c>
      <c r="F13" s="8" t="s">
        <v>185</v>
      </c>
      <c r="G13" s="8">
        <f>G8*G12</f>
        <v>6.2296296296296543</v>
      </c>
      <c r="H13" s="8">
        <f t="shared" ref="H13:J13" si="4">H8*H12</f>
        <v>11.626913580246917</v>
      </c>
      <c r="I13" s="8">
        <f t="shared" si="4"/>
        <v>9.5708351488743872</v>
      </c>
      <c r="J13" s="8">
        <f t="shared" si="4"/>
        <v>32.654320987654359</v>
      </c>
    </row>
    <row r="14" spans="1:11">
      <c r="A14" s="3">
        <v>34</v>
      </c>
      <c r="B14" s="3">
        <v>1</v>
      </c>
      <c r="C14">
        <f t="shared" si="1"/>
        <v>3.3999999999999986</v>
      </c>
      <c r="D14">
        <f t="shared" si="0"/>
        <v>11.55999999999999</v>
      </c>
      <c r="F14" t="s">
        <v>181</v>
      </c>
      <c r="K14">
        <f>SUM(G13:J13)</f>
        <v>60.081699346405316</v>
      </c>
    </row>
    <row r="15" spans="1:11">
      <c r="A15" s="3">
        <v>34</v>
      </c>
      <c r="B15" s="3">
        <v>1</v>
      </c>
      <c r="C15">
        <f t="shared" si="1"/>
        <v>3.3999999999999986</v>
      </c>
      <c r="D15">
        <f t="shared" si="0"/>
        <v>11.55999999999999</v>
      </c>
      <c r="F15" t="s">
        <v>182</v>
      </c>
      <c r="K15">
        <f>SUM(D2:D46)</f>
        <v>1615.8294117647056</v>
      </c>
    </row>
    <row r="16" spans="1:11">
      <c r="A16" s="3">
        <v>33</v>
      </c>
      <c r="B16" s="3">
        <v>1</v>
      </c>
      <c r="C16">
        <f t="shared" si="1"/>
        <v>2.3999999999999986</v>
      </c>
      <c r="D16">
        <f t="shared" si="0"/>
        <v>5.7599999999999936</v>
      </c>
      <c r="F16" t="s">
        <v>186</v>
      </c>
      <c r="G16" t="s">
        <v>280</v>
      </c>
      <c r="K16">
        <f>((K14)/(K7-1))/((K15)/(K8-K7))</f>
        <v>0.5081703252557056</v>
      </c>
    </row>
    <row r="17" spans="1:11">
      <c r="A17" s="3">
        <v>25</v>
      </c>
      <c r="B17" s="3">
        <v>2</v>
      </c>
      <c r="C17">
        <f>A17-$H$9</f>
        <v>-3.75</v>
      </c>
      <c r="D17">
        <f t="shared" si="0"/>
        <v>14.0625</v>
      </c>
      <c r="F17" t="s">
        <v>187</v>
      </c>
      <c r="G17" t="s">
        <v>188</v>
      </c>
      <c r="K17">
        <f>FINV(5%,K7-1,K8-K7)</f>
        <v>2.8327471389590864</v>
      </c>
    </row>
    <row r="18" spans="1:11">
      <c r="A18" s="3">
        <v>23</v>
      </c>
      <c r="B18" s="3">
        <v>2</v>
      </c>
      <c r="C18">
        <f t="shared" ref="C18:C24" si="5">A18-$H$9</f>
        <v>-5.75</v>
      </c>
      <c r="D18">
        <f t="shared" si="0"/>
        <v>33.0625</v>
      </c>
    </row>
    <row r="19" spans="1:11">
      <c r="A19" s="3">
        <v>23</v>
      </c>
      <c r="B19" s="3">
        <v>2</v>
      </c>
      <c r="C19">
        <f t="shared" si="5"/>
        <v>-5.75</v>
      </c>
      <c r="D19">
        <f t="shared" si="0"/>
        <v>33.0625</v>
      </c>
      <c r="F19" t="s">
        <v>189</v>
      </c>
    </row>
    <row r="20" spans="1:11">
      <c r="A20" s="3">
        <v>36</v>
      </c>
      <c r="B20" s="3">
        <v>2</v>
      </c>
      <c r="C20">
        <f t="shared" si="5"/>
        <v>7.25</v>
      </c>
      <c r="D20">
        <f t="shared" si="0"/>
        <v>52.5625</v>
      </c>
      <c r="F20" t="s">
        <v>190</v>
      </c>
    </row>
    <row r="21" spans="1:11">
      <c r="A21" s="3">
        <v>27</v>
      </c>
      <c r="B21" s="3">
        <v>2</v>
      </c>
      <c r="C21">
        <f t="shared" si="5"/>
        <v>-1.75</v>
      </c>
      <c r="D21">
        <f t="shared" si="0"/>
        <v>3.0625</v>
      </c>
      <c r="F21" t="s">
        <v>191</v>
      </c>
    </row>
    <row r="22" spans="1:11">
      <c r="A22" s="3">
        <v>27</v>
      </c>
      <c r="B22" s="3">
        <v>2</v>
      </c>
      <c r="C22">
        <f t="shared" si="5"/>
        <v>-1.75</v>
      </c>
      <c r="D22">
        <f t="shared" si="0"/>
        <v>3.0625</v>
      </c>
    </row>
    <row r="23" spans="1:11">
      <c r="A23" s="3">
        <v>34</v>
      </c>
      <c r="B23" s="3">
        <v>2</v>
      </c>
      <c r="C23">
        <f t="shared" si="5"/>
        <v>5.25</v>
      </c>
      <c r="D23">
        <f t="shared" si="0"/>
        <v>27.5625</v>
      </c>
      <c r="F23" t="s">
        <v>101</v>
      </c>
      <c r="G23" t="s">
        <v>192</v>
      </c>
      <c r="K23">
        <f>FDIST(K16,K7-1,K8-K7)</f>
        <v>0.67884332203996012</v>
      </c>
    </row>
    <row r="24" spans="1:11">
      <c r="A24" s="3">
        <v>35</v>
      </c>
      <c r="B24" s="3">
        <v>2</v>
      </c>
      <c r="C24">
        <f t="shared" si="5"/>
        <v>6.25</v>
      </c>
      <c r="D24">
        <f t="shared" si="0"/>
        <v>39.0625</v>
      </c>
      <c r="F24" t="s">
        <v>193</v>
      </c>
    </row>
    <row r="25" spans="1:11">
      <c r="A25" s="3">
        <v>25</v>
      </c>
      <c r="B25" s="3">
        <v>3</v>
      </c>
      <c r="C25">
        <f>A25-$I$9</f>
        <v>-5.7058823529411775</v>
      </c>
      <c r="D25">
        <f t="shared" si="0"/>
        <v>32.557093425605551</v>
      </c>
      <c r="F25" t="s">
        <v>191</v>
      </c>
    </row>
    <row r="26" spans="1:11">
      <c r="A26" s="3">
        <v>26</v>
      </c>
      <c r="B26" s="3">
        <v>3</v>
      </c>
      <c r="C26">
        <f t="shared" ref="C26:C41" si="6">A26-$I$9</f>
        <v>-4.7058823529411775</v>
      </c>
      <c r="D26">
        <f t="shared" si="0"/>
        <v>22.145328719723192</v>
      </c>
    </row>
    <row r="27" spans="1:11">
      <c r="A27" s="3">
        <v>29</v>
      </c>
      <c r="B27" s="3">
        <v>3</v>
      </c>
      <c r="C27">
        <f t="shared" si="6"/>
        <v>-1.7058823529411775</v>
      </c>
      <c r="D27">
        <f t="shared" si="0"/>
        <v>2.9100346020761281</v>
      </c>
    </row>
    <row r="28" spans="1:11">
      <c r="A28" s="3">
        <v>40</v>
      </c>
      <c r="B28" s="3">
        <v>3</v>
      </c>
      <c r="C28">
        <f t="shared" si="6"/>
        <v>9.2941176470588225</v>
      </c>
      <c r="D28">
        <f t="shared" si="0"/>
        <v>86.380622837370225</v>
      </c>
    </row>
    <row r="29" spans="1:11">
      <c r="A29" s="3">
        <v>45</v>
      </c>
      <c r="B29" s="3">
        <v>3</v>
      </c>
      <c r="C29">
        <f t="shared" si="6"/>
        <v>14.294117647058822</v>
      </c>
      <c r="D29">
        <f t="shared" si="0"/>
        <v>204.32179930795846</v>
      </c>
    </row>
    <row r="30" spans="1:11">
      <c r="A30" s="3">
        <v>27</v>
      </c>
      <c r="B30" s="3">
        <v>3</v>
      </c>
      <c r="C30">
        <f t="shared" si="6"/>
        <v>-3.7058823529411775</v>
      </c>
      <c r="D30">
        <f t="shared" si="0"/>
        <v>13.733564013840839</v>
      </c>
    </row>
    <row r="31" spans="1:11">
      <c r="A31" s="3">
        <v>44</v>
      </c>
      <c r="B31" s="3">
        <v>3</v>
      </c>
      <c r="C31">
        <f t="shared" si="6"/>
        <v>13.294117647058822</v>
      </c>
      <c r="D31">
        <f t="shared" si="0"/>
        <v>176.73356401384081</v>
      </c>
    </row>
    <row r="32" spans="1:11">
      <c r="A32" s="3">
        <v>38</v>
      </c>
      <c r="B32" s="3">
        <v>3</v>
      </c>
      <c r="C32">
        <f t="shared" si="6"/>
        <v>7.2941176470588225</v>
      </c>
      <c r="D32">
        <f t="shared" si="0"/>
        <v>53.204152249134935</v>
      </c>
    </row>
    <row r="33" spans="1:4">
      <c r="A33" s="3">
        <v>30</v>
      </c>
      <c r="B33" s="3">
        <v>3</v>
      </c>
      <c r="C33">
        <f t="shared" si="6"/>
        <v>-0.70588235294117752</v>
      </c>
      <c r="D33">
        <f t="shared" si="0"/>
        <v>0.4982698961937731</v>
      </c>
    </row>
    <row r="34" spans="1:4">
      <c r="A34" s="3">
        <v>31</v>
      </c>
      <c r="B34" s="3">
        <v>3</v>
      </c>
      <c r="C34">
        <f t="shared" si="6"/>
        <v>0.29411764705882248</v>
      </c>
      <c r="D34">
        <f t="shared" si="0"/>
        <v>8.6505190311418068E-2</v>
      </c>
    </row>
    <row r="35" spans="1:4">
      <c r="A35" s="3">
        <v>25</v>
      </c>
      <c r="B35" s="3">
        <v>3</v>
      </c>
      <c r="C35">
        <f t="shared" si="6"/>
        <v>-5.7058823529411775</v>
      </c>
      <c r="D35">
        <f t="shared" si="0"/>
        <v>32.557093425605551</v>
      </c>
    </row>
    <row r="36" spans="1:4">
      <c r="A36" s="3">
        <v>26</v>
      </c>
      <c r="B36" s="3">
        <v>3</v>
      </c>
      <c r="C36">
        <f t="shared" si="6"/>
        <v>-4.7058823529411775</v>
      </c>
      <c r="D36">
        <f t="shared" si="0"/>
        <v>22.145328719723192</v>
      </c>
    </row>
    <row r="37" spans="1:4">
      <c r="A37" s="3">
        <v>29</v>
      </c>
      <c r="B37" s="3">
        <v>3</v>
      </c>
      <c r="C37">
        <f t="shared" si="6"/>
        <v>-1.7058823529411775</v>
      </c>
      <c r="D37">
        <f t="shared" si="0"/>
        <v>2.9100346020761281</v>
      </c>
    </row>
    <row r="38" spans="1:4">
      <c r="A38" s="3">
        <v>32</v>
      </c>
      <c r="B38" s="3">
        <v>3</v>
      </c>
      <c r="C38">
        <f t="shared" si="6"/>
        <v>1.2941176470588225</v>
      </c>
      <c r="D38">
        <f t="shared" si="0"/>
        <v>1.674740484429063</v>
      </c>
    </row>
    <row r="39" spans="1:4">
      <c r="A39" s="3">
        <v>24</v>
      </c>
      <c r="B39" s="3">
        <v>3</v>
      </c>
      <c r="C39">
        <f t="shared" si="6"/>
        <v>-6.7058823529411775</v>
      </c>
      <c r="D39">
        <f t="shared" si="0"/>
        <v>44.968858131487906</v>
      </c>
    </row>
    <row r="40" spans="1:4">
      <c r="A40" s="3">
        <v>23</v>
      </c>
      <c r="B40" s="3">
        <v>3</v>
      </c>
      <c r="C40">
        <f t="shared" si="6"/>
        <v>-7.7058823529411775</v>
      </c>
      <c r="D40">
        <f t="shared" si="0"/>
        <v>59.380622837370261</v>
      </c>
    </row>
    <row r="41" spans="1:4">
      <c r="A41" s="3">
        <v>28</v>
      </c>
      <c r="B41" s="3">
        <v>3</v>
      </c>
      <c r="C41">
        <f t="shared" si="6"/>
        <v>-2.7058823529411775</v>
      </c>
      <c r="D41">
        <f t="shared" si="0"/>
        <v>7.3217993079584831</v>
      </c>
    </row>
    <row r="42" spans="1:4">
      <c r="A42" s="3">
        <v>25</v>
      </c>
      <c r="B42" s="3">
        <v>4</v>
      </c>
      <c r="C42">
        <f>A42-$J$9</f>
        <v>-2.3999999999999986</v>
      </c>
      <c r="D42">
        <f t="shared" si="0"/>
        <v>5.7599999999999936</v>
      </c>
    </row>
    <row r="43" spans="1:4">
      <c r="A43" s="3">
        <v>25</v>
      </c>
      <c r="B43" s="3">
        <v>4</v>
      </c>
      <c r="C43">
        <f t="shared" ref="C43:C46" si="7">A43-$J$9</f>
        <v>-2.3999999999999986</v>
      </c>
      <c r="D43">
        <f t="shared" si="0"/>
        <v>5.7599999999999936</v>
      </c>
    </row>
    <row r="44" spans="1:4">
      <c r="A44" s="3">
        <v>29</v>
      </c>
      <c r="B44" s="3">
        <v>4</v>
      </c>
      <c r="C44">
        <f t="shared" si="7"/>
        <v>1.6000000000000014</v>
      </c>
      <c r="D44">
        <f t="shared" si="0"/>
        <v>2.5600000000000045</v>
      </c>
    </row>
    <row r="45" spans="1:4">
      <c r="A45" s="3">
        <v>28</v>
      </c>
      <c r="B45" s="3">
        <v>4</v>
      </c>
      <c r="C45">
        <f t="shared" si="7"/>
        <v>0.60000000000000142</v>
      </c>
      <c r="D45">
        <f t="shared" si="0"/>
        <v>0.36000000000000171</v>
      </c>
    </row>
    <row r="46" spans="1:4">
      <c r="A46" s="3">
        <v>30</v>
      </c>
      <c r="B46" s="3">
        <v>4</v>
      </c>
      <c r="C46">
        <f t="shared" si="7"/>
        <v>2.6000000000000014</v>
      </c>
      <c r="D46">
        <f t="shared" si="0"/>
        <v>6.7600000000000078</v>
      </c>
    </row>
  </sheetData>
  <sortState ref="A2:D46">
    <sortCondition ref="B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46"/>
  <sheetViews>
    <sheetView topLeftCell="C1" zoomScale="196" zoomScaleNormal="196" workbookViewId="0">
      <selection activeCell="F19" sqref="F19"/>
    </sheetView>
  </sheetViews>
  <sheetFormatPr defaultRowHeight="14.4"/>
  <cols>
    <col min="1" max="1" width="8.109375" customWidth="1"/>
    <col min="2" max="2" width="8.33203125" customWidth="1"/>
    <col min="6" max="6" width="12.44140625" customWidth="1"/>
    <col min="9" max="9" width="9" bestFit="1" customWidth="1"/>
    <col min="10" max="10" width="14.6640625" bestFit="1" customWidth="1"/>
  </cols>
  <sheetData>
    <row r="1" spans="1:10">
      <c r="A1" s="8" t="s">
        <v>195</v>
      </c>
      <c r="B1" s="8" t="s">
        <v>196</v>
      </c>
      <c r="C1" t="s">
        <v>205</v>
      </c>
      <c r="D1" t="s">
        <v>206</v>
      </c>
      <c r="F1" t="s">
        <v>194</v>
      </c>
    </row>
    <row r="2" spans="1:10">
      <c r="A2" s="2">
        <v>1</v>
      </c>
      <c r="B2" s="2">
        <v>5</v>
      </c>
      <c r="C2">
        <f>$G$4*A2+$G$5</f>
        <v>8.5982039260586802</v>
      </c>
      <c r="D2" s="2">
        <f>C2-B2</f>
        <v>3.5982039260586802</v>
      </c>
      <c r="G2" t="s">
        <v>197</v>
      </c>
      <c r="I2" t="s">
        <v>198</v>
      </c>
      <c r="J2" t="s">
        <v>199</v>
      </c>
    </row>
    <row r="3" spans="1:10">
      <c r="A3" s="2">
        <v>10</v>
      </c>
      <c r="B3" s="2">
        <v>20</v>
      </c>
      <c r="C3">
        <f t="shared" ref="C3:C45" si="0">$G$4*A3+$G$5</f>
        <v>24.730156451856566</v>
      </c>
      <c r="D3" s="2">
        <f t="shared" ref="D3:D46" si="1">C3-B3</f>
        <v>4.7301564518565655</v>
      </c>
    </row>
    <row r="4" spans="1:10">
      <c r="A4" s="2">
        <v>5</v>
      </c>
      <c r="B4" s="2">
        <v>20</v>
      </c>
      <c r="C4">
        <f t="shared" si="0"/>
        <v>15.767960604191073</v>
      </c>
      <c r="D4" s="2">
        <f t="shared" si="1"/>
        <v>-4.2320393958089273</v>
      </c>
      <c r="F4" t="s">
        <v>200</v>
      </c>
      <c r="G4">
        <f>SLOPE(B:B,A:A)</f>
        <v>1.7924391695330981</v>
      </c>
      <c r="I4">
        <f>SLOPE(B:B,A:A)</f>
        <v>1.7924391695330981</v>
      </c>
    </row>
    <row r="5" spans="1:10">
      <c r="A5" s="2">
        <v>0.05</v>
      </c>
      <c r="B5" s="2">
        <v>5</v>
      </c>
      <c r="C5">
        <f t="shared" si="0"/>
        <v>6.8953867150022363</v>
      </c>
      <c r="D5" s="2">
        <f t="shared" si="1"/>
        <v>1.8953867150022363</v>
      </c>
      <c r="F5" t="s">
        <v>201</v>
      </c>
      <c r="G5">
        <f>INTERCEPT(B:B,A:A)</f>
        <v>6.8057647565255817</v>
      </c>
    </row>
    <row r="6" spans="1:10">
      <c r="A6" s="2">
        <v>3</v>
      </c>
      <c r="B6" s="2">
        <v>10</v>
      </c>
      <c r="C6">
        <f t="shared" si="0"/>
        <v>12.183082265124876</v>
      </c>
      <c r="D6" s="2">
        <f t="shared" si="1"/>
        <v>2.1830822651248756</v>
      </c>
    </row>
    <row r="7" spans="1:10">
      <c r="A7" s="2">
        <v>2</v>
      </c>
      <c r="B7" s="2">
        <v>5</v>
      </c>
      <c r="C7">
        <f t="shared" si="0"/>
        <v>10.390643095591777</v>
      </c>
      <c r="D7" s="2">
        <f t="shared" si="1"/>
        <v>5.390643095591777</v>
      </c>
      <c r="F7" t="s">
        <v>202</v>
      </c>
    </row>
    <row r="8" spans="1:10">
      <c r="A8" s="2">
        <v>6</v>
      </c>
      <c r="B8" s="2">
        <v>10</v>
      </c>
      <c r="C8">
        <f t="shared" si="0"/>
        <v>17.560399773724171</v>
      </c>
      <c r="D8" s="2">
        <f t="shared" si="1"/>
        <v>7.5603997737241713</v>
      </c>
      <c r="G8" s="8" t="s">
        <v>203</v>
      </c>
      <c r="H8" s="8"/>
      <c r="I8" s="8"/>
      <c r="J8" s="8"/>
    </row>
    <row r="9" spans="1:10">
      <c r="A9" s="2">
        <v>1</v>
      </c>
      <c r="B9" s="2">
        <v>5</v>
      </c>
      <c r="C9">
        <f t="shared" si="0"/>
        <v>8.5982039260586802</v>
      </c>
      <c r="D9" s="2">
        <f t="shared" si="1"/>
        <v>3.5982039260586802</v>
      </c>
      <c r="F9" t="s">
        <v>204</v>
      </c>
    </row>
    <row r="10" spans="1:10">
      <c r="A10" s="2">
        <v>1</v>
      </c>
      <c r="B10" s="2">
        <v>5</v>
      </c>
      <c r="C10">
        <f t="shared" si="0"/>
        <v>8.5982039260586802</v>
      </c>
      <c r="D10" s="2">
        <f t="shared" si="1"/>
        <v>3.5982039260586802</v>
      </c>
    </row>
    <row r="11" spans="1:10">
      <c r="A11" s="2">
        <v>0.2</v>
      </c>
      <c r="B11" s="2">
        <v>3</v>
      </c>
      <c r="C11">
        <f t="shared" si="0"/>
        <v>7.1642525904322012</v>
      </c>
      <c r="D11" s="2">
        <f t="shared" si="1"/>
        <v>4.1642525904322012</v>
      </c>
      <c r="F11" t="s">
        <v>207</v>
      </c>
      <c r="J11">
        <f>CORREL(B:B,C:C)</f>
        <v>0.80422321682839282</v>
      </c>
    </row>
    <row r="12" spans="1:10">
      <c r="A12" s="2">
        <v>25</v>
      </c>
      <c r="B12" s="2">
        <v>45</v>
      </c>
      <c r="C12">
        <f t="shared" si="0"/>
        <v>51.616743994853039</v>
      </c>
      <c r="D12" s="2">
        <f t="shared" si="1"/>
        <v>6.6167439948530387</v>
      </c>
      <c r="F12" t="s">
        <v>208</v>
      </c>
      <c r="J12">
        <f>J11^2</f>
        <v>0.64677498248580811</v>
      </c>
    </row>
    <row r="13" spans="1:10">
      <c r="A13" s="2">
        <v>0.5</v>
      </c>
      <c r="B13" s="2">
        <v>15</v>
      </c>
      <c r="C13">
        <f t="shared" si="0"/>
        <v>7.7019843412921309</v>
      </c>
      <c r="D13" s="2">
        <f t="shared" si="1"/>
        <v>-7.2980156587078691</v>
      </c>
      <c r="F13" t="s">
        <v>260</v>
      </c>
    </row>
    <row r="14" spans="1:10">
      <c r="A14" s="2">
        <v>0.1</v>
      </c>
      <c r="B14" s="2">
        <v>10</v>
      </c>
      <c r="C14">
        <f t="shared" si="0"/>
        <v>6.9850086734788919</v>
      </c>
      <c r="D14" s="2">
        <f t="shared" si="1"/>
        <v>-3.0149913265211081</v>
      </c>
      <c r="F14" t="s">
        <v>261</v>
      </c>
    </row>
    <row r="15" spans="1:10">
      <c r="A15" s="2">
        <v>2.5</v>
      </c>
      <c r="B15" s="2">
        <v>10</v>
      </c>
      <c r="C15">
        <f t="shared" si="0"/>
        <v>11.286862680358327</v>
      </c>
      <c r="D15" s="2">
        <f t="shared" si="1"/>
        <v>1.2868626803583272</v>
      </c>
    </row>
    <row r="16" spans="1:10">
      <c r="A16" s="2">
        <v>2</v>
      </c>
      <c r="B16" s="2">
        <v>17</v>
      </c>
      <c r="C16">
        <f t="shared" si="0"/>
        <v>10.390643095591777</v>
      </c>
      <c r="D16" s="2">
        <f t="shared" si="1"/>
        <v>-6.609356904408223</v>
      </c>
      <c r="F16" t="s">
        <v>242</v>
      </c>
    </row>
    <row r="17" spans="1:11">
      <c r="A17" s="2">
        <v>10</v>
      </c>
      <c r="B17" s="2">
        <v>20</v>
      </c>
      <c r="C17">
        <f t="shared" si="0"/>
        <v>24.730156451856566</v>
      </c>
      <c r="D17" s="2">
        <f t="shared" si="1"/>
        <v>4.7301564518565655</v>
      </c>
      <c r="F17" t="s">
        <v>262</v>
      </c>
    </row>
    <row r="18" spans="1:11">
      <c r="A18" s="2">
        <v>1.5</v>
      </c>
      <c r="B18" s="2">
        <v>3</v>
      </c>
      <c r="C18">
        <f t="shared" si="0"/>
        <v>9.4944235108252286</v>
      </c>
      <c r="D18" s="2">
        <f t="shared" si="1"/>
        <v>6.4944235108252286</v>
      </c>
      <c r="F18" s="8" t="s">
        <v>263</v>
      </c>
      <c r="G18" s="8"/>
      <c r="H18" s="8"/>
      <c r="I18" s="8"/>
    </row>
    <row r="19" spans="1:11">
      <c r="A19" s="2">
        <v>10</v>
      </c>
      <c r="B19" s="2">
        <v>20</v>
      </c>
      <c r="C19">
        <f t="shared" si="0"/>
        <v>24.730156451856566</v>
      </c>
      <c r="D19" s="2">
        <f t="shared" si="1"/>
        <v>4.7301564518565655</v>
      </c>
    </row>
    <row r="20" spans="1:11">
      <c r="A20" s="2">
        <v>7</v>
      </c>
      <c r="B20" s="2">
        <v>15</v>
      </c>
      <c r="C20">
        <f t="shared" si="0"/>
        <v>19.352838943257268</v>
      </c>
      <c r="D20" s="2">
        <f t="shared" si="1"/>
        <v>4.3528389432572681</v>
      </c>
      <c r="F20" t="s">
        <v>56</v>
      </c>
      <c r="I20">
        <f>COUNT(A:A)</f>
        <v>45</v>
      </c>
      <c r="J20">
        <f>COUNT(B:B)</f>
        <v>45</v>
      </c>
      <c r="K20">
        <f>COUNT(C:C)</f>
        <v>45</v>
      </c>
    </row>
    <row r="21" spans="1:11">
      <c r="A21" s="2">
        <v>4</v>
      </c>
      <c r="B21" s="2">
        <v>15</v>
      </c>
      <c r="C21">
        <f t="shared" si="0"/>
        <v>13.975521434657974</v>
      </c>
      <c r="D21" s="2">
        <f t="shared" si="1"/>
        <v>-1.0244785653420259</v>
      </c>
      <c r="F21" t="s">
        <v>245</v>
      </c>
      <c r="J21">
        <f>J12/((1-J12)/(J20-2))</f>
        <v>78.735431716051494</v>
      </c>
    </row>
    <row r="22" spans="1:11">
      <c r="A22" s="2">
        <v>13</v>
      </c>
      <c r="B22" s="2">
        <v>25</v>
      </c>
      <c r="C22">
        <f t="shared" si="0"/>
        <v>30.107473960455856</v>
      </c>
      <c r="D22" s="2">
        <f t="shared" si="1"/>
        <v>5.1074739604558559</v>
      </c>
      <c r="F22" t="s">
        <v>264</v>
      </c>
    </row>
    <row r="23" spans="1:11">
      <c r="A23" s="2">
        <v>1</v>
      </c>
      <c r="B23" s="2">
        <v>2</v>
      </c>
      <c r="C23">
        <f t="shared" si="0"/>
        <v>8.5982039260586802</v>
      </c>
      <c r="D23" s="2">
        <f t="shared" si="1"/>
        <v>6.5982039260586802</v>
      </c>
      <c r="F23" t="s">
        <v>265</v>
      </c>
      <c r="J23">
        <f>FINV(5%,1,J20-2)</f>
        <v>4.0670473224034431</v>
      </c>
    </row>
    <row r="24" spans="1:11">
      <c r="A24" s="2">
        <v>1</v>
      </c>
      <c r="B24" s="2">
        <v>5</v>
      </c>
      <c r="C24">
        <f t="shared" si="0"/>
        <v>8.5982039260586802</v>
      </c>
      <c r="D24" s="2">
        <f t="shared" si="1"/>
        <v>3.5982039260586802</v>
      </c>
      <c r="F24" t="s">
        <v>266</v>
      </c>
    </row>
    <row r="25" spans="1:11">
      <c r="A25" s="2">
        <v>1</v>
      </c>
      <c r="B25" s="2">
        <v>7</v>
      </c>
      <c r="C25">
        <f t="shared" si="0"/>
        <v>8.5982039260586802</v>
      </c>
      <c r="D25" s="2">
        <f t="shared" si="1"/>
        <v>1.5982039260586802</v>
      </c>
      <c r="F25" t="s">
        <v>267</v>
      </c>
    </row>
    <row r="26" spans="1:11">
      <c r="A26" s="2">
        <v>7.5</v>
      </c>
      <c r="B26" s="2">
        <v>30</v>
      </c>
      <c r="C26">
        <f t="shared" si="0"/>
        <v>20.249058528023816</v>
      </c>
      <c r="D26" s="2">
        <f t="shared" si="1"/>
        <v>-9.7509414719761835</v>
      </c>
      <c r="F26" t="s">
        <v>268</v>
      </c>
    </row>
    <row r="27" spans="1:11">
      <c r="A27" s="2">
        <v>7</v>
      </c>
      <c r="B27" s="2">
        <v>40</v>
      </c>
      <c r="C27">
        <f t="shared" si="0"/>
        <v>19.352838943257268</v>
      </c>
      <c r="D27" s="2">
        <f t="shared" si="1"/>
        <v>-20.647161056742732</v>
      </c>
      <c r="F27" t="s">
        <v>269</v>
      </c>
    </row>
    <row r="28" spans="1:11">
      <c r="A28" s="2">
        <v>7</v>
      </c>
      <c r="B28" s="2">
        <v>20</v>
      </c>
      <c r="C28">
        <f t="shared" si="0"/>
        <v>19.352838943257268</v>
      </c>
      <c r="D28" s="2">
        <f t="shared" si="1"/>
        <v>-0.64716105674273194</v>
      </c>
    </row>
    <row r="29" spans="1:11">
      <c r="A29" s="2">
        <v>3</v>
      </c>
      <c r="B29" s="2">
        <v>10</v>
      </c>
      <c r="C29">
        <f t="shared" si="0"/>
        <v>12.183082265124876</v>
      </c>
      <c r="D29" s="2">
        <f t="shared" si="1"/>
        <v>2.1830822651248756</v>
      </c>
      <c r="F29" t="s">
        <v>270</v>
      </c>
      <c r="J29">
        <v>0</v>
      </c>
    </row>
    <row r="30" spans="1:11">
      <c r="A30" s="2">
        <v>8</v>
      </c>
      <c r="B30" s="2">
        <v>30</v>
      </c>
      <c r="C30">
        <f t="shared" si="0"/>
        <v>21.145278112790365</v>
      </c>
      <c r="D30" s="2">
        <f t="shared" si="1"/>
        <v>-8.8547218872096352</v>
      </c>
      <c r="F30" t="s">
        <v>271</v>
      </c>
      <c r="J30" s="15">
        <f>FDIST(J21,1,J20-2)</f>
        <v>2.8528840026614429E-11</v>
      </c>
    </row>
    <row r="31" spans="1:11">
      <c r="A31" s="2">
        <v>4</v>
      </c>
      <c r="B31" s="2">
        <v>20</v>
      </c>
      <c r="C31">
        <f t="shared" si="0"/>
        <v>13.975521434657974</v>
      </c>
      <c r="D31" s="2">
        <f t="shared" si="1"/>
        <v>-6.0244785653420259</v>
      </c>
      <c r="F31" t="s">
        <v>65</v>
      </c>
    </row>
    <row r="32" spans="1:11">
      <c r="A32" s="2">
        <v>8</v>
      </c>
      <c r="B32" s="2">
        <v>20</v>
      </c>
      <c r="C32">
        <f t="shared" si="0"/>
        <v>21.145278112790365</v>
      </c>
      <c r="D32" s="2">
        <f t="shared" si="1"/>
        <v>1.1452781127903648</v>
      </c>
      <c r="F32" t="s">
        <v>272</v>
      </c>
    </row>
    <row r="33" spans="1:6">
      <c r="A33" s="2">
        <v>2.5</v>
      </c>
      <c r="B33" s="2">
        <v>10</v>
      </c>
      <c r="C33">
        <f t="shared" si="0"/>
        <v>11.286862680358327</v>
      </c>
      <c r="D33" s="2">
        <f t="shared" si="1"/>
        <v>1.2868626803583272</v>
      </c>
      <c r="F33" t="s">
        <v>269</v>
      </c>
    </row>
    <row r="34" spans="1:6">
      <c r="A34" s="2">
        <v>10</v>
      </c>
      <c r="B34" s="2">
        <v>20</v>
      </c>
      <c r="C34">
        <f t="shared" si="0"/>
        <v>24.730156451856566</v>
      </c>
      <c r="D34" s="2">
        <f t="shared" si="1"/>
        <v>4.7301564518565655</v>
      </c>
    </row>
    <row r="35" spans="1:6">
      <c r="A35" s="2">
        <v>8</v>
      </c>
      <c r="B35" s="2">
        <v>30</v>
      </c>
      <c r="C35">
        <f t="shared" si="0"/>
        <v>21.145278112790365</v>
      </c>
      <c r="D35" s="2">
        <f t="shared" si="1"/>
        <v>-8.8547218872096352</v>
      </c>
    </row>
    <row r="36" spans="1:6">
      <c r="A36" s="2">
        <v>0.7</v>
      </c>
      <c r="B36" s="2">
        <v>10</v>
      </c>
      <c r="C36">
        <f t="shared" si="0"/>
        <v>8.0604721751987505</v>
      </c>
      <c r="D36" s="2">
        <f t="shared" si="1"/>
        <v>-1.9395278248012495</v>
      </c>
    </row>
    <row r="37" spans="1:6">
      <c r="A37" s="2">
        <v>6</v>
      </c>
      <c r="B37" s="2">
        <v>20</v>
      </c>
      <c r="C37">
        <f t="shared" si="0"/>
        <v>17.560399773724171</v>
      </c>
      <c r="D37" s="2">
        <f t="shared" si="1"/>
        <v>-2.4396002262758287</v>
      </c>
    </row>
    <row r="38" spans="1:6">
      <c r="A38" s="2">
        <v>7.0000000000000007E-2</v>
      </c>
      <c r="B38" s="2">
        <v>3</v>
      </c>
      <c r="C38">
        <f t="shared" si="0"/>
        <v>6.9312354983928985</v>
      </c>
      <c r="D38" s="2">
        <f t="shared" si="1"/>
        <v>3.9312354983928985</v>
      </c>
    </row>
    <row r="39" spans="1:6">
      <c r="A39" s="2">
        <v>3</v>
      </c>
      <c r="B39" s="2">
        <v>10</v>
      </c>
      <c r="C39">
        <f t="shared" si="0"/>
        <v>12.183082265124876</v>
      </c>
      <c r="D39" s="2">
        <f t="shared" si="1"/>
        <v>2.1830822651248756</v>
      </c>
    </row>
    <row r="40" spans="1:6">
      <c r="A40" s="2">
        <v>1</v>
      </c>
      <c r="B40" s="2">
        <v>10</v>
      </c>
      <c r="C40">
        <f t="shared" si="0"/>
        <v>8.5982039260586802</v>
      </c>
      <c r="D40" s="2">
        <f t="shared" si="1"/>
        <v>-1.4017960739413198</v>
      </c>
    </row>
    <row r="41" spans="1:6">
      <c r="A41" s="2">
        <v>0.6</v>
      </c>
      <c r="B41" s="2">
        <v>5</v>
      </c>
      <c r="C41">
        <f t="shared" si="0"/>
        <v>7.8812282582454403</v>
      </c>
      <c r="D41" s="2">
        <f t="shared" si="1"/>
        <v>2.8812282582454403</v>
      </c>
    </row>
    <row r="42" spans="1:6">
      <c r="A42" s="2">
        <v>4</v>
      </c>
      <c r="B42" s="2">
        <v>10</v>
      </c>
      <c r="C42">
        <f t="shared" si="0"/>
        <v>13.975521434657974</v>
      </c>
      <c r="D42" s="2">
        <f t="shared" si="1"/>
        <v>3.9755214346579741</v>
      </c>
    </row>
    <row r="43" spans="1:6">
      <c r="A43" s="2">
        <v>6.5</v>
      </c>
      <c r="B43" s="2">
        <v>35</v>
      </c>
      <c r="C43">
        <f t="shared" si="0"/>
        <v>18.45661935849072</v>
      </c>
      <c r="D43" s="2">
        <f t="shared" si="1"/>
        <v>-16.54338064150928</v>
      </c>
    </row>
    <row r="44" spans="1:6">
      <c r="A44" s="2">
        <v>5</v>
      </c>
      <c r="B44" s="2">
        <v>20</v>
      </c>
      <c r="C44">
        <f t="shared" si="0"/>
        <v>15.767960604191073</v>
      </c>
      <c r="D44" s="2">
        <f t="shared" si="1"/>
        <v>-4.2320393958089273</v>
      </c>
    </row>
    <row r="45" spans="1:6">
      <c r="A45" s="2">
        <v>1</v>
      </c>
      <c r="B45" s="2">
        <v>5</v>
      </c>
      <c r="C45">
        <f t="shared" si="0"/>
        <v>8.5982039260586802</v>
      </c>
      <c r="D45" s="2">
        <f t="shared" si="1"/>
        <v>3.5982039260586802</v>
      </c>
    </row>
    <row r="46" spans="1:6">
      <c r="A46" s="2">
        <v>5</v>
      </c>
      <c r="B46" s="2">
        <v>20</v>
      </c>
      <c r="C46">
        <f>$G$4*A46+$G$5</f>
        <v>15.767960604191073</v>
      </c>
      <c r="D46" s="2">
        <f t="shared" si="1"/>
        <v>-4.2320393958089273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4"/>
  <sheetViews>
    <sheetView tabSelected="1" zoomScale="160" zoomScaleNormal="160" workbookViewId="0">
      <selection activeCell="G26" sqref="G26"/>
    </sheetView>
  </sheetViews>
  <sheetFormatPr defaultRowHeight="14.4"/>
  <cols>
    <col min="1" max="1" width="11.33203125" customWidth="1"/>
    <col min="2" max="2" width="11.109375" customWidth="1"/>
    <col min="7" max="7" width="14" customWidth="1"/>
    <col min="11" max="11" width="12.109375" bestFit="1" customWidth="1"/>
  </cols>
  <sheetData>
    <row r="1" spans="1:12">
      <c r="A1" s="8" t="s">
        <v>24</v>
      </c>
      <c r="B1" s="8" t="s">
        <v>25</v>
      </c>
      <c r="C1" t="s">
        <v>205</v>
      </c>
      <c r="D1" t="s">
        <v>233</v>
      </c>
      <c r="E1" t="s">
        <v>234</v>
      </c>
      <c r="G1" t="s">
        <v>229</v>
      </c>
    </row>
    <row r="2" spans="1:12">
      <c r="A2" s="3">
        <v>166</v>
      </c>
      <c r="B2" s="1">
        <v>62</v>
      </c>
      <c r="C2">
        <f t="shared" ref="C2:C46" si="0">$K$4*A2+$K$5</f>
        <v>58.82263226068622</v>
      </c>
      <c r="D2" s="1">
        <f>C2-B2</f>
        <v>-3.1773677393137802</v>
      </c>
      <c r="E2" s="1">
        <f>D2^2</f>
        <v>10.095665750831962</v>
      </c>
      <c r="F2" s="1"/>
      <c r="G2" t="s">
        <v>227</v>
      </c>
    </row>
    <row r="3" spans="1:12">
      <c r="A3" s="3">
        <v>168</v>
      </c>
      <c r="B3" s="1">
        <v>57</v>
      </c>
      <c r="C3">
        <f t="shared" si="0"/>
        <v>60.376234983364213</v>
      </c>
      <c r="D3" s="1">
        <f t="shared" ref="D3:D46" si="1">C3-B3</f>
        <v>3.3762349833642133</v>
      </c>
      <c r="E3" s="1">
        <f t="shared" ref="E3:E46" si="2">D3^2</f>
        <v>11.39896266289235</v>
      </c>
      <c r="F3" s="1"/>
    </row>
    <row r="4" spans="1:12">
      <c r="A4" s="3">
        <v>172</v>
      </c>
      <c r="B4" s="1">
        <v>55</v>
      </c>
      <c r="C4">
        <f t="shared" si="0"/>
        <v>63.483440428720172</v>
      </c>
      <c r="D4" s="1">
        <f t="shared" si="1"/>
        <v>8.4834404287201721</v>
      </c>
      <c r="E4" s="1">
        <f t="shared" si="2"/>
        <v>71.968761507643904</v>
      </c>
      <c r="F4" s="1"/>
      <c r="G4" t="s">
        <v>200</v>
      </c>
      <c r="J4" s="12" t="s">
        <v>236</v>
      </c>
      <c r="K4">
        <f>SLOPE(B:B,A:A)</f>
        <v>0.77680136133898847</v>
      </c>
    </row>
    <row r="5" spans="1:12">
      <c r="A5" s="3">
        <v>160</v>
      </c>
      <c r="B5" s="1">
        <v>60</v>
      </c>
      <c r="C5">
        <f t="shared" si="0"/>
        <v>54.161824092652296</v>
      </c>
      <c r="D5" s="1">
        <f t="shared" si="1"/>
        <v>-5.8381759073477042</v>
      </c>
      <c r="E5" s="1">
        <f t="shared" si="2"/>
        <v>34.084297925135189</v>
      </c>
      <c r="F5" s="1"/>
      <c r="G5" t="s">
        <v>201</v>
      </c>
      <c r="J5" s="12" t="s">
        <v>237</v>
      </c>
      <c r="K5">
        <f>INTERCEPT(B:B,A:A)</f>
        <v>-70.126393721585856</v>
      </c>
    </row>
    <row r="6" spans="1:12">
      <c r="A6" s="3">
        <v>172</v>
      </c>
      <c r="B6" s="1">
        <v>62</v>
      </c>
      <c r="C6">
        <f t="shared" si="0"/>
        <v>63.483440428720172</v>
      </c>
      <c r="D6" s="1">
        <f t="shared" si="1"/>
        <v>1.4834404287201721</v>
      </c>
      <c r="E6" s="1">
        <f t="shared" si="2"/>
        <v>2.2005955055614881</v>
      </c>
      <c r="F6" s="1"/>
      <c r="G6" t="s">
        <v>228</v>
      </c>
    </row>
    <row r="7" spans="1:12">
      <c r="A7" s="3">
        <v>168</v>
      </c>
      <c r="B7" s="1">
        <v>56</v>
      </c>
      <c r="C7">
        <f t="shared" si="0"/>
        <v>60.376234983364213</v>
      </c>
      <c r="D7" s="1">
        <f t="shared" si="1"/>
        <v>4.3762349833642133</v>
      </c>
      <c r="E7" s="1">
        <f t="shared" si="2"/>
        <v>19.151432629620778</v>
      </c>
      <c r="F7" s="1"/>
      <c r="I7" s="8" t="s">
        <v>230</v>
      </c>
      <c r="J7" s="8"/>
      <c r="K7" s="8"/>
      <c r="L7" s="8"/>
    </row>
    <row r="8" spans="1:12">
      <c r="A8" s="3">
        <v>170</v>
      </c>
      <c r="B8" s="1">
        <v>56.5</v>
      </c>
      <c r="C8">
        <f t="shared" si="0"/>
        <v>61.929837706042179</v>
      </c>
      <c r="D8" s="1">
        <f t="shared" si="1"/>
        <v>5.4298377060421785</v>
      </c>
      <c r="E8" s="1">
        <f t="shared" si="2"/>
        <v>29.483137513957388</v>
      </c>
      <c r="F8" s="1"/>
      <c r="G8" t="s">
        <v>231</v>
      </c>
    </row>
    <row r="9" spans="1:12">
      <c r="A9" s="3">
        <v>161</v>
      </c>
      <c r="B9" s="1">
        <v>53</v>
      </c>
      <c r="C9">
        <f t="shared" si="0"/>
        <v>54.938625453991293</v>
      </c>
      <c r="D9" s="1">
        <f t="shared" si="1"/>
        <v>1.9386254539912926</v>
      </c>
      <c r="E9" s="1">
        <f t="shared" si="2"/>
        <v>3.7582686508629455</v>
      </c>
      <c r="F9" s="1"/>
      <c r="G9" t="s">
        <v>232</v>
      </c>
      <c r="J9" s="12" t="s">
        <v>238</v>
      </c>
      <c r="K9">
        <f>CORREL(B:B,C:C)</f>
        <v>0.6823331122867532</v>
      </c>
    </row>
    <row r="10" spans="1:12">
      <c r="A10" s="3">
        <v>172</v>
      </c>
      <c r="B10" s="1">
        <v>63</v>
      </c>
      <c r="C10">
        <f t="shared" si="0"/>
        <v>63.483440428720172</v>
      </c>
      <c r="D10" s="1">
        <f t="shared" si="1"/>
        <v>0.48344042872017212</v>
      </c>
      <c r="E10" s="1">
        <f t="shared" si="2"/>
        <v>0.23371464812114381</v>
      </c>
      <c r="F10" s="1"/>
      <c r="G10" t="s">
        <v>235</v>
      </c>
      <c r="J10" s="12" t="s">
        <v>239</v>
      </c>
      <c r="K10">
        <f>K9^2</f>
        <v>0.46557847612292697</v>
      </c>
    </row>
    <row r="11" spans="1:12">
      <c r="A11" s="3">
        <v>175</v>
      </c>
      <c r="B11" s="1">
        <v>60</v>
      </c>
      <c r="C11">
        <f t="shared" si="0"/>
        <v>65.81384451273712</v>
      </c>
      <c r="D11" s="1">
        <f t="shared" si="1"/>
        <v>5.8138445127371199</v>
      </c>
      <c r="E11" s="1">
        <f t="shared" si="2"/>
        <v>33.800788018283519</v>
      </c>
      <c r="F11" s="1"/>
    </row>
    <row r="12" spans="1:12">
      <c r="A12" s="3">
        <v>170</v>
      </c>
      <c r="B12" s="1">
        <v>70</v>
      </c>
      <c r="C12">
        <f t="shared" si="0"/>
        <v>61.929837706042179</v>
      </c>
      <c r="D12" s="1">
        <f t="shared" si="1"/>
        <v>-8.0701622939578215</v>
      </c>
      <c r="E12" s="1">
        <f t="shared" si="2"/>
        <v>65.127519450818568</v>
      </c>
      <c r="F12" s="1"/>
      <c r="G12" t="s">
        <v>240</v>
      </c>
    </row>
    <row r="13" spans="1:12">
      <c r="A13" s="3">
        <v>165</v>
      </c>
      <c r="B13" s="1">
        <v>55</v>
      </c>
      <c r="C13">
        <f t="shared" si="0"/>
        <v>58.045830899347237</v>
      </c>
      <c r="D13" s="1">
        <f t="shared" si="1"/>
        <v>3.0458308993472372</v>
      </c>
      <c r="E13" s="1">
        <f t="shared" si="2"/>
        <v>9.2770858674183998</v>
      </c>
      <c r="F13" s="1"/>
      <c r="G13" t="s">
        <v>241</v>
      </c>
    </row>
    <row r="14" spans="1:12">
      <c r="A14" s="3">
        <v>170</v>
      </c>
      <c r="B14" s="1">
        <v>61</v>
      </c>
      <c r="C14">
        <f t="shared" si="0"/>
        <v>61.929837706042179</v>
      </c>
      <c r="D14" s="1">
        <f t="shared" si="1"/>
        <v>0.92983770604217852</v>
      </c>
      <c r="E14" s="1">
        <f t="shared" si="2"/>
        <v>0.86459815957778086</v>
      </c>
      <c r="F14" s="1"/>
    </row>
    <row r="15" spans="1:12">
      <c r="A15" s="3">
        <v>168</v>
      </c>
      <c r="B15" s="1">
        <v>70</v>
      </c>
      <c r="C15">
        <f t="shared" si="0"/>
        <v>60.376234983364213</v>
      </c>
      <c r="D15" s="1">
        <f t="shared" si="1"/>
        <v>-9.6237650166357867</v>
      </c>
      <c r="E15" s="1">
        <f t="shared" si="2"/>
        <v>92.616853095422798</v>
      </c>
      <c r="F15" s="1"/>
      <c r="G15" t="s">
        <v>242</v>
      </c>
    </row>
    <row r="16" spans="1:12">
      <c r="A16" s="3">
        <v>170</v>
      </c>
      <c r="B16" s="1">
        <v>53</v>
      </c>
      <c r="C16">
        <f t="shared" si="0"/>
        <v>61.929837706042179</v>
      </c>
      <c r="D16" s="1">
        <f t="shared" si="1"/>
        <v>8.9298377060421785</v>
      </c>
      <c r="E16" s="1">
        <f t="shared" si="2"/>
        <v>79.742001456252638</v>
      </c>
      <c r="F16" s="1"/>
      <c r="G16" t="s">
        <v>243</v>
      </c>
    </row>
    <row r="17" spans="1:12">
      <c r="A17" s="3">
        <v>163</v>
      </c>
      <c r="B17" s="1">
        <v>63</v>
      </c>
      <c r="C17">
        <f t="shared" si="0"/>
        <v>56.492228176669258</v>
      </c>
      <c r="D17" s="1">
        <f t="shared" si="1"/>
        <v>-6.5077718233307422</v>
      </c>
      <c r="E17" s="1">
        <f t="shared" si="2"/>
        <v>42.35109410453753</v>
      </c>
      <c r="F17" s="1"/>
    </row>
    <row r="18" spans="1:12">
      <c r="A18" s="3">
        <v>168</v>
      </c>
      <c r="B18" s="1">
        <v>70</v>
      </c>
      <c r="C18">
        <f t="shared" si="0"/>
        <v>60.376234983364213</v>
      </c>
      <c r="D18" s="1">
        <f t="shared" si="1"/>
        <v>-9.6237650166357867</v>
      </c>
      <c r="E18" s="1">
        <f t="shared" si="2"/>
        <v>92.616853095422798</v>
      </c>
      <c r="F18" s="1"/>
      <c r="G18" t="s">
        <v>244</v>
      </c>
    </row>
    <row r="19" spans="1:12">
      <c r="A19" s="3">
        <v>170</v>
      </c>
      <c r="B19" s="1">
        <v>62</v>
      </c>
      <c r="C19">
        <f t="shared" si="0"/>
        <v>61.929837706042179</v>
      </c>
      <c r="D19" s="1">
        <f t="shared" si="1"/>
        <v>-7.0162293957821475E-2</v>
      </c>
      <c r="E19" s="1">
        <f t="shared" si="2"/>
        <v>4.9227474934237523E-3</v>
      </c>
      <c r="F19" s="1"/>
    </row>
    <row r="20" spans="1:12">
      <c r="A20" s="3">
        <v>167</v>
      </c>
      <c r="B20" s="1">
        <v>58</v>
      </c>
      <c r="C20">
        <f t="shared" si="0"/>
        <v>59.599433622025231</v>
      </c>
      <c r="D20" s="1">
        <f t="shared" si="1"/>
        <v>1.5994336220252308</v>
      </c>
      <c r="E20" s="1">
        <f t="shared" si="2"/>
        <v>2.5581879112647488</v>
      </c>
      <c r="F20" s="1"/>
      <c r="G20" t="s">
        <v>56</v>
      </c>
      <c r="J20">
        <f>COUNT(A:A)</f>
        <v>45</v>
      </c>
      <c r="K20">
        <f>COUNT(B:B)</f>
        <v>45</v>
      </c>
      <c r="L20">
        <f>COUNT(C:C)</f>
        <v>45</v>
      </c>
    </row>
    <row r="21" spans="1:12">
      <c r="A21" s="3">
        <v>161</v>
      </c>
      <c r="B21" s="1">
        <v>58</v>
      </c>
      <c r="C21">
        <f t="shared" si="0"/>
        <v>54.938625453991293</v>
      </c>
      <c r="D21" s="1">
        <f t="shared" si="1"/>
        <v>-3.0613745460087074</v>
      </c>
      <c r="E21" s="1">
        <f t="shared" si="2"/>
        <v>9.372014110950019</v>
      </c>
      <c r="F21" s="1"/>
      <c r="G21" t="s">
        <v>245</v>
      </c>
      <c r="K21">
        <f>K10/((1-K10)/(K20-2))</f>
        <v>37.460831158235315</v>
      </c>
    </row>
    <row r="22" spans="1:12">
      <c r="A22" s="3">
        <v>163</v>
      </c>
      <c r="B22" s="1">
        <v>57</v>
      </c>
      <c r="C22">
        <f t="shared" si="0"/>
        <v>56.492228176669258</v>
      </c>
      <c r="D22" s="1">
        <f t="shared" si="1"/>
        <v>-0.50777182333074222</v>
      </c>
      <c r="E22" s="1">
        <f t="shared" si="2"/>
        <v>0.25783222456862648</v>
      </c>
      <c r="F22" s="1"/>
      <c r="G22" t="s">
        <v>246</v>
      </c>
      <c r="K22">
        <f>FINV(5%,1,K20-2)</f>
        <v>4.0670473224034431</v>
      </c>
    </row>
    <row r="23" spans="1:12">
      <c r="A23" s="3">
        <v>167</v>
      </c>
      <c r="B23" s="1">
        <v>60</v>
      </c>
      <c r="C23">
        <f t="shared" si="0"/>
        <v>59.599433622025231</v>
      </c>
      <c r="D23" s="1">
        <f t="shared" si="1"/>
        <v>-0.40056637797476924</v>
      </c>
      <c r="E23" s="1">
        <f t="shared" si="2"/>
        <v>0.16045342316382569</v>
      </c>
      <c r="F23" s="1"/>
    </row>
    <row r="24" spans="1:12">
      <c r="A24" s="3">
        <v>172</v>
      </c>
      <c r="B24" s="1">
        <v>61</v>
      </c>
      <c r="C24">
        <f t="shared" si="0"/>
        <v>63.483440428720172</v>
      </c>
      <c r="D24" s="1">
        <f t="shared" si="1"/>
        <v>2.4834404287201721</v>
      </c>
      <c r="E24" s="1">
        <f t="shared" si="2"/>
        <v>6.1674763630018319</v>
      </c>
      <c r="F24" s="1"/>
      <c r="G24" t="s">
        <v>247</v>
      </c>
    </row>
    <row r="25" spans="1:12">
      <c r="A25" s="3">
        <v>166</v>
      </c>
      <c r="B25" s="1">
        <v>53</v>
      </c>
      <c r="C25">
        <f t="shared" si="0"/>
        <v>58.82263226068622</v>
      </c>
      <c r="D25" s="1">
        <f t="shared" si="1"/>
        <v>5.8226322606862198</v>
      </c>
      <c r="E25" s="1">
        <f t="shared" si="2"/>
        <v>33.903046443183918</v>
      </c>
      <c r="F25" s="1"/>
      <c r="G25" t="s">
        <v>248</v>
      </c>
    </row>
    <row r="26" spans="1:12">
      <c r="A26" s="3">
        <v>166</v>
      </c>
      <c r="B26" s="1">
        <v>54</v>
      </c>
      <c r="C26">
        <f t="shared" si="0"/>
        <v>58.82263226068622</v>
      </c>
      <c r="D26" s="1">
        <f t="shared" si="1"/>
        <v>4.8226322606862198</v>
      </c>
      <c r="E26" s="1">
        <f t="shared" si="2"/>
        <v>23.257781921811478</v>
      </c>
      <c r="F26" s="1"/>
      <c r="G26" t="s">
        <v>249</v>
      </c>
    </row>
    <row r="27" spans="1:12">
      <c r="A27" s="3">
        <v>170</v>
      </c>
      <c r="B27" s="1">
        <v>58</v>
      </c>
      <c r="C27">
        <f t="shared" si="0"/>
        <v>61.929837706042179</v>
      </c>
      <c r="D27" s="1">
        <f t="shared" si="1"/>
        <v>3.9298377060421785</v>
      </c>
      <c r="E27" s="1">
        <f t="shared" si="2"/>
        <v>15.443624395830852</v>
      </c>
      <c r="F27" s="1"/>
      <c r="G27" t="s">
        <v>250</v>
      </c>
    </row>
    <row r="28" spans="1:12">
      <c r="A28" s="3">
        <v>174</v>
      </c>
      <c r="B28" s="1">
        <v>75</v>
      </c>
      <c r="C28">
        <f t="shared" si="0"/>
        <v>65.037043151398137</v>
      </c>
      <c r="D28" s="1">
        <f t="shared" si="1"/>
        <v>-9.9629568486018627</v>
      </c>
      <c r="E28" s="1">
        <f t="shared" si="2"/>
        <v>99.260509167102754</v>
      </c>
      <c r="F28" s="1"/>
    </row>
    <row r="29" spans="1:12">
      <c r="A29" s="3">
        <v>167</v>
      </c>
      <c r="B29" s="1">
        <v>62</v>
      </c>
      <c r="C29">
        <f t="shared" si="0"/>
        <v>59.599433622025231</v>
      </c>
      <c r="D29" s="1">
        <f t="shared" si="1"/>
        <v>-2.4005663779747692</v>
      </c>
      <c r="E29" s="1">
        <f t="shared" si="2"/>
        <v>5.7627189350629022</v>
      </c>
      <c r="F29" s="1"/>
      <c r="G29" t="s">
        <v>251</v>
      </c>
      <c r="K29" s="13">
        <f>FDIST(K21,1,K20-2)</f>
        <v>2.4418289208067869E-7</v>
      </c>
    </row>
    <row r="30" spans="1:12">
      <c r="A30" s="3">
        <v>165</v>
      </c>
      <c r="B30" s="1">
        <v>64</v>
      </c>
      <c r="C30">
        <f t="shared" si="0"/>
        <v>58.045830899347237</v>
      </c>
      <c r="D30" s="1">
        <f t="shared" si="1"/>
        <v>-5.9541691006527628</v>
      </c>
      <c r="E30" s="1">
        <f t="shared" si="2"/>
        <v>35.452129679168131</v>
      </c>
      <c r="F30" s="1"/>
      <c r="G30" t="s">
        <v>252</v>
      </c>
      <c r="I30" t="s">
        <v>253</v>
      </c>
    </row>
    <row r="31" spans="1:12">
      <c r="A31" s="3">
        <v>170</v>
      </c>
      <c r="B31" s="1">
        <v>68</v>
      </c>
      <c r="C31">
        <f t="shared" si="0"/>
        <v>61.929837706042179</v>
      </c>
      <c r="D31" s="1">
        <f t="shared" si="1"/>
        <v>-6.0701622939578215</v>
      </c>
      <c r="E31" s="1">
        <f t="shared" si="2"/>
        <v>36.846870274987282</v>
      </c>
      <c r="F31" s="1"/>
      <c r="G31" t="s">
        <v>249</v>
      </c>
    </row>
    <row r="32" spans="1:12">
      <c r="A32" s="3">
        <v>168</v>
      </c>
      <c r="B32" s="1">
        <v>62</v>
      </c>
      <c r="C32">
        <f t="shared" si="0"/>
        <v>60.376234983364213</v>
      </c>
      <c r="D32" s="1">
        <f t="shared" si="1"/>
        <v>-1.6237650166357867</v>
      </c>
      <c r="E32" s="1">
        <f t="shared" si="2"/>
        <v>2.6366128292502164</v>
      </c>
      <c r="F32" s="1"/>
      <c r="G32" t="s">
        <v>250</v>
      </c>
    </row>
    <row r="33" spans="1:6">
      <c r="A33" s="3">
        <v>170</v>
      </c>
      <c r="B33" s="1">
        <v>61</v>
      </c>
      <c r="C33">
        <f t="shared" si="0"/>
        <v>61.929837706042179</v>
      </c>
      <c r="D33" s="1">
        <f t="shared" si="1"/>
        <v>0.92983770604217852</v>
      </c>
      <c r="E33" s="1">
        <f t="shared" si="2"/>
        <v>0.86459815957778086</v>
      </c>
      <c r="F33" s="1"/>
    </row>
    <row r="34" spans="1:6">
      <c r="A34" s="3">
        <v>165</v>
      </c>
      <c r="B34" s="1">
        <v>64</v>
      </c>
      <c r="C34">
        <f t="shared" si="0"/>
        <v>58.045830899347237</v>
      </c>
      <c r="D34" s="1">
        <f t="shared" si="1"/>
        <v>-5.9541691006527628</v>
      </c>
      <c r="E34" s="1">
        <f t="shared" si="2"/>
        <v>35.452129679168131</v>
      </c>
      <c r="F34" s="1"/>
    </row>
    <row r="35" spans="1:6">
      <c r="A35" s="3">
        <v>169</v>
      </c>
      <c r="B35" s="1">
        <v>56</v>
      </c>
      <c r="C35">
        <f t="shared" si="0"/>
        <v>61.153036344703196</v>
      </c>
      <c r="D35" s="1">
        <f t="shared" si="1"/>
        <v>5.1530363447031959</v>
      </c>
      <c r="E35" s="1">
        <f t="shared" si="2"/>
        <v>26.553783569832074</v>
      </c>
      <c r="F35" s="1"/>
    </row>
    <row r="36" spans="1:6">
      <c r="A36" s="3">
        <v>162</v>
      </c>
      <c r="B36" s="1">
        <v>65</v>
      </c>
      <c r="C36">
        <f t="shared" si="0"/>
        <v>55.715426815330275</v>
      </c>
      <c r="D36" s="1">
        <f t="shared" si="1"/>
        <v>-9.2845731846697248</v>
      </c>
      <c r="E36" s="1">
        <f t="shared" si="2"/>
        <v>86.203299221488109</v>
      </c>
      <c r="F36" s="1"/>
    </row>
    <row r="37" spans="1:6">
      <c r="A37" s="3">
        <v>169</v>
      </c>
      <c r="B37" s="1">
        <v>55</v>
      </c>
      <c r="C37">
        <f t="shared" si="0"/>
        <v>61.153036344703196</v>
      </c>
      <c r="D37" s="1">
        <f t="shared" si="1"/>
        <v>6.1530363447031959</v>
      </c>
      <c r="E37" s="1">
        <f t="shared" si="2"/>
        <v>37.85985625923847</v>
      </c>
      <c r="F37" s="1"/>
    </row>
    <row r="38" spans="1:6">
      <c r="A38" s="3">
        <v>155</v>
      </c>
      <c r="B38" s="1">
        <v>48</v>
      </c>
      <c r="C38">
        <f t="shared" si="0"/>
        <v>50.277817285957354</v>
      </c>
      <c r="D38" s="1">
        <f t="shared" si="1"/>
        <v>2.2778172859573544</v>
      </c>
      <c r="E38" s="1">
        <f t="shared" si="2"/>
        <v>5.188451588206128</v>
      </c>
      <c r="F38" s="1"/>
    </row>
    <row r="39" spans="1:6">
      <c r="A39" s="3">
        <v>153</v>
      </c>
      <c r="B39" s="1">
        <v>42</v>
      </c>
      <c r="C39">
        <f t="shared" si="0"/>
        <v>48.724214563279375</v>
      </c>
      <c r="D39" s="1">
        <f t="shared" si="1"/>
        <v>6.7242145632793751</v>
      </c>
      <c r="E39" s="1">
        <f t="shared" si="2"/>
        <v>45.215061493018439</v>
      </c>
      <c r="F39" s="1"/>
    </row>
    <row r="40" spans="1:6">
      <c r="A40" s="3">
        <v>155</v>
      </c>
      <c r="B40" s="1">
        <v>45</v>
      </c>
      <c r="C40">
        <f t="shared" si="0"/>
        <v>50.277817285957354</v>
      </c>
      <c r="D40" s="1">
        <f t="shared" si="1"/>
        <v>5.2778172859573544</v>
      </c>
      <c r="E40" s="1">
        <f t="shared" si="2"/>
        <v>27.855355303950255</v>
      </c>
      <c r="F40" s="1"/>
    </row>
    <row r="41" spans="1:6">
      <c r="A41" s="3">
        <v>156</v>
      </c>
      <c r="B41" s="1">
        <v>47</v>
      </c>
      <c r="C41">
        <f t="shared" si="0"/>
        <v>51.054618647296351</v>
      </c>
      <c r="D41" s="1">
        <f t="shared" si="1"/>
        <v>4.0546186472963512</v>
      </c>
      <c r="E41" s="1">
        <f t="shared" si="2"/>
        <v>16.439932375003295</v>
      </c>
      <c r="F41" s="1"/>
    </row>
    <row r="42" spans="1:6">
      <c r="A42" s="3">
        <v>155</v>
      </c>
      <c r="B42" s="1">
        <v>55</v>
      </c>
      <c r="C42">
        <f t="shared" si="0"/>
        <v>50.277817285957354</v>
      </c>
      <c r="D42" s="1">
        <f t="shared" si="1"/>
        <v>-4.7221827140426456</v>
      </c>
      <c r="E42" s="1">
        <f t="shared" si="2"/>
        <v>22.299009584803166</v>
      </c>
      <c r="F42" s="1"/>
    </row>
    <row r="43" spans="1:6">
      <c r="A43" s="3">
        <v>150</v>
      </c>
      <c r="B43" s="1">
        <v>45</v>
      </c>
      <c r="C43">
        <f t="shared" si="0"/>
        <v>46.393810479262413</v>
      </c>
      <c r="D43" s="1">
        <f t="shared" si="1"/>
        <v>1.3938104792624131</v>
      </c>
      <c r="E43" s="1">
        <f t="shared" si="2"/>
        <v>1.9427076521017177</v>
      </c>
      <c r="F43" s="1"/>
    </row>
    <row r="44" spans="1:6">
      <c r="A44" s="3">
        <v>152</v>
      </c>
      <c r="B44" s="1">
        <v>44</v>
      </c>
      <c r="C44">
        <f t="shared" si="0"/>
        <v>47.947413201940392</v>
      </c>
      <c r="D44" s="1">
        <f t="shared" si="1"/>
        <v>3.9474132019403925</v>
      </c>
      <c r="E44" s="1">
        <f t="shared" si="2"/>
        <v>15.582070986853301</v>
      </c>
      <c r="F44" s="1"/>
    </row>
    <row r="45" spans="1:6">
      <c r="A45" s="3">
        <v>157</v>
      </c>
      <c r="B45" s="1">
        <v>56</v>
      </c>
      <c r="C45">
        <f t="shared" si="0"/>
        <v>51.831420008635334</v>
      </c>
      <c r="D45" s="1">
        <f t="shared" si="1"/>
        <v>-4.1685799913646662</v>
      </c>
      <c r="E45" s="1">
        <f t="shared" si="2"/>
        <v>17.377059144405841</v>
      </c>
      <c r="F45" s="1"/>
    </row>
    <row r="46" spans="1:6">
      <c r="A46" s="3">
        <v>160</v>
      </c>
      <c r="B46" s="1">
        <v>56</v>
      </c>
      <c r="C46">
        <f t="shared" si="0"/>
        <v>54.161824092652296</v>
      </c>
      <c r="D46" s="1">
        <f t="shared" si="1"/>
        <v>-1.8381759073477042</v>
      </c>
      <c r="E46" s="1">
        <f t="shared" si="2"/>
        <v>3.3788906663535556</v>
      </c>
      <c r="F46" s="1"/>
    </row>
    <row r="48" spans="1:6">
      <c r="A48" s="2"/>
    </row>
    <row r="49" spans="1:1">
      <c r="A49" s="3"/>
    </row>
    <row r="54" spans="1:1">
      <c r="A5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HocVienCaoHoc</vt:lpstr>
      <vt:lpstr>Sheet2</vt:lpstr>
      <vt:lpstr>Sheet4</vt:lpstr>
      <vt:lpstr>Sheet7</vt:lpstr>
      <vt:lpstr>Sheet8</vt:lpstr>
      <vt:lpstr>Sheet9</vt:lpstr>
      <vt:lpstr>Sheet10</vt:lpstr>
      <vt:lpstr>Sheet13</vt:lpstr>
      <vt:lpstr>Sheet11</vt:lpstr>
      <vt:lpstr>Sheet12</vt:lpstr>
      <vt:lpstr>Sheet14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Admin</cp:lastModifiedBy>
  <dcterms:created xsi:type="dcterms:W3CDTF">2011-08-01T14:22:18Z</dcterms:created>
  <dcterms:modified xsi:type="dcterms:W3CDTF">2023-10-20T10:32:07Z</dcterms:modified>
</cp:coreProperties>
</file>