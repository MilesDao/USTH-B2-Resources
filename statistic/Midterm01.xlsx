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y\B2 Year\Statistics\"/>
    </mc:Choice>
  </mc:AlternateContent>
  <xr:revisionPtr revIDLastSave="0" documentId="13_ncr:1_{D7D42F04-9E9F-4DF5-8FB1-AFF97A281B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cNghiemH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T30" i="3"/>
  <c r="M39" i="3"/>
  <c r="M38" i="3"/>
  <c r="M37" i="3"/>
  <c r="M36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2" i="3"/>
  <c r="M3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2" i="3"/>
  <c r="M31" i="3"/>
  <c r="M30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2" i="3"/>
  <c r="M26" i="3"/>
  <c r="M29" i="3"/>
  <c r="M28" i="3"/>
  <c r="M2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M21" i="3"/>
  <c r="M20" i="3"/>
  <c r="M22" i="3"/>
  <c r="M19" i="3"/>
  <c r="M16" i="3"/>
  <c r="M15" i="3"/>
  <c r="M14" i="3"/>
  <c r="M13" i="3"/>
  <c r="M12" i="3"/>
  <c r="M11" i="3"/>
  <c r="M10" i="3"/>
  <c r="M9" i="3"/>
  <c r="M8" i="3"/>
  <c r="U37" i="3"/>
  <c r="T37" i="3"/>
  <c r="U36" i="3"/>
  <c r="T36" i="3"/>
  <c r="T35" i="3"/>
  <c r="S35" i="3"/>
  <c r="V18" i="3"/>
  <c r="S37" i="3"/>
  <c r="S36" i="3"/>
  <c r="U35" i="3"/>
  <c r="U31" i="3"/>
  <c r="U30" i="3"/>
  <c r="U29" i="3"/>
  <c r="U28" i="3"/>
  <c r="T31" i="3"/>
  <c r="T29" i="3"/>
  <c r="T28" i="3"/>
  <c r="S30" i="3"/>
  <c r="S29" i="3"/>
  <c r="S28" i="3"/>
  <c r="T24" i="3"/>
  <c r="U24" i="3"/>
  <c r="S24" i="3"/>
  <c r="T23" i="3"/>
  <c r="U23" i="3"/>
  <c r="S23" i="3"/>
  <c r="T22" i="3"/>
  <c r="U22" i="3"/>
  <c r="S22" i="3"/>
  <c r="U18" i="3"/>
  <c r="T18" i="3"/>
  <c r="S18" i="3"/>
  <c r="V17" i="3"/>
  <c r="V16" i="3"/>
  <c r="V15" i="3"/>
  <c r="U17" i="3"/>
  <c r="T17" i="3"/>
  <c r="S17" i="3"/>
  <c r="U16" i="3"/>
  <c r="T16" i="3"/>
  <c r="S16" i="3"/>
  <c r="U15" i="3"/>
  <c r="T15" i="3"/>
  <c r="S15" i="3"/>
  <c r="T11" i="3"/>
  <c r="U11" i="3"/>
  <c r="S11" i="3"/>
  <c r="V10" i="3"/>
  <c r="U10" i="3"/>
  <c r="T10" i="3"/>
  <c r="S10" i="3"/>
  <c r="V6" i="3"/>
  <c r="T7" i="3" s="1"/>
  <c r="U6" i="3"/>
  <c r="T6" i="3"/>
  <c r="S6" i="3"/>
  <c r="S7" i="3" l="1"/>
  <c r="U7" i="3"/>
</calcChain>
</file>

<file path=xl/sharedStrings.xml><?xml version="1.0" encoding="utf-8"?>
<sst xmlns="http://schemas.openxmlformats.org/spreadsheetml/2006/main" count="77" uniqueCount="50">
  <si>
    <t>hocluc10</t>
  </si>
  <si>
    <t>hocluc11</t>
  </si>
  <si>
    <t>toan</t>
  </si>
  <si>
    <t>van</t>
  </si>
  <si>
    <t>QS</t>
  </si>
  <si>
    <t>very good</t>
  </si>
  <si>
    <t>good</t>
  </si>
  <si>
    <t>average</t>
  </si>
  <si>
    <t>sample size</t>
  </si>
  <si>
    <t>percentage</t>
  </si>
  <si>
    <t xml:space="preserve">percentage </t>
  </si>
  <si>
    <t>Cross table of hocluc10 &amp; hocluc11</t>
  </si>
  <si>
    <t>very good(hocluc10)</t>
  </si>
  <si>
    <t>good (hocluc10)</t>
  </si>
  <si>
    <t>average (hocluc10)</t>
  </si>
  <si>
    <t>verygood(hocluc11)</t>
  </si>
  <si>
    <t>good(hocluc11)</t>
  </si>
  <si>
    <t>average(hocluc11)</t>
  </si>
  <si>
    <t>Total hocluc11</t>
  </si>
  <si>
    <t>Total hocluc10</t>
  </si>
  <si>
    <t>Row ratio</t>
  </si>
  <si>
    <t>Column ratio</t>
  </si>
  <si>
    <t>Whole ratio</t>
  </si>
  <si>
    <t>diemtoan</t>
  </si>
  <si>
    <t>Min</t>
  </si>
  <si>
    <t>Max</t>
  </si>
  <si>
    <t>mid range</t>
  </si>
  <si>
    <t>mean</t>
  </si>
  <si>
    <t>med</t>
  </si>
  <si>
    <t>mode</t>
  </si>
  <si>
    <t>Q1</t>
  </si>
  <si>
    <t>Q2</t>
  </si>
  <si>
    <t>Q3</t>
  </si>
  <si>
    <t>diemvan</t>
  </si>
  <si>
    <t>Quintiles</t>
  </si>
  <si>
    <t>Q4</t>
  </si>
  <si>
    <t>diemvan - mean(VAN)</t>
  </si>
  <si>
    <t>diemvan - mean(VAN)^2</t>
  </si>
  <si>
    <t>sum squre</t>
  </si>
  <si>
    <t>Var</t>
  </si>
  <si>
    <t>Sd</t>
  </si>
  <si>
    <t>Mean deviation</t>
  </si>
  <si>
    <t>Range</t>
  </si>
  <si>
    <t>Median deviation</t>
  </si>
  <si>
    <t>diemvan - median(VAN)</t>
  </si>
  <si>
    <t>diemtoan &amp; diemvan</t>
  </si>
  <si>
    <t>(x - mean(X))(y - mean(Y))</t>
  </si>
  <si>
    <t>cross product</t>
  </si>
  <si>
    <t>covar</t>
  </si>
  <si>
    <t>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</si>
</sst>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10" fontId="0" fillId="0" borderId="0" xfId="0" applyNumberFormat="1"/>
    <xf numFmtId="0" fontId="1" fillId="0" borderId="0" xfId="0" applyFont="1" applyAlignment="1">
      <alignment wrapText="1"/>
    </xf>
    <xf numFmtId="9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zoomScale="88" workbookViewId="0">
      <selection activeCell="T24" sqref="T24"/>
    </sheetView>
  </sheetViews>
  <sheetFormatPr defaultRowHeight="14.4" x14ac:dyDescent="0.3"/>
  <cols>
    <col min="6" max="6" width="21.109375" bestFit="1" customWidth="1"/>
    <col min="7" max="7" width="19.77734375" customWidth="1"/>
    <col min="8" max="8" width="21.88671875" customWidth="1"/>
    <col min="9" max="9" width="21.6640625" customWidth="1"/>
    <col min="12" max="12" width="17.33203125" customWidth="1"/>
    <col min="18" max="18" width="16.77734375" customWidth="1"/>
    <col min="19" max="19" width="18.5546875" customWidth="1"/>
    <col min="20" max="20" width="17.88671875" customWidth="1"/>
    <col min="21" max="21" width="16.44140625" customWidth="1"/>
  </cols>
  <sheetData>
    <row r="1" spans="1:22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37</v>
      </c>
      <c r="G1" t="s">
        <v>36</v>
      </c>
      <c r="H1" t="s">
        <v>44</v>
      </c>
      <c r="I1" t="s">
        <v>46</v>
      </c>
    </row>
    <row r="2" spans="1:22" x14ac:dyDescent="0.3">
      <c r="A2">
        <v>1</v>
      </c>
      <c r="B2" s="2">
        <v>1</v>
      </c>
      <c r="C2" s="2">
        <v>1</v>
      </c>
      <c r="D2" s="1">
        <v>8.6999999999999993</v>
      </c>
      <c r="E2" s="1">
        <v>7.1</v>
      </c>
      <c r="F2" s="7">
        <f>(E2-AVERAGE($E:$E))^2</f>
        <v>0.2332889999999988</v>
      </c>
      <c r="G2" s="1">
        <f>ABS(E2-AVERAGE($E:$E))</f>
        <v>0.48299999999999876</v>
      </c>
      <c r="H2" s="1">
        <f>ABS(E2-MEDIAN($E:$E))</f>
        <v>0.34999999999999964</v>
      </c>
      <c r="I2">
        <f>(D2-AVERAGE($D:$D))*(E2-AVERAGE($E:$E))</f>
        <v>0.65301599999999671</v>
      </c>
    </row>
    <row r="3" spans="1:22" x14ac:dyDescent="0.3">
      <c r="A3">
        <v>2</v>
      </c>
      <c r="B3" s="2">
        <v>2</v>
      </c>
      <c r="C3" s="2">
        <v>2</v>
      </c>
      <c r="D3" s="1">
        <v>7.9</v>
      </c>
      <c r="E3" s="1">
        <v>5.9</v>
      </c>
      <c r="F3" s="6">
        <f t="shared" ref="F3:F66" si="0">(E3-AVERAGE($E:$E))^2</f>
        <v>0.5140890000000008</v>
      </c>
      <c r="G3" s="1">
        <f t="shared" ref="G3:G66" si="1">ABS(E3-AVERAGE($E:$E))</f>
        <v>0.71700000000000053</v>
      </c>
      <c r="H3" s="1">
        <f t="shared" ref="H3:H66" si="2">ABS(E3-MEDIAN($E:$E))</f>
        <v>0.84999999999999964</v>
      </c>
      <c r="I3">
        <f t="shared" ref="I3:I66" si="3">(D3-AVERAGE($D:$D))*(E3-AVERAGE($E:$E))</f>
        <v>-0.39578399999999875</v>
      </c>
    </row>
    <row r="4" spans="1:22" x14ac:dyDescent="0.3">
      <c r="A4">
        <v>3</v>
      </c>
      <c r="B4" s="2">
        <v>2</v>
      </c>
      <c r="C4" s="2">
        <v>2</v>
      </c>
      <c r="D4" s="1">
        <v>7.8</v>
      </c>
      <c r="E4" s="1">
        <v>7</v>
      </c>
      <c r="F4" s="1">
        <f t="shared" si="0"/>
        <v>0.14668899999999932</v>
      </c>
      <c r="G4" s="1">
        <f t="shared" si="1"/>
        <v>0.38299999999999912</v>
      </c>
      <c r="H4" s="1">
        <f t="shared" si="2"/>
        <v>0.25</v>
      </c>
      <c r="I4">
        <f t="shared" si="3"/>
        <v>0.17311599999999858</v>
      </c>
    </row>
    <row r="5" spans="1:22" x14ac:dyDescent="0.3">
      <c r="A5">
        <v>4</v>
      </c>
      <c r="B5" s="2">
        <v>2</v>
      </c>
      <c r="C5" s="2">
        <v>2</v>
      </c>
      <c r="D5" s="1">
        <v>7.2</v>
      </c>
      <c r="E5" s="1">
        <v>7.1</v>
      </c>
      <c r="F5" s="1">
        <f t="shared" si="0"/>
        <v>0.2332889999999988</v>
      </c>
      <c r="G5" s="1">
        <f t="shared" si="1"/>
        <v>0.48299999999999876</v>
      </c>
      <c r="H5" s="1">
        <f t="shared" si="2"/>
        <v>0.34999999999999964</v>
      </c>
      <c r="I5">
        <f t="shared" si="3"/>
        <v>-7.148400000000095E-2</v>
      </c>
      <c r="R5" t="s">
        <v>0</v>
      </c>
      <c r="S5" t="s">
        <v>5</v>
      </c>
      <c r="T5" t="s">
        <v>6</v>
      </c>
      <c r="U5" t="s">
        <v>7</v>
      </c>
    </row>
    <row r="6" spans="1:22" x14ac:dyDescent="0.3">
      <c r="A6">
        <v>5</v>
      </c>
      <c r="B6" s="2">
        <v>2</v>
      </c>
      <c r="C6" s="2">
        <v>2</v>
      </c>
      <c r="D6" s="1">
        <v>7</v>
      </c>
      <c r="E6" s="1">
        <v>5.5</v>
      </c>
      <c r="F6" s="1">
        <f t="shared" si="0"/>
        <v>1.247689000000002</v>
      </c>
      <c r="G6" s="1">
        <f t="shared" si="1"/>
        <v>1.1170000000000009</v>
      </c>
      <c r="H6" s="1">
        <f t="shared" si="2"/>
        <v>1.25</v>
      </c>
      <c r="I6">
        <f t="shared" si="3"/>
        <v>0.38871600000000311</v>
      </c>
      <c r="R6" t="s">
        <v>8</v>
      </c>
      <c r="S6">
        <f>COUNTIF(B:B, 1)</f>
        <v>6</v>
      </c>
      <c r="T6">
        <f>COUNTIF(B:B, 2)</f>
        <v>71</v>
      </c>
      <c r="U6">
        <f>COUNTIF(B:B,3)</f>
        <v>23</v>
      </c>
      <c r="V6">
        <f>COUNT(B:B)</f>
        <v>100</v>
      </c>
    </row>
    <row r="7" spans="1:22" x14ac:dyDescent="0.3">
      <c r="A7">
        <v>6</v>
      </c>
      <c r="B7" s="2">
        <v>2</v>
      </c>
      <c r="C7" s="2">
        <v>2</v>
      </c>
      <c r="D7" s="1">
        <v>6.9</v>
      </c>
      <c r="E7" s="1">
        <v>6.5</v>
      </c>
      <c r="F7" s="1">
        <f t="shared" si="0"/>
        <v>1.3689000000000206E-2</v>
      </c>
      <c r="G7" s="1">
        <f t="shared" si="1"/>
        <v>0.11700000000000088</v>
      </c>
      <c r="H7" s="1">
        <f t="shared" si="2"/>
        <v>0.25</v>
      </c>
      <c r="I7">
        <f t="shared" si="3"/>
        <v>5.241600000000065E-2</v>
      </c>
      <c r="L7" t="s">
        <v>23</v>
      </c>
      <c r="R7" t="s">
        <v>9</v>
      </c>
      <c r="S7" s="3">
        <f>S6/$V$6</f>
        <v>0.06</v>
      </c>
      <c r="T7" s="3">
        <f>T6/$V$6</f>
        <v>0.71</v>
      </c>
      <c r="U7" s="3">
        <f>U6/$V$6</f>
        <v>0.23</v>
      </c>
    </row>
    <row r="8" spans="1:22" x14ac:dyDescent="0.3">
      <c r="A8">
        <v>7</v>
      </c>
      <c r="B8" s="2">
        <v>2</v>
      </c>
      <c r="C8" s="2">
        <v>2</v>
      </c>
      <c r="D8" s="1">
        <v>6</v>
      </c>
      <c r="E8" s="1">
        <v>6.9</v>
      </c>
      <c r="F8" s="1">
        <f t="shared" si="0"/>
        <v>8.0088999999999702E-2</v>
      </c>
      <c r="G8" s="1">
        <f t="shared" si="1"/>
        <v>0.28299999999999947</v>
      </c>
      <c r="H8" s="1">
        <f t="shared" si="2"/>
        <v>0.15000000000000036</v>
      </c>
      <c r="I8">
        <f t="shared" si="3"/>
        <v>-0.38148399999999999</v>
      </c>
      <c r="L8" t="s">
        <v>24</v>
      </c>
      <c r="M8">
        <f>MIN(D:D)</f>
        <v>5</v>
      </c>
    </row>
    <row r="9" spans="1:22" x14ac:dyDescent="0.3">
      <c r="A9">
        <v>8</v>
      </c>
      <c r="B9" s="2">
        <v>3</v>
      </c>
      <c r="C9" s="2">
        <v>3</v>
      </c>
      <c r="D9" s="1">
        <v>7.9</v>
      </c>
      <c r="E9" s="1">
        <v>6.3</v>
      </c>
      <c r="F9" s="1">
        <f t="shared" si="0"/>
        <v>0.10048900000000068</v>
      </c>
      <c r="G9" s="1">
        <f t="shared" si="1"/>
        <v>0.31700000000000106</v>
      </c>
      <c r="H9" s="1">
        <f t="shared" si="2"/>
        <v>0.45000000000000018</v>
      </c>
      <c r="I9">
        <f t="shared" si="3"/>
        <v>-0.17498399999999989</v>
      </c>
      <c r="L9" t="s">
        <v>25</v>
      </c>
      <c r="M9">
        <f>MAX(D:D)</f>
        <v>9.4</v>
      </c>
      <c r="R9" t="s">
        <v>1</v>
      </c>
      <c r="S9" t="s">
        <v>5</v>
      </c>
      <c r="T9" t="s">
        <v>6</v>
      </c>
      <c r="U9" t="s">
        <v>7</v>
      </c>
    </row>
    <row r="10" spans="1:22" x14ac:dyDescent="0.3">
      <c r="A10">
        <v>9</v>
      </c>
      <c r="B10" s="2">
        <v>3</v>
      </c>
      <c r="C10" s="2">
        <v>3</v>
      </c>
      <c r="D10" s="1">
        <v>6.7</v>
      </c>
      <c r="E10" s="1">
        <v>5.9</v>
      </c>
      <c r="F10" s="1">
        <f t="shared" si="0"/>
        <v>0.5140890000000008</v>
      </c>
      <c r="G10" s="1">
        <f t="shared" si="1"/>
        <v>0.71700000000000053</v>
      </c>
      <c r="H10" s="1">
        <f t="shared" si="2"/>
        <v>0.84999999999999964</v>
      </c>
      <c r="I10">
        <f t="shared" si="3"/>
        <v>0.46461600000000203</v>
      </c>
      <c r="L10" t="s">
        <v>26</v>
      </c>
      <c r="M10">
        <f>(M8+M9)/2</f>
        <v>7.2</v>
      </c>
      <c r="R10" t="s">
        <v>8</v>
      </c>
      <c r="S10">
        <f>COUNTIF(C:C,1)</f>
        <v>10</v>
      </c>
      <c r="T10">
        <f>COUNTIF(C:C,2)</f>
        <v>69</v>
      </c>
      <c r="U10">
        <f>COUNTIF(C:C,3)</f>
        <v>21</v>
      </c>
      <c r="V10">
        <f>COUNT(C:C)</f>
        <v>100</v>
      </c>
    </row>
    <row r="11" spans="1:22" x14ac:dyDescent="0.3">
      <c r="A11">
        <v>10</v>
      </c>
      <c r="B11" s="2">
        <v>3</v>
      </c>
      <c r="C11" s="2">
        <v>3</v>
      </c>
      <c r="D11" s="1">
        <v>6.4</v>
      </c>
      <c r="E11" s="1">
        <v>5.9</v>
      </c>
      <c r="F11" s="1">
        <f t="shared" si="0"/>
        <v>0.5140890000000008</v>
      </c>
      <c r="G11" s="1">
        <f t="shared" si="1"/>
        <v>0.71700000000000053</v>
      </c>
      <c r="H11" s="1">
        <f t="shared" si="2"/>
        <v>0.84999999999999964</v>
      </c>
      <c r="I11">
        <f t="shared" si="3"/>
        <v>0.6797160000000021</v>
      </c>
      <c r="L11" t="s">
        <v>27</v>
      </c>
      <c r="M11">
        <f>AVERAGE(D:D)</f>
        <v>7.3480000000000025</v>
      </c>
      <c r="R11" t="s">
        <v>10</v>
      </c>
      <c r="S11" s="3">
        <f>S10/$V$10</f>
        <v>0.1</v>
      </c>
      <c r="T11" s="3">
        <f>T10/$V$10</f>
        <v>0.69</v>
      </c>
      <c r="U11" s="3">
        <f>U10/$V$10</f>
        <v>0.21</v>
      </c>
    </row>
    <row r="12" spans="1:22" x14ac:dyDescent="0.3">
      <c r="A12">
        <v>11</v>
      </c>
      <c r="B12" s="2">
        <v>3</v>
      </c>
      <c r="C12" s="2">
        <v>3</v>
      </c>
      <c r="D12" s="1">
        <v>6</v>
      </c>
      <c r="E12" s="1">
        <v>6</v>
      </c>
      <c r="F12" s="1">
        <f t="shared" si="0"/>
        <v>0.38068900000000111</v>
      </c>
      <c r="G12" s="1">
        <f t="shared" si="1"/>
        <v>0.61700000000000088</v>
      </c>
      <c r="H12" s="1">
        <f t="shared" si="2"/>
        <v>0.75</v>
      </c>
      <c r="I12">
        <f t="shared" si="3"/>
        <v>0.83171600000000279</v>
      </c>
      <c r="L12" t="s">
        <v>28</v>
      </c>
      <c r="M12">
        <f>MEDIAN(D:D)</f>
        <v>7.2</v>
      </c>
    </row>
    <row r="13" spans="1:22" x14ac:dyDescent="0.3">
      <c r="A13">
        <v>12</v>
      </c>
      <c r="B13" s="2">
        <v>3</v>
      </c>
      <c r="C13" s="2">
        <v>3</v>
      </c>
      <c r="D13" s="1">
        <v>5.5</v>
      </c>
      <c r="E13" s="1">
        <v>6.6</v>
      </c>
      <c r="F13" s="1">
        <f t="shared" si="0"/>
        <v>2.8900000000004204E-4</v>
      </c>
      <c r="G13" s="1">
        <f t="shared" si="1"/>
        <v>1.7000000000001236E-2</v>
      </c>
      <c r="H13" s="1">
        <f t="shared" si="2"/>
        <v>0.15000000000000036</v>
      </c>
      <c r="I13">
        <f t="shared" si="3"/>
        <v>3.1416000000002331E-2</v>
      </c>
      <c r="L13" t="s">
        <v>29</v>
      </c>
      <c r="M13">
        <f>MODE(D:D)</f>
        <v>7</v>
      </c>
    </row>
    <row r="14" spans="1:22" ht="43.2" x14ac:dyDescent="0.3">
      <c r="A14">
        <v>13</v>
      </c>
      <c r="B14" s="2">
        <v>1</v>
      </c>
      <c r="C14" s="2">
        <v>1</v>
      </c>
      <c r="D14" s="1">
        <v>9</v>
      </c>
      <c r="E14" s="1">
        <v>7.4</v>
      </c>
      <c r="F14" s="1">
        <f t="shared" si="0"/>
        <v>0.61308899999999922</v>
      </c>
      <c r="G14" s="1">
        <f t="shared" si="1"/>
        <v>0.78299999999999947</v>
      </c>
      <c r="H14" s="1">
        <f t="shared" si="2"/>
        <v>0.65000000000000036</v>
      </c>
      <c r="I14">
        <f t="shared" si="3"/>
        <v>1.2935159999999972</v>
      </c>
      <c r="K14" s="5">
        <v>0.25</v>
      </c>
      <c r="L14" t="s">
        <v>30</v>
      </c>
      <c r="M14">
        <f>_xlfn.PERCENTILE.EXC(D:D,K14)</f>
        <v>6.6</v>
      </c>
      <c r="R14" s="4" t="s">
        <v>11</v>
      </c>
      <c r="S14" t="s">
        <v>12</v>
      </c>
      <c r="T14" t="s">
        <v>13</v>
      </c>
      <c r="U14" t="s">
        <v>14</v>
      </c>
      <c r="V14" t="s">
        <v>18</v>
      </c>
    </row>
    <row r="15" spans="1:22" x14ac:dyDescent="0.3">
      <c r="A15">
        <v>14</v>
      </c>
      <c r="B15" s="2">
        <v>2</v>
      </c>
      <c r="C15" s="2">
        <v>2</v>
      </c>
      <c r="D15" s="1">
        <v>9.4</v>
      </c>
      <c r="E15" s="1">
        <v>6.7</v>
      </c>
      <c r="F15" s="1">
        <f t="shared" si="0"/>
        <v>6.8889999999998831E-3</v>
      </c>
      <c r="G15" s="1">
        <f t="shared" si="1"/>
        <v>8.2999999999999297E-2</v>
      </c>
      <c r="H15" s="1">
        <f t="shared" si="2"/>
        <v>4.9999999999999822E-2</v>
      </c>
      <c r="I15">
        <f t="shared" si="3"/>
        <v>0.17031599999999839</v>
      </c>
      <c r="K15" s="5">
        <v>0.5</v>
      </c>
      <c r="L15" t="s">
        <v>31</v>
      </c>
      <c r="M15">
        <f>_xlfn.PERCENTILE.EXC(D:D,K15)</f>
        <v>7.2</v>
      </c>
      <c r="R15" t="s">
        <v>15</v>
      </c>
      <c r="S15">
        <f>COUNTIFS($B:$B,1,$C:$C,1)</f>
        <v>6</v>
      </c>
      <c r="T15">
        <f>COUNTIFS($B:$B,2,$C:$C,1)</f>
        <v>4</v>
      </c>
      <c r="U15">
        <f>COUNTIFS($B:$B,3,$C:$C,1)</f>
        <v>0</v>
      </c>
      <c r="V15">
        <f>COUNTIF(C:C,1)</f>
        <v>10</v>
      </c>
    </row>
    <row r="16" spans="1:22" x14ac:dyDescent="0.3">
      <c r="A16">
        <v>15</v>
      </c>
      <c r="B16" s="2">
        <v>2</v>
      </c>
      <c r="C16" s="2">
        <v>2</v>
      </c>
      <c r="D16" s="1">
        <v>8.6</v>
      </c>
      <c r="E16" s="1">
        <v>7.9</v>
      </c>
      <c r="F16" s="1">
        <f t="shared" si="0"/>
        <v>1.6460889999999986</v>
      </c>
      <c r="G16" s="1">
        <f t="shared" si="1"/>
        <v>1.2829999999999995</v>
      </c>
      <c r="H16" s="1">
        <f t="shared" si="2"/>
        <v>1.1500000000000004</v>
      </c>
      <c r="I16">
        <f t="shared" si="3"/>
        <v>1.6063159999999956</v>
      </c>
      <c r="K16" s="5">
        <v>0.75</v>
      </c>
      <c r="L16" t="s">
        <v>32</v>
      </c>
      <c r="M16">
        <f>_xlfn.PERCENTILE.EXC(D:D,K16)</f>
        <v>8.1749999999999989</v>
      </c>
      <c r="R16" t="s">
        <v>16</v>
      </c>
      <c r="S16">
        <f>COUNTIFS($B:$B,1,$C:$C,2)</f>
        <v>0</v>
      </c>
      <c r="T16">
        <f>COUNTIFS($B:$B,2,$C:$C,2)</f>
        <v>62</v>
      </c>
      <c r="U16">
        <f>COUNTIFS($B:$B,3,$C:$C,2)</f>
        <v>7</v>
      </c>
      <c r="V16">
        <f>COUNTIF(C:C,2)</f>
        <v>69</v>
      </c>
    </row>
    <row r="17" spans="1:22" x14ac:dyDescent="0.3">
      <c r="A17">
        <v>16</v>
      </c>
      <c r="B17" s="2">
        <v>2</v>
      </c>
      <c r="C17" s="2">
        <v>2</v>
      </c>
      <c r="D17" s="1">
        <v>8.5</v>
      </c>
      <c r="E17" s="1">
        <v>6.5</v>
      </c>
      <c r="F17" s="1">
        <f t="shared" si="0"/>
        <v>1.3689000000000206E-2</v>
      </c>
      <c r="G17" s="1">
        <f t="shared" si="1"/>
        <v>0.11700000000000088</v>
      </c>
      <c r="H17" s="1">
        <f t="shared" si="2"/>
        <v>0.25</v>
      </c>
      <c r="I17">
        <f t="shared" si="3"/>
        <v>-0.13478400000000071</v>
      </c>
      <c r="R17" t="s">
        <v>17</v>
      </c>
      <c r="S17">
        <f>COUNTIFS($B:$B,1,$C:$C,3)</f>
        <v>0</v>
      </c>
      <c r="T17">
        <f>COUNTIFS($B:$B,2,$C:$C,3)</f>
        <v>5</v>
      </c>
      <c r="U17">
        <f>COUNTIFS($B:$B,3,$C:$C,3)</f>
        <v>16</v>
      </c>
      <c r="V17">
        <f>COUNTIF(C:C,3)</f>
        <v>21</v>
      </c>
    </row>
    <row r="18" spans="1:22" x14ac:dyDescent="0.3">
      <c r="A18">
        <v>17</v>
      </c>
      <c r="B18" s="2">
        <v>3</v>
      </c>
      <c r="C18" s="2">
        <v>2</v>
      </c>
      <c r="D18" s="1">
        <v>8.4</v>
      </c>
      <c r="E18" s="1">
        <v>6.9</v>
      </c>
      <c r="F18" s="1">
        <f t="shared" si="0"/>
        <v>8.0088999999999702E-2</v>
      </c>
      <c r="G18" s="1">
        <f t="shared" si="1"/>
        <v>0.28299999999999947</v>
      </c>
      <c r="H18" s="1">
        <f t="shared" si="2"/>
        <v>0.15000000000000036</v>
      </c>
      <c r="I18">
        <f t="shared" si="3"/>
        <v>0.29771599999999881</v>
      </c>
      <c r="L18" t="s">
        <v>34</v>
      </c>
      <c r="R18" t="s">
        <v>19</v>
      </c>
      <c r="S18">
        <f>COUNTIF(B:B,1)</f>
        <v>6</v>
      </c>
      <c r="T18">
        <f>COUNTIF(B:B,2)</f>
        <v>71</v>
      </c>
      <c r="U18">
        <f>COUNTIF(B:B,3)</f>
        <v>23</v>
      </c>
      <c r="V18">
        <f>SUM(V15:V17)</f>
        <v>100</v>
      </c>
    </row>
    <row r="19" spans="1:22" x14ac:dyDescent="0.3">
      <c r="A19">
        <v>18</v>
      </c>
      <c r="B19" s="2">
        <v>2</v>
      </c>
      <c r="C19" s="2">
        <v>2</v>
      </c>
      <c r="D19" s="1">
        <v>8.4</v>
      </c>
      <c r="E19" s="1">
        <v>5.7</v>
      </c>
      <c r="F19" s="1">
        <f t="shared" si="0"/>
        <v>0.84088900000000133</v>
      </c>
      <c r="G19" s="1">
        <f t="shared" si="1"/>
        <v>0.9170000000000007</v>
      </c>
      <c r="H19" s="1">
        <f t="shared" si="2"/>
        <v>1.0499999999999998</v>
      </c>
      <c r="I19">
        <f t="shared" si="3"/>
        <v>-0.96468399999999876</v>
      </c>
      <c r="K19" s="5">
        <v>0.2</v>
      </c>
      <c r="L19" t="s">
        <v>30</v>
      </c>
      <c r="M19">
        <f>_xlfn.PERCENTILE.EXC($D:$D,K19)</f>
        <v>6.4200000000000008</v>
      </c>
    </row>
    <row r="20" spans="1:22" x14ac:dyDescent="0.3">
      <c r="A20">
        <v>19</v>
      </c>
      <c r="B20" s="2">
        <v>2</v>
      </c>
      <c r="C20" s="2">
        <v>2</v>
      </c>
      <c r="D20" s="1">
        <v>8.3000000000000007</v>
      </c>
      <c r="E20" s="1">
        <v>7.5</v>
      </c>
      <c r="F20" s="1">
        <f t="shared" si="0"/>
        <v>0.77968899999999841</v>
      </c>
      <c r="G20" s="1">
        <f t="shared" si="1"/>
        <v>0.88299999999999912</v>
      </c>
      <c r="H20" s="1">
        <f t="shared" si="2"/>
        <v>0.75</v>
      </c>
      <c r="I20">
        <f t="shared" si="3"/>
        <v>0.84061599999999759</v>
      </c>
      <c r="K20" s="5">
        <v>0.4</v>
      </c>
      <c r="L20" t="s">
        <v>31</v>
      </c>
      <c r="M20">
        <f>_xlfn.PERCENTILE.EXC($D:$D,K20)</f>
        <v>7</v>
      </c>
    </row>
    <row r="21" spans="1:22" x14ac:dyDescent="0.3">
      <c r="A21">
        <v>20</v>
      </c>
      <c r="B21" s="2">
        <v>2</v>
      </c>
      <c r="C21" s="2">
        <v>2</v>
      </c>
      <c r="D21" s="1">
        <v>8</v>
      </c>
      <c r="E21" s="1">
        <v>7.4</v>
      </c>
      <c r="F21" s="1">
        <f t="shared" si="0"/>
        <v>0.61308899999999922</v>
      </c>
      <c r="G21" s="1">
        <f t="shared" si="1"/>
        <v>0.78299999999999947</v>
      </c>
      <c r="H21" s="1">
        <f t="shared" si="2"/>
        <v>0.65000000000000036</v>
      </c>
      <c r="I21">
        <f t="shared" si="3"/>
        <v>0.51051599999999764</v>
      </c>
      <c r="K21" s="5">
        <v>0.6</v>
      </c>
      <c r="L21" t="s">
        <v>32</v>
      </c>
      <c r="M21">
        <f>_xlfn.PERCENTILE.EXC($D:$D,K21)</f>
        <v>7.6</v>
      </c>
      <c r="R21" s="4" t="s">
        <v>20</v>
      </c>
      <c r="S21" t="s">
        <v>12</v>
      </c>
      <c r="T21" t="s">
        <v>13</v>
      </c>
      <c r="U21" t="s">
        <v>14</v>
      </c>
    </row>
    <row r="22" spans="1:22" x14ac:dyDescent="0.3">
      <c r="A22">
        <v>21</v>
      </c>
      <c r="B22" s="2">
        <v>2</v>
      </c>
      <c r="C22" s="2">
        <v>2</v>
      </c>
      <c r="D22" s="1">
        <v>7.3</v>
      </c>
      <c r="E22" s="1">
        <v>6.3</v>
      </c>
      <c r="F22" s="1">
        <f t="shared" si="0"/>
        <v>0.10048900000000068</v>
      </c>
      <c r="G22" s="1">
        <f t="shared" si="1"/>
        <v>0.31700000000000106</v>
      </c>
      <c r="H22" s="1">
        <f t="shared" si="2"/>
        <v>0.45000000000000018</v>
      </c>
      <c r="I22">
        <f t="shared" si="3"/>
        <v>1.5216000000000909E-2</v>
      </c>
      <c r="K22" s="5">
        <v>0.8</v>
      </c>
      <c r="L22" t="s">
        <v>35</v>
      </c>
      <c r="M22">
        <f t="shared" ref="M22" si="4">_xlfn.PERCENTILE.EXC($D:$D,K22)</f>
        <v>8.3800000000000008</v>
      </c>
      <c r="R22" t="s">
        <v>15</v>
      </c>
      <c r="S22">
        <f>S15/$V$15</f>
        <v>0.6</v>
      </c>
      <c r="T22">
        <f t="shared" ref="T22:U22" si="5">T15/$V$15</f>
        <v>0.4</v>
      </c>
      <c r="U22">
        <f t="shared" si="5"/>
        <v>0</v>
      </c>
    </row>
    <row r="23" spans="1:22" x14ac:dyDescent="0.3">
      <c r="A23">
        <v>22</v>
      </c>
      <c r="B23" s="2">
        <v>2</v>
      </c>
      <c r="C23" s="2">
        <v>2</v>
      </c>
      <c r="D23" s="1">
        <v>7.3</v>
      </c>
      <c r="E23" s="1">
        <v>6</v>
      </c>
      <c r="F23" s="1">
        <f t="shared" si="0"/>
        <v>0.38068900000000111</v>
      </c>
      <c r="G23" s="1">
        <f t="shared" si="1"/>
        <v>0.61700000000000088</v>
      </c>
      <c r="H23" s="1">
        <f t="shared" si="2"/>
        <v>0.75</v>
      </c>
      <c r="I23">
        <f t="shared" si="3"/>
        <v>2.9616000000001714E-2</v>
      </c>
      <c r="R23" t="s">
        <v>16</v>
      </c>
      <c r="S23">
        <f>S16/$V$16</f>
        <v>0</v>
      </c>
      <c r="T23">
        <f t="shared" ref="T23:U23" si="6">T16/$V$16</f>
        <v>0.89855072463768115</v>
      </c>
      <c r="U23">
        <f t="shared" si="6"/>
        <v>0.10144927536231885</v>
      </c>
    </row>
    <row r="24" spans="1:22" x14ac:dyDescent="0.3">
      <c r="A24">
        <v>23</v>
      </c>
      <c r="B24" s="2">
        <v>2</v>
      </c>
      <c r="C24" s="2">
        <v>2</v>
      </c>
      <c r="D24" s="1">
        <v>7</v>
      </c>
      <c r="E24" s="1">
        <v>7.5</v>
      </c>
      <c r="F24" s="1">
        <f t="shared" si="0"/>
        <v>0.77968899999999841</v>
      </c>
      <c r="G24" s="1">
        <f t="shared" si="1"/>
        <v>0.88299999999999912</v>
      </c>
      <c r="H24" s="1">
        <f t="shared" si="2"/>
        <v>0.75</v>
      </c>
      <c r="I24">
        <f t="shared" si="3"/>
        <v>-0.30728400000000194</v>
      </c>
      <c r="R24" t="s">
        <v>17</v>
      </c>
      <c r="S24">
        <f>S17/$V$17</f>
        <v>0</v>
      </c>
      <c r="T24">
        <f t="shared" ref="T24:U24" si="7">T17/$V$17</f>
        <v>0.23809523809523808</v>
      </c>
      <c r="U24">
        <f t="shared" si="7"/>
        <v>0.76190476190476186</v>
      </c>
    </row>
    <row r="25" spans="1:22" x14ac:dyDescent="0.3">
      <c r="A25">
        <v>24</v>
      </c>
      <c r="B25" s="2">
        <v>2</v>
      </c>
      <c r="C25" s="2">
        <v>2</v>
      </c>
      <c r="D25" s="1">
        <v>7</v>
      </c>
      <c r="E25" s="1">
        <v>6.5</v>
      </c>
      <c r="F25" s="1">
        <f t="shared" si="0"/>
        <v>1.3689000000000206E-2</v>
      </c>
      <c r="G25" s="1">
        <f t="shared" si="1"/>
        <v>0.11700000000000088</v>
      </c>
      <c r="H25" s="1">
        <f t="shared" si="2"/>
        <v>0.25</v>
      </c>
      <c r="I25">
        <f t="shared" si="3"/>
        <v>4.0716000000000606E-2</v>
      </c>
      <c r="L25" t="s">
        <v>33</v>
      </c>
    </row>
    <row r="26" spans="1:22" x14ac:dyDescent="0.3">
      <c r="A26">
        <v>25</v>
      </c>
      <c r="B26" s="2">
        <v>2</v>
      </c>
      <c r="C26" s="2">
        <v>2</v>
      </c>
      <c r="D26" s="1">
        <v>6.9</v>
      </c>
      <c r="E26" s="1">
        <v>6.2</v>
      </c>
      <c r="F26" s="1">
        <f t="shared" si="0"/>
        <v>0.1738890000000006</v>
      </c>
      <c r="G26" s="1">
        <f t="shared" si="1"/>
        <v>0.4170000000000007</v>
      </c>
      <c r="H26" s="1">
        <f t="shared" si="2"/>
        <v>0.54999999999999982</v>
      </c>
      <c r="I26">
        <f t="shared" si="3"/>
        <v>0.18681600000000123</v>
      </c>
      <c r="L26" t="s">
        <v>38</v>
      </c>
      <c r="M26">
        <f>SUM(F:F)</f>
        <v>61.621100000000034</v>
      </c>
    </row>
    <row r="27" spans="1:22" x14ac:dyDescent="0.3">
      <c r="A27">
        <v>26</v>
      </c>
      <c r="B27" s="2">
        <v>2</v>
      </c>
      <c r="C27" s="2">
        <v>2</v>
      </c>
      <c r="D27" s="1">
        <v>6</v>
      </c>
      <c r="E27" s="1">
        <v>6.9</v>
      </c>
      <c r="F27" s="1">
        <f t="shared" si="0"/>
        <v>8.0088999999999702E-2</v>
      </c>
      <c r="G27" s="1">
        <f t="shared" si="1"/>
        <v>0.28299999999999947</v>
      </c>
      <c r="H27" s="1">
        <f t="shared" si="2"/>
        <v>0.15000000000000036</v>
      </c>
      <c r="I27">
        <f t="shared" si="3"/>
        <v>-0.38148399999999999</v>
      </c>
      <c r="M27">
        <f>DEVSQ(E:E)</f>
        <v>61.621100000000034</v>
      </c>
      <c r="R27" s="4" t="s">
        <v>21</v>
      </c>
      <c r="S27" t="s">
        <v>12</v>
      </c>
      <c r="T27" t="s">
        <v>13</v>
      </c>
      <c r="U27" t="s">
        <v>14</v>
      </c>
    </row>
    <row r="28" spans="1:22" x14ac:dyDescent="0.3">
      <c r="A28">
        <v>27</v>
      </c>
      <c r="B28" s="2">
        <v>2</v>
      </c>
      <c r="C28" s="2">
        <v>3</v>
      </c>
      <c r="D28" s="1">
        <v>7</v>
      </c>
      <c r="E28" s="1">
        <v>6.5</v>
      </c>
      <c r="F28" s="1">
        <f t="shared" si="0"/>
        <v>1.3689000000000206E-2</v>
      </c>
      <c r="G28" s="1">
        <f t="shared" si="1"/>
        <v>0.11700000000000088</v>
      </c>
      <c r="H28" s="1">
        <f t="shared" si="2"/>
        <v>0.25</v>
      </c>
      <c r="I28">
        <f t="shared" si="3"/>
        <v>4.0716000000000606E-2</v>
      </c>
      <c r="L28" t="s">
        <v>39</v>
      </c>
      <c r="M28">
        <f>_xlfn.VAR.S(E:E)</f>
        <v>0.6224353535353474</v>
      </c>
      <c r="R28" t="s">
        <v>15</v>
      </c>
      <c r="S28">
        <f>S15/$S$18</f>
        <v>1</v>
      </c>
      <c r="T28">
        <f>T15/$T$18</f>
        <v>5.6338028169014086E-2</v>
      </c>
      <c r="U28">
        <f>U15/$U$18</f>
        <v>0</v>
      </c>
    </row>
    <row r="29" spans="1:22" x14ac:dyDescent="0.3">
      <c r="A29">
        <v>28</v>
      </c>
      <c r="B29" s="2">
        <v>3</v>
      </c>
      <c r="C29" s="2">
        <v>3</v>
      </c>
      <c r="D29" s="1">
        <v>6</v>
      </c>
      <c r="E29" s="1">
        <v>5.3</v>
      </c>
      <c r="F29" s="1">
        <f t="shared" si="0"/>
        <v>1.7344890000000028</v>
      </c>
      <c r="G29" s="1">
        <f t="shared" si="1"/>
        <v>1.3170000000000011</v>
      </c>
      <c r="H29" s="1">
        <f t="shared" si="2"/>
        <v>1.4500000000000002</v>
      </c>
      <c r="I29">
        <f t="shared" si="3"/>
        <v>1.7753160000000048</v>
      </c>
      <c r="L29" t="s">
        <v>40</v>
      </c>
      <c r="M29">
        <f>_xlfn.STDEV.S(E:E)</f>
        <v>0.78894572280692887</v>
      </c>
      <c r="R29" t="s">
        <v>16</v>
      </c>
      <c r="S29">
        <f>S16/$S$18</f>
        <v>0</v>
      </c>
      <c r="T29">
        <f>T16/$T$18</f>
        <v>0.87323943661971826</v>
      </c>
      <c r="U29">
        <f>U16/$U$18</f>
        <v>0.30434782608695654</v>
      </c>
    </row>
    <row r="30" spans="1:22" x14ac:dyDescent="0.3">
      <c r="A30">
        <v>29</v>
      </c>
      <c r="B30" s="2">
        <v>3</v>
      </c>
      <c r="C30" s="2">
        <v>3</v>
      </c>
      <c r="D30" s="1">
        <v>5.6</v>
      </c>
      <c r="E30" s="1">
        <v>7.1</v>
      </c>
      <c r="F30" s="1">
        <f t="shared" si="0"/>
        <v>0.2332889999999988</v>
      </c>
      <c r="G30" s="1">
        <f t="shared" si="1"/>
        <v>0.48299999999999876</v>
      </c>
      <c r="H30" s="1">
        <f t="shared" si="2"/>
        <v>0.34999999999999964</v>
      </c>
      <c r="I30">
        <f t="shared" si="3"/>
        <v>-0.84428399999999926</v>
      </c>
      <c r="L30" t="s">
        <v>41</v>
      </c>
      <c r="M30">
        <f>SUM(G:G)/100</f>
        <v>0.64197999999999977</v>
      </c>
      <c r="R30" t="s">
        <v>17</v>
      </c>
      <c r="S30">
        <f>S17/$S$18</f>
        <v>0</v>
      </c>
      <c r="T30">
        <f>T17/$T$18</f>
        <v>7.0422535211267609E-2</v>
      </c>
      <c r="U30">
        <f>U17/$U$18</f>
        <v>0.69565217391304346</v>
      </c>
    </row>
    <row r="31" spans="1:22" x14ac:dyDescent="0.3">
      <c r="A31">
        <v>30</v>
      </c>
      <c r="B31" s="2">
        <v>2</v>
      </c>
      <c r="C31" s="2">
        <v>1</v>
      </c>
      <c r="D31" s="1">
        <v>9</v>
      </c>
      <c r="E31" s="1">
        <v>6.9</v>
      </c>
      <c r="F31" s="1">
        <f t="shared" si="0"/>
        <v>8.0088999999999702E-2</v>
      </c>
      <c r="G31" s="1">
        <f t="shared" si="1"/>
        <v>0.28299999999999947</v>
      </c>
      <c r="H31" s="1">
        <f t="shared" si="2"/>
        <v>0.15000000000000036</v>
      </c>
      <c r="I31">
        <f t="shared" si="3"/>
        <v>0.46751599999999843</v>
      </c>
      <c r="L31" t="s">
        <v>42</v>
      </c>
      <c r="M31">
        <f>MAX(E:E)-MIN(E:E)</f>
        <v>3.0999999999999996</v>
      </c>
      <c r="T31">
        <f>T28+T29+T30</f>
        <v>1</v>
      </c>
      <c r="U31">
        <f>U28+U29+U30</f>
        <v>1</v>
      </c>
    </row>
    <row r="32" spans="1:22" x14ac:dyDescent="0.3">
      <c r="A32">
        <v>31</v>
      </c>
      <c r="B32" s="2">
        <v>2</v>
      </c>
      <c r="C32" s="2">
        <v>1</v>
      </c>
      <c r="D32" s="1">
        <v>8.6999999999999993</v>
      </c>
      <c r="E32" s="1">
        <v>8.1</v>
      </c>
      <c r="F32" s="1">
        <f t="shared" si="0"/>
        <v>2.1992889999999963</v>
      </c>
      <c r="G32" s="1">
        <f t="shared" si="1"/>
        <v>1.4829999999999988</v>
      </c>
      <c r="H32" s="1">
        <f t="shared" si="2"/>
        <v>1.3499999999999996</v>
      </c>
      <c r="I32">
        <f t="shared" si="3"/>
        <v>2.0050159999999937</v>
      </c>
      <c r="L32" t="s">
        <v>43</v>
      </c>
      <c r="M32">
        <f>SUM(H:H)/100</f>
        <v>0.63700000000000023</v>
      </c>
    </row>
    <row r="33" spans="1:21" x14ac:dyDescent="0.3">
      <c r="A33">
        <v>32</v>
      </c>
      <c r="B33" s="2">
        <v>1</v>
      </c>
      <c r="C33" s="2">
        <v>1</v>
      </c>
      <c r="D33" s="1">
        <v>8.5</v>
      </c>
      <c r="E33" s="1">
        <v>7.5</v>
      </c>
      <c r="F33" s="1">
        <f t="shared" si="0"/>
        <v>0.77968899999999841</v>
      </c>
      <c r="G33" s="1">
        <f t="shared" si="1"/>
        <v>0.88299999999999912</v>
      </c>
      <c r="H33" s="1">
        <f t="shared" si="2"/>
        <v>0.75</v>
      </c>
      <c r="I33">
        <f t="shared" si="3"/>
        <v>1.0172159999999968</v>
      </c>
    </row>
    <row r="34" spans="1:21" x14ac:dyDescent="0.3">
      <c r="A34">
        <v>33</v>
      </c>
      <c r="B34" s="2">
        <v>1</v>
      </c>
      <c r="C34" s="2">
        <v>1</v>
      </c>
      <c r="D34" s="1">
        <v>8.3000000000000007</v>
      </c>
      <c r="E34" s="1">
        <v>6.9</v>
      </c>
      <c r="F34" s="1">
        <f t="shared" si="0"/>
        <v>8.0088999999999702E-2</v>
      </c>
      <c r="G34" s="1">
        <f t="shared" si="1"/>
        <v>0.28299999999999947</v>
      </c>
      <c r="H34" s="1">
        <f t="shared" si="2"/>
        <v>0.15000000000000036</v>
      </c>
      <c r="I34">
        <f t="shared" si="3"/>
        <v>0.26941599999999899</v>
      </c>
      <c r="R34" s="4" t="s">
        <v>22</v>
      </c>
      <c r="S34" t="s">
        <v>12</v>
      </c>
      <c r="T34" t="s">
        <v>13</v>
      </c>
      <c r="U34" t="s">
        <v>14</v>
      </c>
    </row>
    <row r="35" spans="1:21" x14ac:dyDescent="0.3">
      <c r="A35">
        <v>34</v>
      </c>
      <c r="B35" s="2">
        <v>1</v>
      </c>
      <c r="C35" s="2">
        <v>1</v>
      </c>
      <c r="D35" s="1">
        <v>8.3000000000000007</v>
      </c>
      <c r="E35" s="1">
        <v>7.7</v>
      </c>
      <c r="F35" s="1">
        <f t="shared" si="0"/>
        <v>1.1728889999999985</v>
      </c>
      <c r="G35" s="1">
        <f t="shared" si="1"/>
        <v>1.0829999999999993</v>
      </c>
      <c r="H35" s="1">
        <f t="shared" si="2"/>
        <v>0.95000000000000018</v>
      </c>
      <c r="I35">
        <f t="shared" si="3"/>
        <v>1.0310159999999973</v>
      </c>
      <c r="L35" t="s">
        <v>45</v>
      </c>
      <c r="R35" t="s">
        <v>15</v>
      </c>
      <c r="S35">
        <f>COUNTIFS($B:$B,1,$C:$C,1)/V18</f>
        <v>0.06</v>
      </c>
      <c r="T35">
        <f>COUNTIFS($B:$B,2,$C:$C,1)/V18</f>
        <v>0.04</v>
      </c>
      <c r="U35">
        <f>COUNTIFS($B:$B,3,$C:$C,1)</f>
        <v>0</v>
      </c>
    </row>
    <row r="36" spans="1:21" x14ac:dyDescent="0.3">
      <c r="A36">
        <v>35</v>
      </c>
      <c r="B36" s="2">
        <v>1</v>
      </c>
      <c r="C36" s="2">
        <v>1</v>
      </c>
      <c r="D36" s="1">
        <v>8</v>
      </c>
      <c r="E36" s="1">
        <v>8</v>
      </c>
      <c r="F36" s="1">
        <f t="shared" si="0"/>
        <v>1.9126889999999976</v>
      </c>
      <c r="G36" s="1">
        <f t="shared" si="1"/>
        <v>1.3829999999999991</v>
      </c>
      <c r="H36" s="1">
        <f t="shared" si="2"/>
        <v>1.25</v>
      </c>
      <c r="I36">
        <f t="shared" si="3"/>
        <v>0.90171599999999597</v>
      </c>
      <c r="L36" t="s">
        <v>47</v>
      </c>
      <c r="M36">
        <f>SUM(I:I)</f>
        <v>13.258399999999995</v>
      </c>
      <c r="R36" t="s">
        <v>16</v>
      </c>
      <c r="S36">
        <f>COUNTIFS($B:$B,1,$C:$C,2)</f>
        <v>0</v>
      </c>
      <c r="T36">
        <f>COUNTIFS($B:$B,2,$C:$C,2)/V18</f>
        <v>0.62</v>
      </c>
      <c r="U36">
        <f>COUNTIFS($B:$B,3,$C:$C,2)/V18</f>
        <v>7.0000000000000007E-2</v>
      </c>
    </row>
    <row r="37" spans="1:21" x14ac:dyDescent="0.3">
      <c r="A37">
        <v>36</v>
      </c>
      <c r="B37" s="2">
        <v>2</v>
      </c>
      <c r="C37" s="2">
        <v>2</v>
      </c>
      <c r="D37" s="1">
        <v>9.3000000000000007</v>
      </c>
      <c r="E37" s="1">
        <v>7.3</v>
      </c>
      <c r="F37" s="1">
        <f t="shared" si="0"/>
        <v>0.46648899999999854</v>
      </c>
      <c r="G37" s="1">
        <f t="shared" si="1"/>
        <v>0.68299999999999894</v>
      </c>
      <c r="H37" s="1">
        <f t="shared" si="2"/>
        <v>0.54999999999999982</v>
      </c>
      <c r="I37">
        <f t="shared" si="3"/>
        <v>1.3332159999999966</v>
      </c>
      <c r="L37" t="s">
        <v>48</v>
      </c>
      <c r="M37">
        <f>M36/100</f>
        <v>0.13258399999999995</v>
      </c>
      <c r="R37" t="s">
        <v>17</v>
      </c>
      <c r="S37">
        <f>COUNTIFS($B:$B,1,$C:$C,3)</f>
        <v>0</v>
      </c>
      <c r="T37">
        <f>COUNTIFS($B:$B,2,$C:$C,3)/V18</f>
        <v>0.05</v>
      </c>
      <c r="U37">
        <f>COUNTIFS($B:$B,3,$C:$C,3)/V18</f>
        <v>0.16</v>
      </c>
    </row>
    <row r="38" spans="1:21" x14ac:dyDescent="0.3">
      <c r="A38">
        <v>37</v>
      </c>
      <c r="B38" s="2">
        <v>3</v>
      </c>
      <c r="C38" s="2">
        <v>2</v>
      </c>
      <c r="D38" s="1">
        <v>8.1999999999999993</v>
      </c>
      <c r="E38" s="1">
        <v>7</v>
      </c>
      <c r="F38" s="1">
        <f t="shared" si="0"/>
        <v>0.14668899999999932</v>
      </c>
      <c r="G38" s="1">
        <f t="shared" si="1"/>
        <v>0.38299999999999912</v>
      </c>
      <c r="H38" s="1">
        <f t="shared" si="2"/>
        <v>0.25</v>
      </c>
      <c r="I38">
        <f t="shared" si="3"/>
        <v>0.326315999999998</v>
      </c>
      <c r="M38">
        <f>_xlfn.COVARIANCE.P(D:D,E:E)</f>
        <v>0.13258399999999995</v>
      </c>
    </row>
    <row r="39" spans="1:21" x14ac:dyDescent="0.3">
      <c r="A39">
        <v>38</v>
      </c>
      <c r="B39" s="2">
        <v>2</v>
      </c>
      <c r="C39" s="2">
        <v>2</v>
      </c>
      <c r="D39" s="1">
        <v>8.1</v>
      </c>
      <c r="E39" s="1">
        <v>5.7</v>
      </c>
      <c r="F39" s="1">
        <f t="shared" si="0"/>
        <v>0.84088900000000133</v>
      </c>
      <c r="G39" s="1">
        <f t="shared" si="1"/>
        <v>0.9170000000000007</v>
      </c>
      <c r="H39" s="1">
        <f t="shared" si="2"/>
        <v>1.0499999999999998</v>
      </c>
      <c r="I39">
        <f t="shared" si="3"/>
        <v>-0.68958399999999787</v>
      </c>
      <c r="L39" t="s">
        <v>49</v>
      </c>
      <c r="M39">
        <f>CORREL(D:D,E:E)</f>
        <v>0.16639695980852071</v>
      </c>
    </row>
    <row r="40" spans="1:21" x14ac:dyDescent="0.3">
      <c r="A40">
        <v>39</v>
      </c>
      <c r="B40" s="2">
        <v>2</v>
      </c>
      <c r="C40" s="2">
        <v>2</v>
      </c>
      <c r="D40" s="1">
        <v>7.8</v>
      </c>
      <c r="E40" s="1">
        <v>6.5</v>
      </c>
      <c r="F40" s="1">
        <f t="shared" si="0"/>
        <v>1.3689000000000206E-2</v>
      </c>
      <c r="G40" s="1">
        <f t="shared" si="1"/>
        <v>0.11700000000000088</v>
      </c>
      <c r="H40" s="1">
        <f t="shared" si="2"/>
        <v>0.25</v>
      </c>
      <c r="I40">
        <f t="shared" si="3"/>
        <v>-5.2884000000000084E-2</v>
      </c>
    </row>
    <row r="41" spans="1:21" x14ac:dyDescent="0.3">
      <c r="A41">
        <v>40</v>
      </c>
      <c r="B41" s="2">
        <v>2</v>
      </c>
      <c r="C41" s="2">
        <v>2</v>
      </c>
      <c r="D41" s="1">
        <v>7.6</v>
      </c>
      <c r="E41" s="1">
        <v>6.7</v>
      </c>
      <c r="F41" s="1">
        <f t="shared" si="0"/>
        <v>6.8889999999998831E-3</v>
      </c>
      <c r="G41" s="1">
        <f t="shared" si="1"/>
        <v>8.2999999999999297E-2</v>
      </c>
      <c r="H41" s="1">
        <f t="shared" si="2"/>
        <v>4.9999999999999822E-2</v>
      </c>
      <c r="I41">
        <f t="shared" si="3"/>
        <v>2.0915999999999584E-2</v>
      </c>
    </row>
    <row r="42" spans="1:21" x14ac:dyDescent="0.3">
      <c r="A42">
        <v>41</v>
      </c>
      <c r="B42" s="2">
        <v>2</v>
      </c>
      <c r="C42" s="2">
        <v>2</v>
      </c>
      <c r="D42" s="1">
        <v>6.8</v>
      </c>
      <c r="E42" s="1">
        <v>6.5</v>
      </c>
      <c r="F42" s="1">
        <f t="shared" si="0"/>
        <v>1.3689000000000206E-2</v>
      </c>
      <c r="G42" s="1">
        <f t="shared" si="1"/>
        <v>0.11700000000000088</v>
      </c>
      <c r="H42" s="1">
        <f t="shared" si="2"/>
        <v>0.25</v>
      </c>
      <c r="I42">
        <f t="shared" si="3"/>
        <v>6.4116000000000797E-2</v>
      </c>
    </row>
    <row r="43" spans="1:21" x14ac:dyDescent="0.3">
      <c r="A43">
        <v>42</v>
      </c>
      <c r="B43" s="2">
        <v>2</v>
      </c>
      <c r="C43" s="2">
        <v>2</v>
      </c>
      <c r="D43" s="1">
        <v>6.5</v>
      </c>
      <c r="E43" s="1">
        <v>7.3</v>
      </c>
      <c r="F43" s="1">
        <f t="shared" si="0"/>
        <v>0.46648899999999854</v>
      </c>
      <c r="G43" s="1">
        <f t="shared" si="1"/>
        <v>0.68299999999999894</v>
      </c>
      <c r="H43" s="1">
        <f t="shared" si="2"/>
        <v>0.54999999999999982</v>
      </c>
      <c r="I43">
        <f t="shared" si="3"/>
        <v>-0.57918400000000081</v>
      </c>
    </row>
    <row r="44" spans="1:21" x14ac:dyDescent="0.3">
      <c r="A44">
        <v>43</v>
      </c>
      <c r="B44" s="2">
        <v>2</v>
      </c>
      <c r="C44" s="2">
        <v>2</v>
      </c>
      <c r="D44" s="1">
        <v>6.4</v>
      </c>
      <c r="E44" s="1">
        <v>7.3</v>
      </c>
      <c r="F44" s="1">
        <f t="shared" si="0"/>
        <v>0.46648899999999854</v>
      </c>
      <c r="G44" s="1">
        <f t="shared" si="1"/>
        <v>0.68299999999999894</v>
      </c>
      <c r="H44" s="1">
        <f t="shared" si="2"/>
        <v>0.54999999999999982</v>
      </c>
      <c r="I44">
        <f t="shared" si="3"/>
        <v>-0.6474840000000005</v>
      </c>
    </row>
    <row r="45" spans="1:21" x14ac:dyDescent="0.3">
      <c r="A45">
        <v>44</v>
      </c>
      <c r="B45" s="2">
        <v>3</v>
      </c>
      <c r="C45" s="2">
        <v>3</v>
      </c>
      <c r="D45" s="1">
        <v>7</v>
      </c>
      <c r="E45" s="1">
        <v>5</v>
      </c>
      <c r="F45" s="1">
        <f t="shared" si="0"/>
        <v>2.6146890000000029</v>
      </c>
      <c r="G45" s="1">
        <f t="shared" si="1"/>
        <v>1.6170000000000009</v>
      </c>
      <c r="H45" s="1">
        <f t="shared" si="2"/>
        <v>1.75</v>
      </c>
      <c r="I45">
        <f t="shared" si="3"/>
        <v>0.56271600000000443</v>
      </c>
    </row>
    <row r="46" spans="1:21" x14ac:dyDescent="0.3">
      <c r="A46">
        <v>45</v>
      </c>
      <c r="B46" s="2">
        <v>3</v>
      </c>
      <c r="C46" s="2">
        <v>3</v>
      </c>
      <c r="D46" s="1">
        <v>6.7</v>
      </c>
      <c r="E46" s="1">
        <v>5.5</v>
      </c>
      <c r="F46" s="1">
        <f t="shared" si="0"/>
        <v>1.247689000000002</v>
      </c>
      <c r="G46" s="1">
        <f t="shared" si="1"/>
        <v>1.1170000000000009</v>
      </c>
      <c r="H46" s="1">
        <f t="shared" si="2"/>
        <v>1.25</v>
      </c>
      <c r="I46">
        <f t="shared" si="3"/>
        <v>0.72381600000000323</v>
      </c>
    </row>
    <row r="47" spans="1:21" x14ac:dyDescent="0.3">
      <c r="A47">
        <v>46</v>
      </c>
      <c r="B47" s="2">
        <v>3</v>
      </c>
      <c r="C47" s="2">
        <v>3</v>
      </c>
      <c r="D47" s="1">
        <v>6</v>
      </c>
      <c r="E47" s="1">
        <v>6.7</v>
      </c>
      <c r="F47" s="1">
        <f t="shared" si="0"/>
        <v>6.8889999999998831E-3</v>
      </c>
      <c r="G47" s="1">
        <f t="shared" si="1"/>
        <v>8.2999999999999297E-2</v>
      </c>
      <c r="H47" s="1">
        <f t="shared" si="2"/>
        <v>4.9999999999999822E-2</v>
      </c>
      <c r="I47">
        <f t="shared" si="3"/>
        <v>-0.11188399999999926</v>
      </c>
    </row>
    <row r="48" spans="1:21" x14ac:dyDescent="0.3">
      <c r="A48">
        <v>47</v>
      </c>
      <c r="B48" s="2">
        <v>2</v>
      </c>
      <c r="C48" s="2">
        <v>2</v>
      </c>
      <c r="D48" s="1">
        <v>7.7</v>
      </c>
      <c r="E48" s="1">
        <v>7</v>
      </c>
      <c r="F48" s="1">
        <f t="shared" si="0"/>
        <v>0.14668899999999932</v>
      </c>
      <c r="G48" s="1">
        <f t="shared" si="1"/>
        <v>0.38299999999999912</v>
      </c>
      <c r="H48" s="1">
        <f t="shared" si="2"/>
        <v>0.25</v>
      </c>
      <c r="I48">
        <f t="shared" si="3"/>
        <v>0.1348159999999988</v>
      </c>
    </row>
    <row r="49" spans="1:9" x14ac:dyDescent="0.3">
      <c r="A49">
        <v>48</v>
      </c>
      <c r="B49" s="2">
        <v>2</v>
      </c>
      <c r="C49" s="2">
        <v>2</v>
      </c>
      <c r="D49" s="1">
        <v>7.4</v>
      </c>
      <c r="E49" s="1">
        <v>6.9</v>
      </c>
      <c r="F49" s="1">
        <f t="shared" si="0"/>
        <v>8.0088999999999702E-2</v>
      </c>
      <c r="G49" s="1">
        <f t="shared" si="1"/>
        <v>0.28299999999999947</v>
      </c>
      <c r="H49" s="1">
        <f t="shared" si="2"/>
        <v>0.15000000000000036</v>
      </c>
      <c r="I49">
        <f t="shared" si="3"/>
        <v>1.4715999999999358E-2</v>
      </c>
    </row>
    <row r="50" spans="1:9" x14ac:dyDescent="0.3">
      <c r="A50">
        <v>49</v>
      </c>
      <c r="B50" s="2">
        <v>2</v>
      </c>
      <c r="C50" s="2">
        <v>3</v>
      </c>
      <c r="D50" s="1">
        <v>7.2</v>
      </c>
      <c r="E50" s="1">
        <v>5.6</v>
      </c>
      <c r="F50" s="1">
        <f t="shared" si="0"/>
        <v>1.0342890000000025</v>
      </c>
      <c r="G50" s="1">
        <f t="shared" si="1"/>
        <v>1.0170000000000012</v>
      </c>
      <c r="H50" s="1">
        <f t="shared" si="2"/>
        <v>1.1500000000000004</v>
      </c>
      <c r="I50">
        <f t="shared" si="3"/>
        <v>0.15051600000000256</v>
      </c>
    </row>
    <row r="51" spans="1:9" x14ac:dyDescent="0.3">
      <c r="A51">
        <v>50</v>
      </c>
      <c r="B51" s="2">
        <v>3</v>
      </c>
      <c r="C51" s="2">
        <v>3</v>
      </c>
      <c r="D51" s="1">
        <v>6.5</v>
      </c>
      <c r="E51" s="1">
        <v>5.2</v>
      </c>
      <c r="F51" s="1">
        <f t="shared" si="0"/>
        <v>2.0078890000000018</v>
      </c>
      <c r="G51" s="1">
        <f t="shared" si="1"/>
        <v>1.4170000000000007</v>
      </c>
      <c r="H51" s="1">
        <f t="shared" si="2"/>
        <v>1.5499999999999998</v>
      </c>
      <c r="I51">
        <f t="shared" si="3"/>
        <v>1.2016160000000042</v>
      </c>
    </row>
    <row r="52" spans="1:9" x14ac:dyDescent="0.3">
      <c r="A52">
        <v>51</v>
      </c>
      <c r="B52" s="2">
        <v>2</v>
      </c>
      <c r="C52" s="2">
        <v>3</v>
      </c>
      <c r="D52" s="1">
        <v>6</v>
      </c>
      <c r="E52" s="1">
        <v>8</v>
      </c>
      <c r="F52" s="1">
        <f t="shared" si="0"/>
        <v>1.9126889999999976</v>
      </c>
      <c r="G52" s="1">
        <f t="shared" si="1"/>
        <v>1.3829999999999991</v>
      </c>
      <c r="H52" s="1">
        <f t="shared" si="2"/>
        <v>1.25</v>
      </c>
      <c r="I52">
        <f t="shared" si="3"/>
        <v>-1.8642840000000023</v>
      </c>
    </row>
    <row r="53" spans="1:9" x14ac:dyDescent="0.3">
      <c r="A53">
        <v>52</v>
      </c>
      <c r="B53" s="2">
        <v>2</v>
      </c>
      <c r="C53" s="2">
        <v>2</v>
      </c>
      <c r="D53" s="1">
        <v>7.5</v>
      </c>
      <c r="E53" s="1">
        <v>6.9</v>
      </c>
      <c r="F53" s="1">
        <f t="shared" si="0"/>
        <v>8.0088999999999702E-2</v>
      </c>
      <c r="G53" s="1">
        <f t="shared" si="1"/>
        <v>0.28299999999999947</v>
      </c>
      <c r="H53" s="1">
        <f t="shared" si="2"/>
        <v>0.15000000000000036</v>
      </c>
      <c r="I53">
        <f t="shared" si="3"/>
        <v>4.3015999999999208E-2</v>
      </c>
    </row>
    <row r="54" spans="1:9" x14ac:dyDescent="0.3">
      <c r="A54">
        <v>53</v>
      </c>
      <c r="B54" s="2">
        <v>2</v>
      </c>
      <c r="C54" s="2">
        <v>2</v>
      </c>
      <c r="D54" s="1">
        <v>7.3</v>
      </c>
      <c r="E54" s="1">
        <v>6.5</v>
      </c>
      <c r="F54" s="1">
        <f t="shared" si="0"/>
        <v>1.3689000000000206E-2</v>
      </c>
      <c r="G54" s="1">
        <f t="shared" si="1"/>
        <v>0.11700000000000088</v>
      </c>
      <c r="H54" s="1">
        <f t="shared" si="2"/>
        <v>0.25</v>
      </c>
      <c r="I54">
        <f t="shared" si="3"/>
        <v>5.6160000000003594E-3</v>
      </c>
    </row>
    <row r="55" spans="1:9" x14ac:dyDescent="0.3">
      <c r="A55">
        <v>54</v>
      </c>
      <c r="B55" s="2">
        <v>2</v>
      </c>
      <c r="C55" s="2">
        <v>2</v>
      </c>
      <c r="D55" s="1">
        <v>7.1</v>
      </c>
      <c r="E55" s="1">
        <v>5.3</v>
      </c>
      <c r="F55" s="1">
        <f t="shared" si="0"/>
        <v>1.7344890000000028</v>
      </c>
      <c r="G55" s="1">
        <f t="shared" si="1"/>
        <v>1.3170000000000011</v>
      </c>
      <c r="H55" s="1">
        <f t="shared" si="2"/>
        <v>1.4500000000000002</v>
      </c>
      <c r="I55">
        <f t="shared" si="3"/>
        <v>0.32661600000000407</v>
      </c>
    </row>
    <row r="56" spans="1:9" x14ac:dyDescent="0.3">
      <c r="A56">
        <v>55</v>
      </c>
      <c r="B56" s="2">
        <v>2</v>
      </c>
      <c r="C56" s="2">
        <v>2</v>
      </c>
      <c r="D56" s="1">
        <v>7</v>
      </c>
      <c r="E56" s="1">
        <v>7.7</v>
      </c>
      <c r="F56" s="1">
        <f t="shared" si="0"/>
        <v>1.1728889999999985</v>
      </c>
      <c r="G56" s="1">
        <f t="shared" si="1"/>
        <v>1.0829999999999993</v>
      </c>
      <c r="H56" s="1">
        <f t="shared" si="2"/>
        <v>0.95000000000000018</v>
      </c>
      <c r="I56">
        <f t="shared" si="3"/>
        <v>-0.37688400000000249</v>
      </c>
    </row>
    <row r="57" spans="1:9" x14ac:dyDescent="0.3">
      <c r="A57">
        <v>56</v>
      </c>
      <c r="B57" s="2">
        <v>2</v>
      </c>
      <c r="C57" s="2">
        <v>2</v>
      </c>
      <c r="D57" s="1">
        <v>7</v>
      </c>
      <c r="E57" s="1">
        <v>7.2</v>
      </c>
      <c r="F57" s="1">
        <f t="shared" si="0"/>
        <v>0.33988899999999916</v>
      </c>
      <c r="G57" s="1">
        <f t="shared" si="1"/>
        <v>0.5829999999999993</v>
      </c>
      <c r="H57" s="1">
        <f t="shared" si="2"/>
        <v>0.45000000000000018</v>
      </c>
      <c r="I57">
        <f t="shared" si="3"/>
        <v>-0.20288400000000123</v>
      </c>
    </row>
    <row r="58" spans="1:9" x14ac:dyDescent="0.3">
      <c r="A58">
        <v>57</v>
      </c>
      <c r="B58" s="2">
        <v>2</v>
      </c>
      <c r="C58" s="2">
        <v>2</v>
      </c>
      <c r="D58" s="1">
        <v>7</v>
      </c>
      <c r="E58" s="1">
        <v>6</v>
      </c>
      <c r="F58" s="1">
        <f t="shared" si="0"/>
        <v>0.38068900000000111</v>
      </c>
      <c r="G58" s="1">
        <f t="shared" si="1"/>
        <v>0.61700000000000088</v>
      </c>
      <c r="H58" s="1">
        <f t="shared" si="2"/>
        <v>0.75</v>
      </c>
      <c r="I58">
        <f t="shared" si="3"/>
        <v>0.21471600000000188</v>
      </c>
    </row>
    <row r="59" spans="1:9" x14ac:dyDescent="0.3">
      <c r="A59">
        <v>58</v>
      </c>
      <c r="B59" s="2">
        <v>2</v>
      </c>
      <c r="C59" s="2">
        <v>2</v>
      </c>
      <c r="D59" s="1">
        <v>6.7</v>
      </c>
      <c r="E59" s="1">
        <v>7</v>
      </c>
      <c r="F59" s="1">
        <f t="shared" si="0"/>
        <v>0.14668899999999932</v>
      </c>
      <c r="G59" s="1">
        <f t="shared" si="1"/>
        <v>0.38299999999999912</v>
      </c>
      <c r="H59" s="1">
        <f t="shared" si="2"/>
        <v>0.25</v>
      </c>
      <c r="I59">
        <f t="shared" si="3"/>
        <v>-0.24818400000000032</v>
      </c>
    </row>
    <row r="60" spans="1:9" x14ac:dyDescent="0.3">
      <c r="A60">
        <v>59</v>
      </c>
      <c r="B60" s="2">
        <v>3</v>
      </c>
      <c r="C60" s="2">
        <v>3</v>
      </c>
      <c r="D60" s="1">
        <v>5</v>
      </c>
      <c r="E60" s="1">
        <v>7.7</v>
      </c>
      <c r="F60" s="1">
        <f t="shared" si="0"/>
        <v>1.1728889999999985</v>
      </c>
      <c r="G60" s="1">
        <f t="shared" si="1"/>
        <v>1.0829999999999993</v>
      </c>
      <c r="H60" s="1">
        <f t="shared" si="2"/>
        <v>0.95000000000000018</v>
      </c>
      <c r="I60">
        <f t="shared" si="3"/>
        <v>-2.5428840000000013</v>
      </c>
    </row>
    <row r="61" spans="1:9" x14ac:dyDescent="0.3">
      <c r="A61">
        <v>60</v>
      </c>
      <c r="B61" s="2">
        <v>2</v>
      </c>
      <c r="C61" s="2">
        <v>1</v>
      </c>
      <c r="D61" s="1">
        <v>8.8000000000000007</v>
      </c>
      <c r="E61" s="1">
        <v>6.9</v>
      </c>
      <c r="F61" s="1">
        <f t="shared" si="0"/>
        <v>8.0088999999999702E-2</v>
      </c>
      <c r="G61" s="1">
        <f t="shared" si="1"/>
        <v>0.28299999999999947</v>
      </c>
      <c r="H61" s="1">
        <f t="shared" si="2"/>
        <v>0.15000000000000036</v>
      </c>
      <c r="I61">
        <f t="shared" si="3"/>
        <v>0.41091599999999873</v>
      </c>
    </row>
    <row r="62" spans="1:9" x14ac:dyDescent="0.3">
      <c r="A62">
        <v>61</v>
      </c>
      <c r="B62" s="2">
        <v>2</v>
      </c>
      <c r="C62" s="2">
        <v>1</v>
      </c>
      <c r="D62" s="1">
        <v>7</v>
      </c>
      <c r="E62" s="1">
        <v>8</v>
      </c>
      <c r="F62" s="1">
        <f t="shared" si="0"/>
        <v>1.9126889999999976</v>
      </c>
      <c r="G62" s="1">
        <f t="shared" si="1"/>
        <v>1.3829999999999991</v>
      </c>
      <c r="H62" s="1">
        <f t="shared" si="2"/>
        <v>1.25</v>
      </c>
      <c r="I62">
        <f t="shared" si="3"/>
        <v>-0.48128400000000321</v>
      </c>
    </row>
    <row r="63" spans="1:9" x14ac:dyDescent="0.3">
      <c r="A63">
        <v>62</v>
      </c>
      <c r="B63" s="2">
        <v>2</v>
      </c>
      <c r="C63" s="2">
        <v>2</v>
      </c>
      <c r="D63" s="1">
        <v>9.3000000000000007</v>
      </c>
      <c r="E63" s="1">
        <v>7.8</v>
      </c>
      <c r="F63" s="1">
        <f t="shared" si="0"/>
        <v>1.3994889999999975</v>
      </c>
      <c r="G63" s="1">
        <f t="shared" si="1"/>
        <v>1.1829999999999989</v>
      </c>
      <c r="H63" s="1">
        <f t="shared" si="2"/>
        <v>1.0499999999999998</v>
      </c>
      <c r="I63">
        <f t="shared" si="3"/>
        <v>2.3092159999999957</v>
      </c>
    </row>
    <row r="64" spans="1:9" x14ac:dyDescent="0.3">
      <c r="A64">
        <v>63</v>
      </c>
      <c r="B64" s="2">
        <v>2</v>
      </c>
      <c r="C64" s="2">
        <v>2</v>
      </c>
      <c r="D64" s="1">
        <v>9.1999999999999993</v>
      </c>
      <c r="E64" s="1">
        <v>6.6</v>
      </c>
      <c r="F64" s="1">
        <f t="shared" si="0"/>
        <v>2.8900000000004204E-4</v>
      </c>
      <c r="G64" s="1">
        <f t="shared" si="1"/>
        <v>1.7000000000001236E-2</v>
      </c>
      <c r="H64" s="1">
        <f t="shared" si="2"/>
        <v>0.15000000000000036</v>
      </c>
      <c r="I64">
        <f t="shared" si="3"/>
        <v>-3.1484000000002232E-2</v>
      </c>
    </row>
    <row r="65" spans="1:9" x14ac:dyDescent="0.3">
      <c r="A65">
        <v>64</v>
      </c>
      <c r="B65" s="2">
        <v>2</v>
      </c>
      <c r="C65" s="2">
        <v>2</v>
      </c>
      <c r="D65" s="1">
        <v>8.6999999999999993</v>
      </c>
      <c r="E65" s="1">
        <v>7.8</v>
      </c>
      <c r="F65" s="1">
        <f t="shared" si="0"/>
        <v>1.3994889999999975</v>
      </c>
      <c r="G65" s="1">
        <f t="shared" si="1"/>
        <v>1.1829999999999989</v>
      </c>
      <c r="H65" s="1">
        <f t="shared" si="2"/>
        <v>1.0499999999999998</v>
      </c>
      <c r="I65">
        <f t="shared" si="3"/>
        <v>1.5994159999999948</v>
      </c>
    </row>
    <row r="66" spans="1:9" x14ac:dyDescent="0.3">
      <c r="A66">
        <v>65</v>
      </c>
      <c r="B66" s="2">
        <v>2</v>
      </c>
      <c r="C66" s="2">
        <v>2</v>
      </c>
      <c r="D66" s="1">
        <v>8.6999999999999993</v>
      </c>
      <c r="E66" s="1">
        <v>6.8</v>
      </c>
      <c r="F66" s="1">
        <f t="shared" si="0"/>
        <v>3.3488999999999609E-2</v>
      </c>
      <c r="G66" s="1">
        <f t="shared" si="1"/>
        <v>0.18299999999999894</v>
      </c>
      <c r="H66" s="1">
        <f t="shared" si="2"/>
        <v>4.9999999999999822E-2</v>
      </c>
      <c r="I66">
        <f t="shared" si="3"/>
        <v>0.24741599999999797</v>
      </c>
    </row>
    <row r="67" spans="1:9" x14ac:dyDescent="0.3">
      <c r="A67">
        <v>66</v>
      </c>
      <c r="B67" s="2">
        <v>2</v>
      </c>
      <c r="C67" s="2">
        <v>2</v>
      </c>
      <c r="D67" s="1">
        <v>8.6999999999999993</v>
      </c>
      <c r="E67" s="1">
        <v>7</v>
      </c>
      <c r="F67" s="1">
        <f t="shared" ref="F67:F101" si="8">(E67-AVERAGE($E:$E))^2</f>
        <v>0.14668899999999932</v>
      </c>
      <c r="G67" s="1">
        <f t="shared" ref="G67:G101" si="9">ABS(E67-AVERAGE($E:$E))</f>
        <v>0.38299999999999912</v>
      </c>
      <c r="H67" s="1">
        <f t="shared" ref="H67:H101" si="10">ABS(E67-MEDIAN($E:$E))</f>
        <v>0.25</v>
      </c>
      <c r="I67">
        <f t="shared" ref="I67:I101" si="11">(D67-AVERAGE($D:$D))*(E67-AVERAGE($E:$E))</f>
        <v>0.51781599999999761</v>
      </c>
    </row>
    <row r="68" spans="1:9" x14ac:dyDescent="0.3">
      <c r="A68">
        <v>67</v>
      </c>
      <c r="B68" s="2">
        <v>3</v>
      </c>
      <c r="C68" s="2">
        <v>2</v>
      </c>
      <c r="D68" s="1">
        <v>8.6</v>
      </c>
      <c r="E68" s="1">
        <v>5.5</v>
      </c>
      <c r="F68" s="1">
        <f t="shared" si="8"/>
        <v>1.247689000000002</v>
      </c>
      <c r="G68" s="1">
        <f t="shared" si="9"/>
        <v>1.1170000000000009</v>
      </c>
      <c r="H68" s="1">
        <f t="shared" si="10"/>
        <v>1.25</v>
      </c>
      <c r="I68">
        <f t="shared" si="11"/>
        <v>-1.3984839999999978</v>
      </c>
    </row>
    <row r="69" spans="1:9" x14ac:dyDescent="0.3">
      <c r="A69">
        <v>68</v>
      </c>
      <c r="B69" s="2">
        <v>2</v>
      </c>
      <c r="C69" s="2">
        <v>2</v>
      </c>
      <c r="D69" s="1">
        <v>8.6</v>
      </c>
      <c r="E69" s="1">
        <v>5.9</v>
      </c>
      <c r="F69" s="1">
        <f t="shared" si="8"/>
        <v>0.5140890000000008</v>
      </c>
      <c r="G69" s="1">
        <f t="shared" si="9"/>
        <v>0.71700000000000053</v>
      </c>
      <c r="H69" s="1">
        <f t="shared" si="10"/>
        <v>0.84999999999999964</v>
      </c>
      <c r="I69">
        <f t="shared" si="11"/>
        <v>-0.89768399999999859</v>
      </c>
    </row>
    <row r="70" spans="1:9" x14ac:dyDescent="0.3">
      <c r="A70">
        <v>69</v>
      </c>
      <c r="B70" s="2">
        <v>2</v>
      </c>
      <c r="C70" s="2">
        <v>2</v>
      </c>
      <c r="D70" s="1">
        <v>8.4</v>
      </c>
      <c r="E70" s="1">
        <v>7</v>
      </c>
      <c r="F70" s="1">
        <f t="shared" si="8"/>
        <v>0.14668899999999932</v>
      </c>
      <c r="G70" s="1">
        <f t="shared" si="9"/>
        <v>0.38299999999999912</v>
      </c>
      <c r="H70" s="1">
        <f t="shared" si="10"/>
        <v>0.25</v>
      </c>
      <c r="I70">
        <f t="shared" si="11"/>
        <v>0.40291599999999822</v>
      </c>
    </row>
    <row r="71" spans="1:9" x14ac:dyDescent="0.3">
      <c r="A71">
        <v>70</v>
      </c>
      <c r="B71" s="2">
        <v>3</v>
      </c>
      <c r="C71" s="2">
        <v>2</v>
      </c>
      <c r="D71" s="1">
        <v>8.1999999999999993</v>
      </c>
      <c r="E71" s="1">
        <v>5.3</v>
      </c>
      <c r="F71" s="1">
        <f t="shared" si="8"/>
        <v>1.7344890000000028</v>
      </c>
      <c r="G71" s="1">
        <f t="shared" si="9"/>
        <v>1.3170000000000011</v>
      </c>
      <c r="H71" s="1">
        <f t="shared" si="10"/>
        <v>1.4500000000000002</v>
      </c>
      <c r="I71">
        <f t="shared" si="11"/>
        <v>-1.1220839999999965</v>
      </c>
    </row>
    <row r="72" spans="1:9" x14ac:dyDescent="0.3">
      <c r="A72">
        <v>71</v>
      </c>
      <c r="B72" s="2">
        <v>2</v>
      </c>
      <c r="C72" s="2">
        <v>2</v>
      </c>
      <c r="D72" s="1">
        <v>8.1</v>
      </c>
      <c r="E72" s="1">
        <v>5.9</v>
      </c>
      <c r="F72" s="1">
        <f t="shared" si="8"/>
        <v>0.5140890000000008</v>
      </c>
      <c r="G72" s="1">
        <f t="shared" si="9"/>
        <v>0.71700000000000053</v>
      </c>
      <c r="H72" s="1">
        <f t="shared" si="10"/>
        <v>0.84999999999999964</v>
      </c>
      <c r="I72">
        <f t="shared" si="11"/>
        <v>-0.53918399999999833</v>
      </c>
    </row>
    <row r="73" spans="1:9" x14ac:dyDescent="0.3">
      <c r="A73">
        <v>72</v>
      </c>
      <c r="B73" s="2">
        <v>2</v>
      </c>
      <c r="C73" s="2">
        <v>2</v>
      </c>
      <c r="D73" s="1">
        <v>8.1</v>
      </c>
      <c r="E73" s="1">
        <v>7.5</v>
      </c>
      <c r="F73" s="1">
        <f t="shared" si="8"/>
        <v>0.77968899999999841</v>
      </c>
      <c r="G73" s="1">
        <f t="shared" si="9"/>
        <v>0.88299999999999912</v>
      </c>
      <c r="H73" s="1">
        <f t="shared" si="10"/>
        <v>0.75</v>
      </c>
      <c r="I73">
        <f t="shared" si="11"/>
        <v>0.66401599999999683</v>
      </c>
    </row>
    <row r="74" spans="1:9" x14ac:dyDescent="0.3">
      <c r="A74">
        <v>73</v>
      </c>
      <c r="B74" s="2">
        <v>2</v>
      </c>
      <c r="C74" s="2">
        <v>2</v>
      </c>
      <c r="D74" s="1">
        <v>8</v>
      </c>
      <c r="E74" s="1">
        <v>6.3</v>
      </c>
      <c r="F74" s="1">
        <f t="shared" si="8"/>
        <v>0.10048900000000068</v>
      </c>
      <c r="G74" s="1">
        <f t="shared" si="9"/>
        <v>0.31700000000000106</v>
      </c>
      <c r="H74" s="1">
        <f t="shared" si="10"/>
        <v>0.45000000000000018</v>
      </c>
      <c r="I74">
        <f t="shared" si="11"/>
        <v>-0.2066839999999999</v>
      </c>
    </row>
    <row r="75" spans="1:9" x14ac:dyDescent="0.3">
      <c r="A75">
        <v>74</v>
      </c>
      <c r="B75" s="2">
        <v>2</v>
      </c>
      <c r="C75" s="2">
        <v>2</v>
      </c>
      <c r="D75" s="1">
        <v>8</v>
      </c>
      <c r="E75" s="1">
        <v>6.5</v>
      </c>
      <c r="F75" s="1">
        <f t="shared" si="8"/>
        <v>1.3689000000000206E-2</v>
      </c>
      <c r="G75" s="1">
        <f t="shared" si="9"/>
        <v>0.11700000000000088</v>
      </c>
      <c r="H75" s="1">
        <f t="shared" si="10"/>
        <v>0.25</v>
      </c>
      <c r="I75">
        <f t="shared" si="11"/>
        <v>-7.6284000000000282E-2</v>
      </c>
    </row>
    <row r="76" spans="1:9" x14ac:dyDescent="0.3">
      <c r="A76">
        <v>75</v>
      </c>
      <c r="B76" s="2">
        <v>2</v>
      </c>
      <c r="C76" s="2">
        <v>2</v>
      </c>
      <c r="D76" s="1">
        <v>8</v>
      </c>
      <c r="E76" s="1">
        <v>7</v>
      </c>
      <c r="F76" s="1">
        <f t="shared" si="8"/>
        <v>0.14668899999999932</v>
      </c>
      <c r="G76" s="1">
        <f t="shared" si="9"/>
        <v>0.38299999999999912</v>
      </c>
      <c r="H76" s="1">
        <f t="shared" si="10"/>
        <v>0.25</v>
      </c>
      <c r="I76">
        <f t="shared" si="11"/>
        <v>0.24971599999999847</v>
      </c>
    </row>
    <row r="77" spans="1:9" x14ac:dyDescent="0.3">
      <c r="A77">
        <v>76</v>
      </c>
      <c r="B77" s="2">
        <v>2</v>
      </c>
      <c r="C77" s="2">
        <v>2</v>
      </c>
      <c r="D77" s="1">
        <v>7.9</v>
      </c>
      <c r="E77" s="1">
        <v>7</v>
      </c>
      <c r="F77" s="1">
        <f t="shared" si="8"/>
        <v>0.14668899999999932</v>
      </c>
      <c r="G77" s="1">
        <f t="shared" si="9"/>
        <v>0.38299999999999912</v>
      </c>
      <c r="H77" s="1">
        <f t="shared" si="10"/>
        <v>0.25</v>
      </c>
      <c r="I77">
        <f t="shared" si="11"/>
        <v>0.21141599999999869</v>
      </c>
    </row>
    <row r="78" spans="1:9" x14ac:dyDescent="0.3">
      <c r="A78">
        <v>77</v>
      </c>
      <c r="B78" s="2">
        <v>2</v>
      </c>
      <c r="C78" s="2">
        <v>2</v>
      </c>
      <c r="D78" s="1">
        <v>7.6</v>
      </c>
      <c r="E78" s="1">
        <v>6.5</v>
      </c>
      <c r="F78" s="1">
        <f t="shared" si="8"/>
        <v>1.3689000000000206E-2</v>
      </c>
      <c r="G78" s="1">
        <f t="shared" si="9"/>
        <v>0.11700000000000088</v>
      </c>
      <c r="H78" s="1">
        <f t="shared" si="10"/>
        <v>0.25</v>
      </c>
      <c r="I78">
        <f t="shared" si="11"/>
        <v>-2.9483999999999885E-2</v>
      </c>
    </row>
    <row r="79" spans="1:9" x14ac:dyDescent="0.3">
      <c r="A79">
        <v>78</v>
      </c>
      <c r="B79" s="2">
        <v>2</v>
      </c>
      <c r="C79" s="2">
        <v>2</v>
      </c>
      <c r="D79" s="1">
        <v>7.5</v>
      </c>
      <c r="E79" s="1">
        <v>5.0999999999999996</v>
      </c>
      <c r="F79" s="1">
        <f t="shared" si="8"/>
        <v>2.3012890000000037</v>
      </c>
      <c r="G79" s="1">
        <f t="shared" si="9"/>
        <v>1.5170000000000012</v>
      </c>
      <c r="H79" s="1">
        <f t="shared" si="10"/>
        <v>1.6500000000000004</v>
      </c>
      <c r="I79">
        <f t="shared" si="11"/>
        <v>-0.23058399999999635</v>
      </c>
    </row>
    <row r="80" spans="1:9" x14ac:dyDescent="0.3">
      <c r="A80">
        <v>79</v>
      </c>
      <c r="B80" s="2">
        <v>3</v>
      </c>
      <c r="C80" s="2">
        <v>2</v>
      </c>
      <c r="D80" s="1">
        <v>7.5</v>
      </c>
      <c r="E80" s="1">
        <v>5</v>
      </c>
      <c r="F80" s="1">
        <f t="shared" si="8"/>
        <v>2.6146890000000029</v>
      </c>
      <c r="G80" s="1">
        <f t="shared" si="9"/>
        <v>1.6170000000000009</v>
      </c>
      <c r="H80" s="1">
        <f t="shared" si="10"/>
        <v>1.75</v>
      </c>
      <c r="I80">
        <f t="shared" si="11"/>
        <v>-0.24578399999999603</v>
      </c>
    </row>
    <row r="81" spans="1:9" x14ac:dyDescent="0.3">
      <c r="A81">
        <v>80</v>
      </c>
      <c r="B81" s="2">
        <v>2</v>
      </c>
      <c r="C81" s="2">
        <v>2</v>
      </c>
      <c r="D81" s="1">
        <v>7.5</v>
      </c>
      <c r="E81" s="1">
        <v>5</v>
      </c>
      <c r="F81" s="1">
        <f t="shared" si="8"/>
        <v>2.6146890000000029</v>
      </c>
      <c r="G81" s="1">
        <f t="shared" si="9"/>
        <v>1.6170000000000009</v>
      </c>
      <c r="H81" s="1">
        <f t="shared" si="10"/>
        <v>1.75</v>
      </c>
      <c r="I81">
        <f t="shared" si="11"/>
        <v>-0.24578399999999603</v>
      </c>
    </row>
    <row r="82" spans="1:9" x14ac:dyDescent="0.3">
      <c r="A82">
        <v>81</v>
      </c>
      <c r="B82" s="2">
        <v>2</v>
      </c>
      <c r="C82" s="2">
        <v>2</v>
      </c>
      <c r="D82" s="1">
        <v>7.2</v>
      </c>
      <c r="E82" s="1">
        <v>7.5</v>
      </c>
      <c r="F82" s="1">
        <f t="shared" si="8"/>
        <v>0.77968899999999841</v>
      </c>
      <c r="G82" s="1">
        <f t="shared" si="9"/>
        <v>0.88299999999999912</v>
      </c>
      <c r="H82" s="1">
        <f t="shared" si="10"/>
        <v>0.75</v>
      </c>
      <c r="I82">
        <f t="shared" si="11"/>
        <v>-0.13068400000000194</v>
      </c>
    </row>
    <row r="83" spans="1:9" x14ac:dyDescent="0.3">
      <c r="A83">
        <v>82</v>
      </c>
      <c r="B83" s="2">
        <v>2</v>
      </c>
      <c r="C83" s="2">
        <v>2</v>
      </c>
      <c r="D83" s="1">
        <v>7.2</v>
      </c>
      <c r="E83" s="1">
        <v>7.2</v>
      </c>
      <c r="F83" s="1">
        <f t="shared" si="8"/>
        <v>0.33988899999999916</v>
      </c>
      <c r="G83" s="1">
        <f t="shared" si="9"/>
        <v>0.5829999999999993</v>
      </c>
      <c r="H83" s="1">
        <f t="shared" si="10"/>
        <v>0.45000000000000018</v>
      </c>
      <c r="I83">
        <f t="shared" si="11"/>
        <v>-8.6284000000001262E-2</v>
      </c>
    </row>
    <row r="84" spans="1:9" x14ac:dyDescent="0.3">
      <c r="A84">
        <v>83</v>
      </c>
      <c r="B84" s="2">
        <v>3</v>
      </c>
      <c r="C84" s="2">
        <v>2</v>
      </c>
      <c r="D84" s="1">
        <v>7</v>
      </c>
      <c r="E84" s="1">
        <v>5.3</v>
      </c>
      <c r="F84" s="1">
        <f t="shared" si="8"/>
        <v>1.7344890000000028</v>
      </c>
      <c r="G84" s="1">
        <f t="shared" si="9"/>
        <v>1.3170000000000011</v>
      </c>
      <c r="H84" s="1">
        <f t="shared" si="10"/>
        <v>1.4500000000000002</v>
      </c>
      <c r="I84">
        <f t="shared" si="11"/>
        <v>0.45831600000000372</v>
      </c>
    </row>
    <row r="85" spans="1:9" x14ac:dyDescent="0.3">
      <c r="A85">
        <v>84</v>
      </c>
      <c r="B85" s="2">
        <v>2</v>
      </c>
      <c r="C85" s="2">
        <v>2</v>
      </c>
      <c r="D85" s="1">
        <v>6.9</v>
      </c>
      <c r="E85" s="1">
        <v>6.8</v>
      </c>
      <c r="F85" s="1">
        <f t="shared" si="8"/>
        <v>3.3488999999999609E-2</v>
      </c>
      <c r="G85" s="1">
        <f t="shared" si="9"/>
        <v>0.18299999999999894</v>
      </c>
      <c r="H85" s="1">
        <f t="shared" si="10"/>
        <v>4.9999999999999822E-2</v>
      </c>
      <c r="I85">
        <f t="shared" si="11"/>
        <v>-8.1983999999999918E-2</v>
      </c>
    </row>
    <row r="86" spans="1:9" x14ac:dyDescent="0.3">
      <c r="A86">
        <v>85</v>
      </c>
      <c r="B86" s="2">
        <v>2</v>
      </c>
      <c r="C86" s="2">
        <v>2</v>
      </c>
      <c r="D86" s="1">
        <v>6.8</v>
      </c>
      <c r="E86" s="1">
        <v>7.1</v>
      </c>
      <c r="F86" s="1">
        <f t="shared" si="8"/>
        <v>0.2332889999999988</v>
      </c>
      <c r="G86" s="1">
        <f t="shared" si="9"/>
        <v>0.48299999999999876</v>
      </c>
      <c r="H86" s="1">
        <f t="shared" si="10"/>
        <v>0.34999999999999964</v>
      </c>
      <c r="I86">
        <f t="shared" si="11"/>
        <v>-0.26468400000000064</v>
      </c>
    </row>
    <row r="87" spans="1:9" x14ac:dyDescent="0.3">
      <c r="A87">
        <v>86</v>
      </c>
      <c r="B87" s="2">
        <v>2</v>
      </c>
      <c r="C87" s="2">
        <v>2</v>
      </c>
      <c r="D87" s="1">
        <v>6.7</v>
      </c>
      <c r="E87" s="1">
        <v>6.5</v>
      </c>
      <c r="F87" s="1">
        <f t="shared" si="8"/>
        <v>1.3689000000000206E-2</v>
      </c>
      <c r="G87" s="1">
        <f t="shared" si="9"/>
        <v>0.11700000000000088</v>
      </c>
      <c r="H87" s="1">
        <f t="shared" si="10"/>
        <v>0.25</v>
      </c>
      <c r="I87">
        <f t="shared" si="11"/>
        <v>7.5816000000000841E-2</v>
      </c>
    </row>
    <row r="88" spans="1:9" x14ac:dyDescent="0.3">
      <c r="A88">
        <v>87</v>
      </c>
      <c r="B88" s="2">
        <v>2</v>
      </c>
      <c r="C88" s="2">
        <v>2</v>
      </c>
      <c r="D88" s="1">
        <v>6.6</v>
      </c>
      <c r="E88" s="1">
        <v>7</v>
      </c>
      <c r="F88" s="1">
        <f t="shared" si="8"/>
        <v>0.14668899999999932</v>
      </c>
      <c r="G88" s="1">
        <f t="shared" si="9"/>
        <v>0.38299999999999912</v>
      </c>
      <c r="H88" s="1">
        <f t="shared" si="10"/>
        <v>0.25</v>
      </c>
      <c r="I88">
        <f t="shared" si="11"/>
        <v>-0.28648400000000046</v>
      </c>
    </row>
    <row r="89" spans="1:9" x14ac:dyDescent="0.3">
      <c r="A89">
        <v>88</v>
      </c>
      <c r="B89" s="2">
        <v>2</v>
      </c>
      <c r="C89" s="2">
        <v>2</v>
      </c>
      <c r="D89" s="1">
        <v>6.5</v>
      </c>
      <c r="E89" s="1">
        <v>6.5</v>
      </c>
      <c r="F89" s="1">
        <f t="shared" si="8"/>
        <v>1.3689000000000206E-2</v>
      </c>
      <c r="G89" s="1">
        <f t="shared" si="9"/>
        <v>0.11700000000000088</v>
      </c>
      <c r="H89" s="1">
        <f t="shared" si="10"/>
        <v>0.25</v>
      </c>
      <c r="I89">
        <f t="shared" si="11"/>
        <v>9.9216000000001039E-2</v>
      </c>
    </row>
    <row r="90" spans="1:9" x14ac:dyDescent="0.3">
      <c r="A90">
        <v>89</v>
      </c>
      <c r="B90" s="2">
        <v>2</v>
      </c>
      <c r="C90" s="2">
        <v>2</v>
      </c>
      <c r="D90" s="1">
        <v>6.5</v>
      </c>
      <c r="E90" s="1">
        <v>6.5</v>
      </c>
      <c r="F90" s="1">
        <f t="shared" si="8"/>
        <v>1.3689000000000206E-2</v>
      </c>
      <c r="G90" s="1">
        <f t="shared" si="9"/>
        <v>0.11700000000000088</v>
      </c>
      <c r="H90" s="1">
        <f t="shared" si="10"/>
        <v>0.25</v>
      </c>
      <c r="I90">
        <f t="shared" si="11"/>
        <v>9.9216000000001039E-2</v>
      </c>
    </row>
    <row r="91" spans="1:9" x14ac:dyDescent="0.3">
      <c r="A91">
        <v>90</v>
      </c>
      <c r="B91" s="2">
        <v>3</v>
      </c>
      <c r="C91" s="2">
        <v>2</v>
      </c>
      <c r="D91" s="1">
        <v>6.4</v>
      </c>
      <c r="E91" s="1">
        <v>6.3</v>
      </c>
      <c r="F91" s="1">
        <f t="shared" si="8"/>
        <v>0.10048900000000068</v>
      </c>
      <c r="G91" s="1">
        <f t="shared" si="9"/>
        <v>0.31700000000000106</v>
      </c>
      <c r="H91" s="1">
        <f t="shared" si="10"/>
        <v>0.45000000000000018</v>
      </c>
      <c r="I91">
        <f t="shared" si="11"/>
        <v>0.30051600000000167</v>
      </c>
    </row>
    <row r="92" spans="1:9" x14ac:dyDescent="0.3">
      <c r="A92">
        <v>91</v>
      </c>
      <c r="B92" s="2">
        <v>2</v>
      </c>
      <c r="C92" s="2">
        <v>2</v>
      </c>
      <c r="D92" s="1">
        <v>6.2</v>
      </c>
      <c r="E92" s="1">
        <v>6.2</v>
      </c>
      <c r="F92" s="1">
        <f t="shared" si="8"/>
        <v>0.1738890000000006</v>
      </c>
      <c r="G92" s="1">
        <f t="shared" si="9"/>
        <v>0.4170000000000007</v>
      </c>
      <c r="H92" s="1">
        <f t="shared" si="10"/>
        <v>0.54999999999999982</v>
      </c>
      <c r="I92">
        <f t="shared" si="11"/>
        <v>0.47871600000000181</v>
      </c>
    </row>
    <row r="93" spans="1:9" x14ac:dyDescent="0.3">
      <c r="A93">
        <v>92</v>
      </c>
      <c r="B93" s="2">
        <v>2</v>
      </c>
      <c r="C93" s="2">
        <v>2</v>
      </c>
      <c r="D93" s="1">
        <v>6.2</v>
      </c>
      <c r="E93" s="1">
        <v>7.1</v>
      </c>
      <c r="F93" s="1">
        <f t="shared" si="8"/>
        <v>0.2332889999999988</v>
      </c>
      <c r="G93" s="1">
        <f t="shared" si="9"/>
        <v>0.48299999999999876</v>
      </c>
      <c r="H93" s="1">
        <f t="shared" si="10"/>
        <v>0.34999999999999964</v>
      </c>
      <c r="I93">
        <f t="shared" si="11"/>
        <v>-0.55448399999999975</v>
      </c>
    </row>
    <row r="94" spans="1:9" x14ac:dyDescent="0.3">
      <c r="A94">
        <v>93</v>
      </c>
      <c r="B94" s="2">
        <v>2</v>
      </c>
      <c r="C94" s="2">
        <v>2</v>
      </c>
      <c r="D94" s="1">
        <v>6.1</v>
      </c>
      <c r="E94" s="1">
        <v>6.9</v>
      </c>
      <c r="F94" s="1">
        <f t="shared" si="8"/>
        <v>8.0088999999999702E-2</v>
      </c>
      <c r="G94" s="1">
        <f t="shared" si="9"/>
        <v>0.28299999999999947</v>
      </c>
      <c r="H94" s="1">
        <f t="shared" si="10"/>
        <v>0.15000000000000036</v>
      </c>
      <c r="I94">
        <f t="shared" si="11"/>
        <v>-0.35318400000000016</v>
      </c>
    </row>
    <row r="95" spans="1:9" x14ac:dyDescent="0.3">
      <c r="A95">
        <v>94</v>
      </c>
      <c r="B95" s="2">
        <v>2</v>
      </c>
      <c r="C95" s="2">
        <v>2</v>
      </c>
      <c r="D95" s="1">
        <v>5</v>
      </c>
      <c r="E95" s="1">
        <v>7.1</v>
      </c>
      <c r="F95" s="1">
        <f t="shared" si="8"/>
        <v>0.2332889999999988</v>
      </c>
      <c r="G95" s="1">
        <f t="shared" si="9"/>
        <v>0.48299999999999876</v>
      </c>
      <c r="H95" s="1">
        <f t="shared" si="10"/>
        <v>0.34999999999999964</v>
      </c>
      <c r="I95">
        <f t="shared" si="11"/>
        <v>-1.1340839999999983</v>
      </c>
    </row>
    <row r="96" spans="1:9" x14ac:dyDescent="0.3">
      <c r="A96">
        <v>95</v>
      </c>
      <c r="B96" s="2">
        <v>3</v>
      </c>
      <c r="C96" s="2">
        <v>3</v>
      </c>
      <c r="D96" s="1">
        <v>7.1</v>
      </c>
      <c r="E96" s="1">
        <v>6.1</v>
      </c>
      <c r="F96" s="1">
        <f t="shared" si="8"/>
        <v>0.26728900000000128</v>
      </c>
      <c r="G96" s="1">
        <f t="shared" si="9"/>
        <v>0.51700000000000124</v>
      </c>
      <c r="H96" s="1">
        <f t="shared" si="10"/>
        <v>0.65000000000000036</v>
      </c>
      <c r="I96">
        <f t="shared" si="11"/>
        <v>0.1282160000000018</v>
      </c>
    </row>
    <row r="97" spans="1:9" x14ac:dyDescent="0.3">
      <c r="A97">
        <v>96</v>
      </c>
      <c r="B97" s="2">
        <v>2</v>
      </c>
      <c r="C97" s="2">
        <v>3</v>
      </c>
      <c r="D97" s="1">
        <v>6.6</v>
      </c>
      <c r="E97" s="1">
        <v>7.1</v>
      </c>
      <c r="F97" s="1">
        <f t="shared" si="8"/>
        <v>0.2332889999999988</v>
      </c>
      <c r="G97" s="1">
        <f t="shared" si="9"/>
        <v>0.48299999999999876</v>
      </c>
      <c r="H97" s="1">
        <f t="shared" si="10"/>
        <v>0.34999999999999964</v>
      </c>
      <c r="I97">
        <f t="shared" si="11"/>
        <v>-0.36128400000000049</v>
      </c>
    </row>
    <row r="98" spans="1:9" x14ac:dyDescent="0.3">
      <c r="A98">
        <v>97</v>
      </c>
      <c r="B98" s="2">
        <v>3</v>
      </c>
      <c r="C98" s="2">
        <v>3</v>
      </c>
      <c r="D98" s="1">
        <v>6.3</v>
      </c>
      <c r="E98" s="1">
        <v>5.6</v>
      </c>
      <c r="F98" s="1">
        <f t="shared" si="8"/>
        <v>1.0342890000000025</v>
      </c>
      <c r="G98" s="1">
        <f t="shared" si="9"/>
        <v>1.0170000000000012</v>
      </c>
      <c r="H98" s="1">
        <f t="shared" si="10"/>
        <v>1.1500000000000004</v>
      </c>
      <c r="I98">
        <f t="shared" si="11"/>
        <v>1.0658160000000041</v>
      </c>
    </row>
    <row r="99" spans="1:9" x14ac:dyDescent="0.3">
      <c r="A99">
        <v>98</v>
      </c>
      <c r="B99" s="2">
        <v>3</v>
      </c>
      <c r="C99" s="2">
        <v>3</v>
      </c>
      <c r="D99" s="1">
        <v>6</v>
      </c>
      <c r="E99" s="1">
        <v>7</v>
      </c>
      <c r="F99" s="1">
        <f t="shared" si="8"/>
        <v>0.14668899999999932</v>
      </c>
      <c r="G99" s="1">
        <f t="shared" si="9"/>
        <v>0.38299999999999912</v>
      </c>
      <c r="H99" s="1">
        <f t="shared" si="10"/>
        <v>0.25</v>
      </c>
      <c r="I99">
        <f t="shared" si="11"/>
        <v>-0.51628399999999974</v>
      </c>
    </row>
    <row r="100" spans="1:9" x14ac:dyDescent="0.3">
      <c r="A100">
        <v>99</v>
      </c>
      <c r="B100" s="2">
        <v>3</v>
      </c>
      <c r="C100" s="2">
        <v>3</v>
      </c>
      <c r="D100" s="1">
        <v>6</v>
      </c>
      <c r="E100" s="1">
        <v>5</v>
      </c>
      <c r="F100" s="1">
        <f t="shared" si="8"/>
        <v>2.6146890000000029</v>
      </c>
      <c r="G100" s="1">
        <f t="shared" si="9"/>
        <v>1.6170000000000009</v>
      </c>
      <c r="H100" s="1">
        <f t="shared" si="10"/>
        <v>1.75</v>
      </c>
      <c r="I100">
        <f t="shared" si="11"/>
        <v>2.1797160000000053</v>
      </c>
    </row>
    <row r="101" spans="1:9" x14ac:dyDescent="0.3">
      <c r="A101">
        <v>100</v>
      </c>
      <c r="B101" s="2">
        <v>2</v>
      </c>
      <c r="C101" s="2">
        <v>3</v>
      </c>
      <c r="D101" s="1">
        <v>5.8</v>
      </c>
      <c r="E101" s="1">
        <v>5.9</v>
      </c>
      <c r="F101" s="1">
        <f t="shared" si="8"/>
        <v>0.5140890000000008</v>
      </c>
      <c r="G101" s="1">
        <f t="shared" si="9"/>
        <v>0.71700000000000053</v>
      </c>
      <c r="H101" s="1">
        <f t="shared" si="10"/>
        <v>0.84999999999999964</v>
      </c>
      <c r="I101">
        <f t="shared" si="11"/>
        <v>1.1099160000000028</v>
      </c>
    </row>
  </sheetData>
  <sortState xmlns:xlrd2="http://schemas.microsoft.com/office/spreadsheetml/2017/richdata2" ref="A2:E1048576">
    <sortCondition ref="A2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TracNghiemHS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Xuân Tùng Nguyễn</cp:lastModifiedBy>
  <dcterms:created xsi:type="dcterms:W3CDTF">2011-08-01T14:22:18Z</dcterms:created>
  <dcterms:modified xsi:type="dcterms:W3CDTF">2023-06-29T08:00:50Z</dcterms:modified>
</cp:coreProperties>
</file>