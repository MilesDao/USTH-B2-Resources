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Midterm2026\Midterm2026\De2026_01\"/>
    </mc:Choice>
  </mc:AlternateContent>
  <xr:revisionPtr revIDLastSave="0" documentId="13_ncr:1_{5D1CDFFE-02A4-41DC-AB7F-101562D7B1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dterm01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3" l="1"/>
  <c r="H16" i="3"/>
  <c r="H15" i="3"/>
  <c r="H14" i="3"/>
  <c r="H74" i="3"/>
  <c r="H73" i="3"/>
  <c r="H68" i="3"/>
  <c r="H67" i="3"/>
  <c r="H66" i="3"/>
  <c r="H41" i="3"/>
  <c r="I59" i="3"/>
  <c r="I60" i="3"/>
  <c r="I61" i="3"/>
  <c r="I62" i="3"/>
  <c r="I45" i="3"/>
  <c r="I52" i="3"/>
  <c r="I53" i="3"/>
  <c r="I54" i="3"/>
  <c r="I46" i="3"/>
  <c r="I47" i="3"/>
  <c r="I48" i="3"/>
  <c r="H38" i="3"/>
  <c r="H7" i="3"/>
  <c r="M36" i="1"/>
  <c r="M37" i="1"/>
  <c r="M38" i="1"/>
  <c r="K36" i="1"/>
  <c r="L36" i="1"/>
  <c r="K37" i="1"/>
  <c r="L37" i="1"/>
  <c r="K38" i="1"/>
  <c r="L38" i="1"/>
  <c r="J36" i="1"/>
  <c r="J37" i="1"/>
  <c r="J38" i="1"/>
  <c r="J30" i="1"/>
  <c r="M31" i="1"/>
  <c r="M32" i="1"/>
  <c r="M30" i="1"/>
  <c r="L31" i="1"/>
  <c r="L32" i="1"/>
  <c r="L30" i="1"/>
  <c r="K31" i="1"/>
  <c r="K32" i="1"/>
  <c r="K30" i="1"/>
  <c r="J31" i="1"/>
  <c r="J32" i="1"/>
  <c r="L24" i="1"/>
  <c r="M24" i="1"/>
  <c r="L25" i="1"/>
  <c r="M25" i="1"/>
  <c r="L26" i="1"/>
  <c r="M26" i="1"/>
  <c r="K25" i="1"/>
  <c r="K26" i="1"/>
  <c r="K24" i="1"/>
  <c r="J25" i="1"/>
  <c r="J26" i="1"/>
  <c r="J24" i="1"/>
  <c r="J16" i="1"/>
  <c r="R38" i="1" s="1"/>
  <c r="J17" i="1"/>
  <c r="R39" i="1" s="1"/>
  <c r="J18" i="1"/>
  <c r="R40" i="1" s="1"/>
  <c r="J15" i="1"/>
  <c r="R37" i="1" s="1"/>
  <c r="K9" i="1"/>
  <c r="K10" i="1"/>
  <c r="K8" i="1"/>
  <c r="J9" i="1"/>
  <c r="J10" i="1"/>
  <c r="J8" i="1"/>
</calcChain>
</file>

<file path=xl/sharedStrings.xml><?xml version="1.0" encoding="utf-8"?>
<sst xmlns="http://schemas.openxmlformats.org/spreadsheetml/2006/main" count="313" uniqueCount="71">
  <si>
    <t>Mavitri</t>
  </si>
  <si>
    <t>phamchat</t>
  </si>
  <si>
    <t>Dkinhtan</t>
  </si>
  <si>
    <t>ChieuCao</t>
  </si>
  <si>
    <t>IV</t>
  </si>
  <si>
    <t>III</t>
  </si>
  <si>
    <t>II</t>
  </si>
  <si>
    <t>I</t>
  </si>
  <si>
    <t>Location</t>
  </si>
  <si>
    <t>Frequency</t>
  </si>
  <si>
    <t>Relative Frequency</t>
  </si>
  <si>
    <t>Variable Mavitri (Tree location)</t>
  </si>
  <si>
    <r>
      <t xml:space="preserve">Variable </t>
    </r>
    <r>
      <rPr>
        <b/>
        <sz val="11"/>
        <color theme="1"/>
        <rFont val="Calibri"/>
        <family val="2"/>
        <scheme val="minor"/>
      </rPr>
      <t>phamchat (Quality level)</t>
    </r>
  </si>
  <si>
    <t>Quality</t>
  </si>
  <si>
    <r>
      <t xml:space="preserve">Relationship: </t>
    </r>
    <r>
      <rPr>
        <b/>
        <sz val="11"/>
        <color theme="1"/>
        <rFont val="Calibri"/>
        <family val="2"/>
        <scheme val="minor"/>
      </rPr>
      <t>Mavitri vs phamchat</t>
    </r>
  </si>
  <si>
    <t>Frequency Table</t>
  </si>
  <si>
    <t>Row Percentage (within each location)</t>
  </si>
  <si>
    <t>Column Percentage (within each quality)</t>
  </si>
  <si>
    <t>Exercise B – Confidence Interval Tables</t>
  </si>
  <si>
    <t>1. Hilltop proportion (Mavitri = 1, 90% CI)</t>
  </si>
  <si>
    <t>Parameter</t>
  </si>
  <si>
    <t>Value</t>
  </si>
  <si>
    <t>Sample size (n)</t>
  </si>
  <si>
    <t>Count (Mavitri = 1)</t>
  </si>
  <si>
    <t>Sample proportion (p̂)</t>
  </si>
  <si>
    <t>Confidence level</t>
  </si>
  <si>
    <t>α</t>
  </si>
  <si>
    <t>zα/2</t>
  </si>
  <si>
    <t>Standard error</t>
  </si>
  <si>
    <t>Margin of error</t>
  </si>
  <si>
    <t>Lower bound</t>
  </si>
  <si>
    <t>Upper bound</t>
  </si>
  <si>
    <t>2. Quality level III proportion (70% CI)</t>
  </si>
  <si>
    <t>Count (phamchat = III)</t>
  </si>
  <si>
    <t>Exercise C – Dkinhtan (X) Tables</t>
  </si>
  <si>
    <t>1. Summary Statistics</t>
  </si>
  <si>
    <t>Measure</t>
  </si>
  <si>
    <t>Min</t>
  </si>
  <si>
    <t>Max</t>
  </si>
  <si>
    <t>Range</t>
  </si>
  <si>
    <t>Mean</t>
  </si>
  <si>
    <t>Median (Q2)</t>
  </si>
  <si>
    <t>Mode</t>
  </si>
  <si>
    <t>Midrange</t>
  </si>
  <si>
    <t>2. Percentiles</t>
  </si>
  <si>
    <t>Percentile</t>
  </si>
  <si>
    <t>P5</t>
  </si>
  <si>
    <t>P10</t>
  </si>
  <si>
    <t>P90</t>
  </si>
  <si>
    <t>P95</t>
  </si>
  <si>
    <t>3. Quartiles</t>
  </si>
  <si>
    <t>Quartile</t>
  </si>
  <si>
    <t>Q1</t>
  </si>
  <si>
    <t>Q2</t>
  </si>
  <si>
    <t>Q3</t>
  </si>
  <si>
    <t>4. Quintiles</t>
  </si>
  <si>
    <t>Quintile</t>
  </si>
  <si>
    <t>P20</t>
  </si>
  <si>
    <t>P40</t>
  </si>
  <si>
    <t>P60</t>
  </si>
  <si>
    <t>P80</t>
  </si>
  <si>
    <t>5. Variability Measures</t>
  </si>
  <si>
    <t>Variance</t>
  </si>
  <si>
    <t>Standard deviation</t>
  </si>
  <si>
    <t>Sum of squares (∑(X - mean)²)</t>
  </si>
  <si>
    <t>n</t>
  </si>
  <si>
    <t>Covariance</t>
  </si>
  <si>
    <t>Correlation (r)</t>
  </si>
  <si>
    <t>Interpretation</t>
  </si>
  <si>
    <t>Very weak / no linear relationship</t>
  </si>
  <si>
    <r>
      <t xml:space="preserve">relationship between </t>
    </r>
    <r>
      <rPr>
        <b/>
        <sz val="11"/>
        <color theme="1"/>
        <rFont val="Calibri"/>
        <family val="2"/>
        <scheme val="minor"/>
      </rPr>
      <t>Dkinhtan</t>
    </r>
    <r>
      <rPr>
        <sz val="11"/>
        <color theme="1"/>
        <rFont val="Calibri"/>
        <family val="2"/>
        <scheme val="minor"/>
      </rPr>
      <t xml:space="preserve"> (X) and </t>
    </r>
    <r>
      <rPr>
        <b/>
        <sz val="11"/>
        <color theme="1"/>
        <rFont val="Calibri"/>
        <family val="2"/>
        <scheme val="minor"/>
      </rPr>
      <t>Chieucao</t>
    </r>
    <r>
      <rPr>
        <sz val="11"/>
        <color theme="1"/>
        <rFont val="Calibri"/>
        <family val="2"/>
        <scheme val="minor"/>
      </rPr>
      <t xml:space="preserve"> (Y)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</si>
</sst>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1" xfId="0" applyBorder="1"/>
    <xf numFmtId="10" fontId="0" fillId="0" borderId="1" xfId="0" applyNumberFormat="1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of Mavitri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Midterm01!$J$8:$J$10</c:f>
              <c:numCache>
                <c:formatCode>General</c:formatCode>
                <c:ptCount val="3"/>
                <c:pt idx="0">
                  <c:v>34</c:v>
                </c:pt>
                <c:pt idx="1">
                  <c:v>36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98-46C0-B65E-23B4A9699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230559"/>
        <c:axId val="129231519"/>
      </c:barChart>
      <c:catAx>
        <c:axId val="12923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31519"/>
        <c:crosses val="autoZero"/>
        <c:auto val="1"/>
        <c:lblAlgn val="ctr"/>
        <c:lblOffset val="100"/>
        <c:noMultiLvlLbl val="0"/>
      </c:catAx>
      <c:valAx>
        <c:axId val="12923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3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of phamchat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Midterm01!$Q$37:$Q$40</c:f>
              <c:strCache>
                <c:ptCount val="4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</c:strCache>
            </c:strRef>
          </c:cat>
          <c:val>
            <c:numRef>
              <c:f>Midterm01!$J$15:$J$18</c:f>
              <c:numCache>
                <c:formatCode>General</c:formatCode>
                <c:ptCount val="4"/>
                <c:pt idx="0">
                  <c:v>14</c:v>
                </c:pt>
                <c:pt idx="1">
                  <c:v>23</c:v>
                </c:pt>
                <c:pt idx="2">
                  <c:v>48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C-4975-B41D-7F010A69A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364591"/>
        <c:axId val="140366511"/>
      </c:barChart>
      <c:catAx>
        <c:axId val="14036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6511"/>
        <c:crosses val="autoZero"/>
        <c:auto val="1"/>
        <c:lblAlgn val="ctr"/>
        <c:lblOffset val="100"/>
        <c:noMultiLvlLbl val="0"/>
      </c:catAx>
      <c:valAx>
        <c:axId val="14036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4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Mavitri vs phamchat (Clustered)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Midterm01!$J$35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Midterm01!$I$36:$I$38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Midterm01!$J$36:$J$38</c:f>
              <c:numCache>
                <c:formatCode>0.00%</c:formatCode>
                <c:ptCount val="3"/>
                <c:pt idx="0">
                  <c:v>5.8823529411764705E-2</c:v>
                </c:pt>
                <c:pt idx="1">
                  <c:v>0.16666666666666666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3A-49B9-B88D-2AB9CA13B1B8}"/>
            </c:ext>
          </c:extLst>
        </c:ser>
        <c:ser>
          <c:idx val="1"/>
          <c:order val="1"/>
          <c:tx>
            <c:strRef>
              <c:f>Midterm01!$K$35</c:f>
              <c:strCache>
                <c:ptCount val="1"/>
                <c:pt idx="0">
                  <c:v>II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Midterm01!$I$36:$I$38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Midterm01!$K$36:$K$38</c:f>
              <c:numCache>
                <c:formatCode>0.00%</c:formatCode>
                <c:ptCount val="3"/>
                <c:pt idx="0">
                  <c:v>0.3235294117647059</c:v>
                </c:pt>
                <c:pt idx="1">
                  <c:v>0.22222222222222221</c:v>
                </c:pt>
                <c:pt idx="2">
                  <c:v>0.13333333333333333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3A-49B9-B88D-2AB9CA13B1B8}"/>
            </c:ext>
          </c:extLst>
        </c:ser>
        <c:ser>
          <c:idx val="2"/>
          <c:order val="2"/>
          <c:tx>
            <c:strRef>
              <c:f>Midterm01!$L$35</c:f>
              <c:strCache>
                <c:ptCount val="1"/>
                <c:pt idx="0">
                  <c:v>III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Midterm01!$I$36:$I$38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Midterm01!$L$36:$L$38</c:f>
              <c:numCache>
                <c:formatCode>0.00%</c:formatCode>
                <c:ptCount val="3"/>
                <c:pt idx="0">
                  <c:v>0.5</c:v>
                </c:pt>
                <c:pt idx="1">
                  <c:v>0.3611111111111111</c:v>
                </c:pt>
                <c:pt idx="2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3A-49B9-B88D-2AB9CA13B1B8}"/>
            </c:ext>
          </c:extLst>
        </c:ser>
        <c:ser>
          <c:idx val="3"/>
          <c:order val="3"/>
          <c:tx>
            <c:strRef>
              <c:f>Midterm01!$M$35</c:f>
              <c:strCache>
                <c:ptCount val="1"/>
                <c:pt idx="0">
                  <c:v>IV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Midterm01!$I$36:$I$38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Midterm01!$M$36:$M$38</c:f>
              <c:numCache>
                <c:formatCode>0.00%</c:formatCode>
                <c:ptCount val="3"/>
                <c:pt idx="0">
                  <c:v>0.11764705882352941</c:v>
                </c:pt>
                <c:pt idx="1">
                  <c:v>0.25</c:v>
                </c:pt>
                <c:pt idx="2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3A-49B9-B88D-2AB9CA13B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333503"/>
        <c:axId val="138330623"/>
      </c:barChart>
      <c:catAx>
        <c:axId val="13833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30623"/>
        <c:crosses val="autoZero"/>
        <c:auto val="1"/>
        <c:lblAlgn val="ctr"/>
        <c:lblOffset val="100"/>
        <c:noMultiLvlLbl val="0"/>
      </c:catAx>
      <c:valAx>
        <c:axId val="13833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3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Mavitri vs phamchat (Stacked)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Midterm01!$J$35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Midterm01!$I$36:$I$38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Midterm01!$J$36:$J$38</c:f>
              <c:numCache>
                <c:formatCode>0.00%</c:formatCode>
                <c:ptCount val="3"/>
                <c:pt idx="0">
                  <c:v>5.8823529411764705E-2</c:v>
                </c:pt>
                <c:pt idx="1">
                  <c:v>0.16666666666666666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3-495C-8E60-4D7BA74D72A1}"/>
            </c:ext>
          </c:extLst>
        </c:ser>
        <c:ser>
          <c:idx val="1"/>
          <c:order val="1"/>
          <c:tx>
            <c:strRef>
              <c:f>Midterm01!$K$35</c:f>
              <c:strCache>
                <c:ptCount val="1"/>
                <c:pt idx="0">
                  <c:v>II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Midterm01!$I$36:$I$38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Midterm01!$K$36:$K$38</c:f>
              <c:numCache>
                <c:formatCode>0.00%</c:formatCode>
                <c:ptCount val="3"/>
                <c:pt idx="0">
                  <c:v>0.3235294117647059</c:v>
                </c:pt>
                <c:pt idx="1">
                  <c:v>0.22222222222222221</c:v>
                </c:pt>
                <c:pt idx="2">
                  <c:v>0.13333333333333333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A3-495C-8E60-4D7BA74D72A1}"/>
            </c:ext>
          </c:extLst>
        </c:ser>
        <c:ser>
          <c:idx val="2"/>
          <c:order val="2"/>
          <c:tx>
            <c:strRef>
              <c:f>Midterm01!$L$35</c:f>
              <c:strCache>
                <c:ptCount val="1"/>
                <c:pt idx="0">
                  <c:v>III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Midterm01!$I$36:$I$38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Midterm01!$L$36:$L$38</c:f>
              <c:numCache>
                <c:formatCode>0.00%</c:formatCode>
                <c:ptCount val="3"/>
                <c:pt idx="0">
                  <c:v>0.5</c:v>
                </c:pt>
                <c:pt idx="1">
                  <c:v>0.3611111111111111</c:v>
                </c:pt>
                <c:pt idx="2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A3-495C-8E60-4D7BA74D72A1}"/>
            </c:ext>
          </c:extLst>
        </c:ser>
        <c:ser>
          <c:idx val="3"/>
          <c:order val="3"/>
          <c:tx>
            <c:strRef>
              <c:f>Midterm01!$M$35</c:f>
              <c:strCache>
                <c:ptCount val="1"/>
                <c:pt idx="0">
                  <c:v>IV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Midterm01!$I$36:$I$38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Midterm01!$M$36:$M$38</c:f>
              <c:numCache>
                <c:formatCode>0.00%</c:formatCode>
                <c:ptCount val="3"/>
                <c:pt idx="0">
                  <c:v>0.11764705882352941</c:v>
                </c:pt>
                <c:pt idx="1">
                  <c:v>0.25</c:v>
                </c:pt>
                <c:pt idx="2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A3-495C-8E60-4D7BA74D7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783151"/>
        <c:axId val="140784591"/>
      </c:barChart>
      <c:catAx>
        <c:axId val="14078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84591"/>
        <c:crosses val="autoZero"/>
        <c:auto val="1"/>
        <c:lblAlgn val="ctr"/>
        <c:lblOffset val="100"/>
        <c:noMultiLvlLbl val="0"/>
      </c:catAx>
      <c:valAx>
        <c:axId val="14078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8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phamchat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Midterm01!$Q$37:$Q$40</c:f>
              <c:strCache>
                <c:ptCount val="4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</c:strCache>
            </c:strRef>
          </c:cat>
          <c:val>
            <c:numRef>
              <c:f>Midterm01!$R$37:$R$40</c:f>
              <c:numCache>
                <c:formatCode>0.00%</c:formatCode>
                <c:ptCount val="4"/>
                <c:pt idx="0">
                  <c:v>0.14000000000000001</c:v>
                </c:pt>
                <c:pt idx="1">
                  <c:v>0.23</c:v>
                </c:pt>
                <c:pt idx="2">
                  <c:v>0.48</c:v>
                </c:pt>
                <c:pt idx="3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6-4912-A25F-BFF2DF9A5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99060</xdr:colOff>
      <xdr:row>1</xdr:row>
      <xdr:rowOff>80010</xdr:rowOff>
    </xdr:from>
    <xdr:to>
      <xdr:col>20</xdr:col>
      <xdr:colOff>403860</xdr:colOff>
      <xdr:row>16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94B949-60A3-4BB9-4ECD-5330AE3ED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160020</xdr:colOff>
      <xdr:row>16</xdr:row>
      <xdr:rowOff>179070</xdr:rowOff>
    </xdr:from>
    <xdr:to>
      <xdr:col>20</xdr:col>
      <xdr:colOff>464820</xdr:colOff>
      <xdr:row>31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32B6E5-88D4-944A-B839-6397479B7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318052</xdr:colOff>
      <xdr:row>39</xdr:row>
      <xdr:rowOff>182217</xdr:rowOff>
    </xdr:from>
    <xdr:to>
      <xdr:col>14</xdr:col>
      <xdr:colOff>72887</xdr:colOff>
      <xdr:row>54</xdr:row>
      <xdr:rowOff>142461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66EE2CC-1651-F4F6-0BF5-D5691134E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395081</xdr:colOff>
      <xdr:row>56</xdr:row>
      <xdr:rowOff>42241</xdr:rowOff>
    </xdr:from>
    <xdr:to>
      <xdr:col>14</xdr:col>
      <xdr:colOff>144946</xdr:colOff>
      <xdr:row>70</xdr:row>
      <xdr:rowOff>188015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CC4EB9D-BE3C-FC34-81EA-5D7C3ECB2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402772</xdr:colOff>
      <xdr:row>41</xdr:row>
      <xdr:rowOff>87086</xdr:rowOff>
    </xdr:from>
    <xdr:to>
      <xdr:col>23</xdr:col>
      <xdr:colOff>97972</xdr:colOff>
      <xdr:row>56</xdr:row>
      <xdr:rowOff>54429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BF70CAA-9337-DB3F-DB14-715AA9F6C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topLeftCell="A34" zoomScale="70" zoomScaleNormal="70" workbookViewId="0">
      <selection activeCell="U39" sqref="U39"/>
    </sheetView>
  </sheetViews>
  <sheetFormatPr defaultRowHeight="14.4" x14ac:dyDescent="0.3"/>
  <cols>
    <col min="10" max="10" width="9.33203125" bestFit="1" customWidth="1"/>
    <col min="11" max="11" width="16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</row>
    <row r="2" spans="1:11" x14ac:dyDescent="0.3">
      <c r="A2" s="3">
        <v>1</v>
      </c>
      <c r="B2" t="s">
        <v>4</v>
      </c>
      <c r="C2" s="1">
        <v>0.6</v>
      </c>
      <c r="D2" s="2">
        <v>4</v>
      </c>
    </row>
    <row r="3" spans="1:11" x14ac:dyDescent="0.3">
      <c r="A3" s="3">
        <v>2</v>
      </c>
      <c r="B3" t="s">
        <v>4</v>
      </c>
      <c r="C3" s="1">
        <v>1.45</v>
      </c>
      <c r="D3" s="2">
        <v>4</v>
      </c>
    </row>
    <row r="4" spans="1:11" x14ac:dyDescent="0.3">
      <c r="A4" s="3">
        <v>2</v>
      </c>
      <c r="B4" t="s">
        <v>4</v>
      </c>
      <c r="C4" s="1">
        <v>1.3</v>
      </c>
      <c r="D4" s="2">
        <v>4.5</v>
      </c>
    </row>
    <row r="5" spans="1:11" x14ac:dyDescent="0.3">
      <c r="A5" s="3">
        <v>2</v>
      </c>
      <c r="B5" t="s">
        <v>4</v>
      </c>
      <c r="C5" s="1">
        <v>1</v>
      </c>
      <c r="D5" s="2">
        <v>4</v>
      </c>
    </row>
    <row r="6" spans="1:11" x14ac:dyDescent="0.3">
      <c r="A6" s="3">
        <v>3</v>
      </c>
      <c r="B6" t="s">
        <v>4</v>
      </c>
      <c r="C6" s="1">
        <v>1.1000000000000001</v>
      </c>
      <c r="D6" s="2">
        <v>4.5</v>
      </c>
      <c r="I6" t="s">
        <v>11</v>
      </c>
    </row>
    <row r="7" spans="1:11" x14ac:dyDescent="0.3">
      <c r="A7" s="3">
        <v>1</v>
      </c>
      <c r="B7" t="s">
        <v>4</v>
      </c>
      <c r="C7" s="1">
        <v>1.2</v>
      </c>
      <c r="D7" s="2">
        <v>5</v>
      </c>
      <c r="I7" s="4" t="s">
        <v>8</v>
      </c>
      <c r="J7" s="4" t="s">
        <v>9</v>
      </c>
      <c r="K7" s="4" t="s">
        <v>10</v>
      </c>
    </row>
    <row r="8" spans="1:11" x14ac:dyDescent="0.3">
      <c r="A8" s="3">
        <v>2</v>
      </c>
      <c r="B8" t="s">
        <v>5</v>
      </c>
      <c r="C8" s="1">
        <v>1.5</v>
      </c>
      <c r="D8" s="2">
        <v>4.5999999999999996</v>
      </c>
      <c r="I8" s="4">
        <v>1</v>
      </c>
      <c r="J8" s="6">
        <f>COUNTIF(A:A,I8)</f>
        <v>34</v>
      </c>
      <c r="K8" s="6">
        <f>J8/SUM($J$8:$J$10)</f>
        <v>0.34</v>
      </c>
    </row>
    <row r="9" spans="1:11" x14ac:dyDescent="0.3">
      <c r="A9" s="3">
        <v>2</v>
      </c>
      <c r="B9" t="s">
        <v>4</v>
      </c>
      <c r="C9" s="1">
        <v>1.55</v>
      </c>
      <c r="D9" s="2">
        <v>4.7</v>
      </c>
      <c r="I9" s="4">
        <v>2</v>
      </c>
      <c r="J9" s="6">
        <f t="shared" ref="J9:K10" si="0">COUNTIF(A:A,I9)</f>
        <v>36</v>
      </c>
      <c r="K9" s="6">
        <f t="shared" ref="K9:K10" si="1">J9/SUM($J$8:$J$10)</f>
        <v>0.36</v>
      </c>
    </row>
    <row r="10" spans="1:11" x14ac:dyDescent="0.3">
      <c r="A10" s="3">
        <v>2</v>
      </c>
      <c r="B10" t="s">
        <v>4</v>
      </c>
      <c r="C10" s="1">
        <v>1.25</v>
      </c>
      <c r="D10" s="2">
        <v>4.5999999999999996</v>
      </c>
      <c r="I10" s="4">
        <v>3</v>
      </c>
      <c r="J10" s="6">
        <f t="shared" si="0"/>
        <v>30</v>
      </c>
      <c r="K10" s="6">
        <f t="shared" si="1"/>
        <v>0.3</v>
      </c>
    </row>
    <row r="11" spans="1:11" x14ac:dyDescent="0.3">
      <c r="A11" s="3">
        <v>1</v>
      </c>
      <c r="B11" t="s">
        <v>5</v>
      </c>
      <c r="C11" s="1">
        <v>1.5</v>
      </c>
      <c r="D11" s="2">
        <v>4</v>
      </c>
    </row>
    <row r="12" spans="1:11" x14ac:dyDescent="0.3">
      <c r="A12" s="3">
        <v>1</v>
      </c>
      <c r="B12" t="s">
        <v>4</v>
      </c>
      <c r="C12" s="1">
        <v>1.25</v>
      </c>
      <c r="D12" s="2">
        <v>3.8</v>
      </c>
    </row>
    <row r="13" spans="1:11" x14ac:dyDescent="0.3">
      <c r="A13" s="3">
        <v>2</v>
      </c>
      <c r="B13" t="s">
        <v>5</v>
      </c>
      <c r="C13" s="1">
        <v>1.5</v>
      </c>
      <c r="D13" s="2">
        <v>4.7</v>
      </c>
      <c r="I13" t="s">
        <v>12</v>
      </c>
    </row>
    <row r="14" spans="1:11" x14ac:dyDescent="0.3">
      <c r="A14" s="3">
        <v>2</v>
      </c>
      <c r="B14" t="s">
        <v>4</v>
      </c>
      <c r="C14" s="1">
        <v>1.45</v>
      </c>
      <c r="D14" s="2">
        <v>4.5</v>
      </c>
      <c r="I14" s="4" t="s">
        <v>13</v>
      </c>
      <c r="J14" s="4" t="s">
        <v>9</v>
      </c>
      <c r="K14" s="4" t="s">
        <v>10</v>
      </c>
    </row>
    <row r="15" spans="1:11" x14ac:dyDescent="0.3">
      <c r="A15" s="3">
        <v>1</v>
      </c>
      <c r="B15" t="s">
        <v>6</v>
      </c>
      <c r="C15" s="1">
        <v>1.4</v>
      </c>
      <c r="D15" s="2">
        <v>5.9</v>
      </c>
      <c r="J15" s="4">
        <f>COUNTIF(B:B,Q37)</f>
        <v>14</v>
      </c>
    </row>
    <row r="16" spans="1:11" x14ac:dyDescent="0.3">
      <c r="A16" s="3">
        <v>1</v>
      </c>
      <c r="B16" t="s">
        <v>5</v>
      </c>
      <c r="C16" s="1">
        <v>1</v>
      </c>
      <c r="D16" s="2">
        <v>5.5</v>
      </c>
      <c r="J16" s="4">
        <f>COUNTIF(B:B,Q38)</f>
        <v>23</v>
      </c>
    </row>
    <row r="17" spans="1:13" x14ac:dyDescent="0.3">
      <c r="A17" s="3">
        <v>3</v>
      </c>
      <c r="B17" t="s">
        <v>4</v>
      </c>
      <c r="C17" s="1">
        <v>1.2</v>
      </c>
      <c r="D17" s="2">
        <v>4.8</v>
      </c>
      <c r="J17" s="4">
        <f>COUNTIF(B:B,Q39)</f>
        <v>48</v>
      </c>
    </row>
    <row r="18" spans="1:13" x14ac:dyDescent="0.3">
      <c r="A18" s="3">
        <v>1</v>
      </c>
      <c r="B18" t="s">
        <v>5</v>
      </c>
      <c r="C18" s="1">
        <v>1.5</v>
      </c>
      <c r="D18" s="2">
        <v>5.2</v>
      </c>
      <c r="J18" s="4">
        <f>COUNTIF(B:B,Q40)</f>
        <v>15</v>
      </c>
    </row>
    <row r="19" spans="1:13" x14ac:dyDescent="0.3">
      <c r="A19" s="3">
        <v>3</v>
      </c>
      <c r="B19" t="s">
        <v>5</v>
      </c>
      <c r="C19" s="1">
        <v>1.55</v>
      </c>
      <c r="D19" s="2">
        <v>5.3</v>
      </c>
    </row>
    <row r="20" spans="1:13" x14ac:dyDescent="0.3">
      <c r="A20" s="3">
        <v>1</v>
      </c>
      <c r="B20" t="s">
        <v>6</v>
      </c>
      <c r="C20" s="1">
        <v>1.6</v>
      </c>
      <c r="D20" s="2">
        <v>6.8</v>
      </c>
    </row>
    <row r="21" spans="1:13" x14ac:dyDescent="0.3">
      <c r="A21" s="3">
        <v>2</v>
      </c>
      <c r="B21" t="s">
        <v>6</v>
      </c>
      <c r="C21" s="1">
        <v>1.5</v>
      </c>
      <c r="D21" s="2">
        <v>5.3</v>
      </c>
      <c r="I21" t="s">
        <v>14</v>
      </c>
    </row>
    <row r="22" spans="1:13" x14ac:dyDescent="0.3">
      <c r="A22" s="3">
        <v>1</v>
      </c>
      <c r="B22" t="s">
        <v>5</v>
      </c>
      <c r="C22" s="1">
        <v>1.56</v>
      </c>
      <c r="D22" s="2">
        <v>6.5</v>
      </c>
      <c r="I22" t="s">
        <v>15</v>
      </c>
    </row>
    <row r="23" spans="1:13" x14ac:dyDescent="0.3">
      <c r="A23" s="3">
        <v>3</v>
      </c>
      <c r="B23" t="s">
        <v>5</v>
      </c>
      <c r="C23" s="1">
        <v>1.5</v>
      </c>
      <c r="D23" s="2">
        <v>6.5</v>
      </c>
      <c r="I23" s="4" t="s">
        <v>0</v>
      </c>
      <c r="J23" s="4" t="s">
        <v>7</v>
      </c>
      <c r="K23" s="4" t="s">
        <v>6</v>
      </c>
      <c r="L23" s="4" t="s">
        <v>5</v>
      </c>
      <c r="M23" s="4" t="s">
        <v>4</v>
      </c>
    </row>
    <row r="24" spans="1:13" x14ac:dyDescent="0.3">
      <c r="A24" s="3">
        <v>3</v>
      </c>
      <c r="B24" t="s">
        <v>5</v>
      </c>
      <c r="C24" s="1">
        <v>1.5</v>
      </c>
      <c r="D24" s="2">
        <v>5.5</v>
      </c>
      <c r="I24" s="4">
        <v>1</v>
      </c>
      <c r="J24" s="4">
        <f>COUNTIFS(A:A,I24,B:B,J$23)</f>
        <v>2</v>
      </c>
      <c r="K24" s="4">
        <f>COUNTIFS($A:$A,$I24,$B:$B,K$23)</f>
        <v>11</v>
      </c>
      <c r="L24" s="4">
        <f t="shared" ref="L24:M24" si="2">COUNTIFS($A:$A,$I24,$B:$B,L$23)</f>
        <v>17</v>
      </c>
      <c r="M24" s="4">
        <f t="shared" si="2"/>
        <v>4</v>
      </c>
    </row>
    <row r="25" spans="1:13" x14ac:dyDescent="0.3">
      <c r="A25" s="3">
        <v>2</v>
      </c>
      <c r="B25" t="s">
        <v>5</v>
      </c>
      <c r="C25" s="1">
        <v>1.5</v>
      </c>
      <c r="D25" s="2">
        <v>5.5</v>
      </c>
      <c r="I25" s="4">
        <v>2</v>
      </c>
      <c r="J25" s="4">
        <f t="shared" ref="J25:J26" si="3">COUNTIFS(A:A,I25,B:B,J$23)</f>
        <v>6</v>
      </c>
      <c r="K25" s="4">
        <f t="shared" ref="K25:M26" si="4">COUNTIFS($A:$A,$I25,$B:$B,K$23)</f>
        <v>8</v>
      </c>
      <c r="L25" s="4">
        <f t="shared" si="4"/>
        <v>13</v>
      </c>
      <c r="M25" s="4">
        <f t="shared" si="4"/>
        <v>9</v>
      </c>
    </row>
    <row r="26" spans="1:13" x14ac:dyDescent="0.3">
      <c r="A26" s="3">
        <v>3</v>
      </c>
      <c r="B26" t="s">
        <v>5</v>
      </c>
      <c r="C26" s="1">
        <v>1.4</v>
      </c>
      <c r="D26" s="2">
        <v>5</v>
      </c>
      <c r="I26" s="4">
        <v>3</v>
      </c>
      <c r="J26" s="4">
        <f t="shared" si="3"/>
        <v>6</v>
      </c>
      <c r="K26" s="4">
        <f t="shared" si="4"/>
        <v>4</v>
      </c>
      <c r="L26" s="4">
        <f t="shared" si="4"/>
        <v>18</v>
      </c>
      <c r="M26" s="4">
        <f t="shared" si="4"/>
        <v>2</v>
      </c>
    </row>
    <row r="27" spans="1:13" x14ac:dyDescent="0.3">
      <c r="A27" s="3">
        <v>3</v>
      </c>
      <c r="B27" t="s">
        <v>5</v>
      </c>
      <c r="C27" s="1">
        <v>1.2</v>
      </c>
      <c r="D27" s="2">
        <v>4.8</v>
      </c>
    </row>
    <row r="28" spans="1:13" x14ac:dyDescent="0.3">
      <c r="A28" s="3">
        <v>3</v>
      </c>
      <c r="B28" t="s">
        <v>5</v>
      </c>
      <c r="C28" s="1">
        <v>0.95</v>
      </c>
      <c r="D28" s="2">
        <v>4.5</v>
      </c>
      <c r="I28" t="s">
        <v>17</v>
      </c>
    </row>
    <row r="29" spans="1:13" x14ac:dyDescent="0.3">
      <c r="A29" s="3">
        <v>2</v>
      </c>
      <c r="B29" t="s">
        <v>4</v>
      </c>
      <c r="C29" s="1">
        <v>1.7</v>
      </c>
      <c r="D29" s="2">
        <v>6.1</v>
      </c>
      <c r="I29" s="4" t="s">
        <v>0</v>
      </c>
      <c r="J29" s="4" t="s">
        <v>7</v>
      </c>
      <c r="K29" s="4" t="s">
        <v>6</v>
      </c>
      <c r="L29" s="4" t="s">
        <v>5</v>
      </c>
      <c r="M29" s="4" t="s">
        <v>4</v>
      </c>
    </row>
    <row r="30" spans="1:13" x14ac:dyDescent="0.3">
      <c r="A30" s="3">
        <v>3</v>
      </c>
      <c r="B30" t="s">
        <v>5</v>
      </c>
      <c r="C30" s="1">
        <v>1.4</v>
      </c>
      <c r="D30" s="2">
        <v>5.5</v>
      </c>
      <c r="I30" s="4">
        <v>1</v>
      </c>
      <c r="J30" s="5">
        <f>J24/SUM($J$24:$J$26)</f>
        <v>0.14285714285714285</v>
      </c>
      <c r="K30" s="5">
        <f>K24/SUM($K$24:$K$26)</f>
        <v>0.47826086956521741</v>
      </c>
      <c r="L30" s="5">
        <f>L24/SUM($L$24:$L$26)</f>
        <v>0.35416666666666669</v>
      </c>
      <c r="M30" s="5">
        <f>M24/SUM($M$24:$M$26)</f>
        <v>0.26666666666666666</v>
      </c>
    </row>
    <row r="31" spans="1:13" x14ac:dyDescent="0.3">
      <c r="A31" s="3">
        <v>1</v>
      </c>
      <c r="B31" t="s">
        <v>5</v>
      </c>
      <c r="C31" s="1">
        <v>1.5</v>
      </c>
      <c r="D31" s="2">
        <v>5.2</v>
      </c>
      <c r="I31" s="4">
        <v>2</v>
      </c>
      <c r="J31" s="5">
        <f t="shared" ref="J31:J32" si="5">J25/SUM($J$24:$J$26)</f>
        <v>0.42857142857142855</v>
      </c>
      <c r="K31" s="5">
        <f t="shared" ref="K31:K32" si="6">K25/SUM($K$24:$K$26)</f>
        <v>0.34782608695652173</v>
      </c>
      <c r="L31" s="5">
        <f t="shared" ref="L31:L32" si="7">L25/SUM($L$24:$L$26)</f>
        <v>0.27083333333333331</v>
      </c>
      <c r="M31" s="5">
        <f t="shared" ref="M31:M32" si="8">M25/SUM($M$24:$M$26)</f>
        <v>0.6</v>
      </c>
    </row>
    <row r="32" spans="1:13" x14ac:dyDescent="0.3">
      <c r="A32" s="3">
        <v>2</v>
      </c>
      <c r="B32" t="s">
        <v>5</v>
      </c>
      <c r="C32" s="1">
        <v>1.45</v>
      </c>
      <c r="D32" s="2">
        <v>5.2</v>
      </c>
      <c r="I32" s="4">
        <v>3</v>
      </c>
      <c r="J32" s="5">
        <f t="shared" si="5"/>
        <v>0.42857142857142855</v>
      </c>
      <c r="K32" s="5">
        <f t="shared" si="6"/>
        <v>0.17391304347826086</v>
      </c>
      <c r="L32" s="5">
        <f t="shared" si="7"/>
        <v>0.375</v>
      </c>
      <c r="M32" s="5">
        <f t="shared" si="8"/>
        <v>0.13333333333333333</v>
      </c>
    </row>
    <row r="33" spans="1:18" x14ac:dyDescent="0.3">
      <c r="A33" s="3">
        <v>2</v>
      </c>
      <c r="B33" t="s">
        <v>4</v>
      </c>
      <c r="C33" s="1">
        <v>1.4</v>
      </c>
      <c r="D33" s="2">
        <v>5</v>
      </c>
    </row>
    <row r="34" spans="1:18" x14ac:dyDescent="0.3">
      <c r="A34" s="3">
        <v>1</v>
      </c>
      <c r="B34" t="s">
        <v>6</v>
      </c>
      <c r="C34" s="1">
        <v>1.3</v>
      </c>
      <c r="D34" s="2">
        <v>6.1</v>
      </c>
      <c r="I34" t="s">
        <v>16</v>
      </c>
    </row>
    <row r="35" spans="1:18" x14ac:dyDescent="0.3">
      <c r="A35" s="3">
        <v>1</v>
      </c>
      <c r="B35" t="s">
        <v>5</v>
      </c>
      <c r="C35" s="1">
        <v>1.4</v>
      </c>
      <c r="D35" s="2">
        <v>5.6</v>
      </c>
      <c r="J35" s="4" t="s">
        <v>7</v>
      </c>
      <c r="K35" s="4" t="s">
        <v>6</v>
      </c>
      <c r="L35" s="4" t="s">
        <v>5</v>
      </c>
      <c r="M35" s="4" t="s">
        <v>4</v>
      </c>
    </row>
    <row r="36" spans="1:18" x14ac:dyDescent="0.3">
      <c r="A36" s="3">
        <v>1</v>
      </c>
      <c r="B36" t="s">
        <v>5</v>
      </c>
      <c r="C36" s="1">
        <v>1.25</v>
      </c>
      <c r="D36" s="2">
        <v>5.6</v>
      </c>
      <c r="H36" s="4" t="s">
        <v>0</v>
      </c>
      <c r="I36" s="4">
        <v>1</v>
      </c>
      <c r="J36" s="5">
        <f>J24/SUM($J24:$M24)</f>
        <v>5.8823529411764705E-2</v>
      </c>
      <c r="K36" s="5">
        <f t="shared" ref="K36:L36" si="9">K24/SUM($J24:$M24)</f>
        <v>0.3235294117647059</v>
      </c>
      <c r="L36" s="5">
        <f t="shared" si="9"/>
        <v>0.5</v>
      </c>
      <c r="M36" s="5">
        <f>M24/SUM($J24:$M24)</f>
        <v>0.11764705882352941</v>
      </c>
    </row>
    <row r="37" spans="1:18" x14ac:dyDescent="0.3">
      <c r="A37" s="3">
        <v>2</v>
      </c>
      <c r="B37" t="s">
        <v>5</v>
      </c>
      <c r="C37" s="1">
        <v>1.35</v>
      </c>
      <c r="D37" s="2">
        <v>5.5</v>
      </c>
      <c r="I37" s="4">
        <v>2</v>
      </c>
      <c r="J37" s="5">
        <f t="shared" ref="J37:L38" si="10">J25/SUM($J25:$M25)</f>
        <v>0.16666666666666666</v>
      </c>
      <c r="K37" s="5">
        <f t="shared" si="10"/>
        <v>0.22222222222222221</v>
      </c>
      <c r="L37" s="5">
        <f t="shared" si="10"/>
        <v>0.3611111111111111</v>
      </c>
      <c r="M37" s="5">
        <f t="shared" ref="M37" si="11">M25/SUM($J25:$M25)</f>
        <v>0.25</v>
      </c>
      <c r="Q37" s="4" t="s">
        <v>7</v>
      </c>
      <c r="R37" s="5">
        <f>J15/SUM($J$15:$J$18)</f>
        <v>0.14000000000000001</v>
      </c>
    </row>
    <row r="38" spans="1:18" x14ac:dyDescent="0.3">
      <c r="A38" s="3">
        <v>1</v>
      </c>
      <c r="B38" t="s">
        <v>6</v>
      </c>
      <c r="C38" s="1">
        <v>1.6</v>
      </c>
      <c r="D38" s="2">
        <v>5</v>
      </c>
      <c r="I38" s="4">
        <v>3</v>
      </c>
      <c r="J38" s="5">
        <f t="shared" si="10"/>
        <v>0.2</v>
      </c>
      <c r="K38" s="5">
        <f t="shared" si="10"/>
        <v>0.13333333333333333</v>
      </c>
      <c r="L38" s="5">
        <f t="shared" si="10"/>
        <v>0.6</v>
      </c>
      <c r="M38" s="5">
        <f t="shared" ref="M38" si="12">M26/SUM($J26:$M26)</f>
        <v>6.6666666666666666E-2</v>
      </c>
      <c r="Q38" s="4" t="s">
        <v>6</v>
      </c>
      <c r="R38" s="5">
        <f>J16/SUM($J$15:$J$18)</f>
        <v>0.23</v>
      </c>
    </row>
    <row r="39" spans="1:18" x14ac:dyDescent="0.3">
      <c r="A39" s="3">
        <v>1</v>
      </c>
      <c r="B39" t="s">
        <v>5</v>
      </c>
      <c r="C39" s="1">
        <v>14</v>
      </c>
      <c r="D39" s="2">
        <v>5</v>
      </c>
      <c r="Q39" s="4" t="s">
        <v>5</v>
      </c>
      <c r="R39" s="5">
        <f>J17/SUM($J$15:$J$18)</f>
        <v>0.48</v>
      </c>
    </row>
    <row r="40" spans="1:18" x14ac:dyDescent="0.3">
      <c r="A40" s="3">
        <v>2</v>
      </c>
      <c r="B40" t="s">
        <v>5</v>
      </c>
      <c r="C40" s="1">
        <v>1.25</v>
      </c>
      <c r="D40" s="2">
        <v>5</v>
      </c>
      <c r="Q40" s="4" t="s">
        <v>4</v>
      </c>
      <c r="R40" s="5">
        <f>J18/SUM($J$15:$J$18)</f>
        <v>0.15</v>
      </c>
    </row>
    <row r="41" spans="1:18" x14ac:dyDescent="0.3">
      <c r="A41" s="3">
        <v>3</v>
      </c>
      <c r="B41" t="s">
        <v>5</v>
      </c>
      <c r="C41" s="1">
        <v>1.1000000000000001</v>
      </c>
      <c r="D41" s="2">
        <v>5.5</v>
      </c>
    </row>
    <row r="42" spans="1:18" x14ac:dyDescent="0.3">
      <c r="A42" s="3">
        <v>3</v>
      </c>
      <c r="B42" t="s">
        <v>5</v>
      </c>
      <c r="C42" s="1">
        <v>1.35</v>
      </c>
      <c r="D42" s="2">
        <v>5.4</v>
      </c>
    </row>
    <row r="43" spans="1:18" x14ac:dyDescent="0.3">
      <c r="A43" s="3">
        <v>2</v>
      </c>
      <c r="B43" t="s">
        <v>5</v>
      </c>
      <c r="C43" s="1">
        <v>1.4</v>
      </c>
      <c r="D43" s="2">
        <v>5.3</v>
      </c>
    </row>
    <row r="44" spans="1:18" x14ac:dyDescent="0.3">
      <c r="A44" s="3">
        <v>2</v>
      </c>
      <c r="B44" t="s">
        <v>6</v>
      </c>
      <c r="C44" s="1">
        <v>1.6</v>
      </c>
      <c r="D44" s="2">
        <v>6.3</v>
      </c>
    </row>
    <row r="45" spans="1:18" x14ac:dyDescent="0.3">
      <c r="A45" s="3">
        <v>1</v>
      </c>
      <c r="B45" t="s">
        <v>5</v>
      </c>
      <c r="C45" s="1">
        <v>1.65</v>
      </c>
      <c r="D45" s="2">
        <v>5.8</v>
      </c>
    </row>
    <row r="46" spans="1:18" x14ac:dyDescent="0.3">
      <c r="A46" s="3">
        <v>1</v>
      </c>
      <c r="B46" t="s">
        <v>5</v>
      </c>
      <c r="C46" s="1">
        <v>1.7</v>
      </c>
      <c r="D46" s="2">
        <v>5.4</v>
      </c>
    </row>
    <row r="47" spans="1:18" x14ac:dyDescent="0.3">
      <c r="A47" s="3">
        <v>2</v>
      </c>
      <c r="B47" t="s">
        <v>5</v>
      </c>
      <c r="C47" s="1">
        <v>1.55</v>
      </c>
      <c r="D47" s="2">
        <v>5</v>
      </c>
    </row>
    <row r="48" spans="1:18" x14ac:dyDescent="0.3">
      <c r="A48" s="3">
        <v>1</v>
      </c>
      <c r="B48" t="s">
        <v>6</v>
      </c>
      <c r="C48" s="1">
        <v>1.55</v>
      </c>
      <c r="D48" s="2">
        <v>4.5</v>
      </c>
    </row>
    <row r="49" spans="1:4" x14ac:dyDescent="0.3">
      <c r="A49" s="3">
        <v>2</v>
      </c>
      <c r="B49" t="s">
        <v>6</v>
      </c>
      <c r="C49" s="1">
        <v>1.55</v>
      </c>
      <c r="D49" s="2">
        <v>5.5</v>
      </c>
    </row>
    <row r="50" spans="1:4" x14ac:dyDescent="0.3">
      <c r="A50" s="3">
        <v>1</v>
      </c>
      <c r="B50" t="s">
        <v>5</v>
      </c>
      <c r="C50" s="1">
        <v>1.5</v>
      </c>
      <c r="D50" s="2">
        <v>6.1</v>
      </c>
    </row>
    <row r="51" spans="1:4" x14ac:dyDescent="0.3">
      <c r="A51" s="3">
        <v>2</v>
      </c>
      <c r="B51" t="s">
        <v>6</v>
      </c>
      <c r="C51" s="1">
        <v>1.45</v>
      </c>
      <c r="D51" s="2">
        <v>5.8</v>
      </c>
    </row>
    <row r="52" spans="1:4" x14ac:dyDescent="0.3">
      <c r="A52" s="3">
        <v>2</v>
      </c>
      <c r="B52" t="s">
        <v>5</v>
      </c>
      <c r="C52" s="1">
        <v>1.55</v>
      </c>
      <c r="D52" s="2">
        <v>5.5</v>
      </c>
    </row>
    <row r="53" spans="1:4" x14ac:dyDescent="0.3">
      <c r="A53" s="3">
        <v>1</v>
      </c>
      <c r="B53" t="s">
        <v>5</v>
      </c>
      <c r="C53" s="1">
        <v>1.4</v>
      </c>
      <c r="D53" s="2">
        <v>5.6</v>
      </c>
    </row>
    <row r="54" spans="1:4" x14ac:dyDescent="0.3">
      <c r="A54" s="3">
        <v>2</v>
      </c>
      <c r="B54" t="s">
        <v>6</v>
      </c>
      <c r="C54" s="1">
        <v>1.35</v>
      </c>
      <c r="D54" s="2">
        <v>6</v>
      </c>
    </row>
    <row r="55" spans="1:4" x14ac:dyDescent="0.3">
      <c r="A55" s="3">
        <v>1</v>
      </c>
      <c r="B55" t="s">
        <v>5</v>
      </c>
      <c r="C55" s="1">
        <v>1.32</v>
      </c>
      <c r="D55" s="2">
        <v>5.6</v>
      </c>
    </row>
    <row r="56" spans="1:4" x14ac:dyDescent="0.3">
      <c r="A56" s="3">
        <v>3</v>
      </c>
      <c r="B56" t="s">
        <v>5</v>
      </c>
      <c r="C56" s="1">
        <v>1.45</v>
      </c>
      <c r="D56" s="2">
        <v>5.6</v>
      </c>
    </row>
    <row r="57" spans="1:4" x14ac:dyDescent="0.3">
      <c r="A57" s="3">
        <v>3</v>
      </c>
      <c r="B57" t="s">
        <v>5</v>
      </c>
      <c r="C57" s="1">
        <v>1.55</v>
      </c>
      <c r="D57" s="2">
        <v>5.5</v>
      </c>
    </row>
    <row r="58" spans="1:4" x14ac:dyDescent="0.3">
      <c r="A58" s="3">
        <v>2</v>
      </c>
      <c r="B58" t="s">
        <v>7</v>
      </c>
      <c r="C58" s="1">
        <v>1.8</v>
      </c>
      <c r="D58" s="2">
        <v>6.5</v>
      </c>
    </row>
    <row r="59" spans="1:4" x14ac:dyDescent="0.3">
      <c r="A59" s="3">
        <v>2</v>
      </c>
      <c r="B59" t="s">
        <v>6</v>
      </c>
      <c r="C59" s="1">
        <v>1.75</v>
      </c>
      <c r="D59" s="2">
        <v>6</v>
      </c>
    </row>
    <row r="60" spans="1:4" x14ac:dyDescent="0.3">
      <c r="A60" s="3">
        <v>2</v>
      </c>
      <c r="B60" t="s">
        <v>5</v>
      </c>
      <c r="C60" s="1">
        <v>1.55</v>
      </c>
      <c r="D60" s="2">
        <v>5.7</v>
      </c>
    </row>
    <row r="61" spans="1:4" x14ac:dyDescent="0.3">
      <c r="A61" s="3">
        <v>2</v>
      </c>
      <c r="B61" t="s">
        <v>5</v>
      </c>
      <c r="C61" s="1">
        <v>1.8</v>
      </c>
      <c r="D61" s="2">
        <v>5.7</v>
      </c>
    </row>
    <row r="62" spans="1:4" x14ac:dyDescent="0.3">
      <c r="A62" s="3">
        <v>1</v>
      </c>
      <c r="B62" t="s">
        <v>6</v>
      </c>
      <c r="C62" s="1">
        <v>1.6</v>
      </c>
      <c r="D62" s="2">
        <v>7.1</v>
      </c>
    </row>
    <row r="63" spans="1:4" x14ac:dyDescent="0.3">
      <c r="A63" s="3">
        <v>1</v>
      </c>
      <c r="B63" t="s">
        <v>5</v>
      </c>
      <c r="C63" s="1">
        <v>1.6</v>
      </c>
      <c r="D63" s="2">
        <v>5.7</v>
      </c>
    </row>
    <row r="64" spans="1:4" x14ac:dyDescent="0.3">
      <c r="A64" s="3">
        <v>2</v>
      </c>
      <c r="B64" t="s">
        <v>5</v>
      </c>
      <c r="C64" s="1">
        <v>1.45</v>
      </c>
      <c r="D64" s="2">
        <v>5.6</v>
      </c>
    </row>
    <row r="65" spans="1:4" x14ac:dyDescent="0.3">
      <c r="A65" s="3">
        <v>2</v>
      </c>
      <c r="B65" t="s">
        <v>7</v>
      </c>
      <c r="C65" s="1">
        <v>1.8</v>
      </c>
      <c r="D65" s="2">
        <v>5.6</v>
      </c>
    </row>
    <row r="66" spans="1:4" x14ac:dyDescent="0.3">
      <c r="A66" s="3">
        <v>1</v>
      </c>
      <c r="B66" t="s">
        <v>6</v>
      </c>
      <c r="C66" s="1">
        <v>1.5</v>
      </c>
      <c r="D66" s="2">
        <v>6.7</v>
      </c>
    </row>
    <row r="67" spans="1:4" x14ac:dyDescent="0.3">
      <c r="A67" s="3">
        <v>1</v>
      </c>
      <c r="B67" t="s">
        <v>4</v>
      </c>
      <c r="C67" s="1">
        <v>1.65</v>
      </c>
      <c r="D67" s="2">
        <v>6.5</v>
      </c>
    </row>
    <row r="68" spans="1:4" x14ac:dyDescent="0.3">
      <c r="A68" s="3">
        <v>3</v>
      </c>
      <c r="B68" t="s">
        <v>6</v>
      </c>
      <c r="C68" s="1">
        <v>1.7</v>
      </c>
      <c r="D68" s="2">
        <v>5.8</v>
      </c>
    </row>
    <row r="69" spans="1:4" x14ac:dyDescent="0.3">
      <c r="A69" s="3">
        <v>3</v>
      </c>
      <c r="B69" t="s">
        <v>5</v>
      </c>
      <c r="C69" s="1">
        <v>1.65</v>
      </c>
      <c r="D69" s="2">
        <v>5.3</v>
      </c>
    </row>
    <row r="70" spans="1:4" x14ac:dyDescent="0.3">
      <c r="A70" s="3">
        <v>2</v>
      </c>
      <c r="B70" t="s">
        <v>4</v>
      </c>
      <c r="C70" s="1">
        <v>1.85</v>
      </c>
      <c r="D70" s="2">
        <v>6.5</v>
      </c>
    </row>
    <row r="71" spans="1:4" x14ac:dyDescent="0.3">
      <c r="A71" s="3">
        <v>3</v>
      </c>
      <c r="B71" t="s">
        <v>7</v>
      </c>
      <c r="C71" s="1">
        <v>1.95</v>
      </c>
      <c r="D71" s="2">
        <v>6.2</v>
      </c>
    </row>
    <row r="72" spans="1:4" x14ac:dyDescent="0.3">
      <c r="A72" s="3">
        <v>3</v>
      </c>
      <c r="B72" t="s">
        <v>6</v>
      </c>
      <c r="C72" s="1">
        <v>1.5</v>
      </c>
      <c r="D72" s="2">
        <v>6.2</v>
      </c>
    </row>
    <row r="73" spans="1:4" x14ac:dyDescent="0.3">
      <c r="A73" s="3">
        <v>2</v>
      </c>
      <c r="B73" t="s">
        <v>6</v>
      </c>
      <c r="C73" s="1">
        <v>1.55</v>
      </c>
      <c r="D73" s="2">
        <v>6.5</v>
      </c>
    </row>
    <row r="74" spans="1:4" x14ac:dyDescent="0.3">
      <c r="A74" s="3">
        <v>1</v>
      </c>
      <c r="B74" t="s">
        <v>6</v>
      </c>
      <c r="C74" s="1">
        <v>1.4</v>
      </c>
      <c r="D74" s="2">
        <v>6.7</v>
      </c>
    </row>
    <row r="75" spans="1:4" x14ac:dyDescent="0.3">
      <c r="A75" s="3">
        <v>1</v>
      </c>
      <c r="B75" t="s">
        <v>6</v>
      </c>
      <c r="C75" s="1">
        <v>1.65</v>
      </c>
      <c r="D75" s="2">
        <v>6.5</v>
      </c>
    </row>
    <row r="76" spans="1:4" x14ac:dyDescent="0.3">
      <c r="A76" s="3">
        <v>3</v>
      </c>
      <c r="B76" t="s">
        <v>5</v>
      </c>
      <c r="C76" s="1">
        <v>1.75</v>
      </c>
      <c r="D76" s="2">
        <v>6.3</v>
      </c>
    </row>
    <row r="77" spans="1:4" x14ac:dyDescent="0.3">
      <c r="A77" s="3">
        <v>3</v>
      </c>
      <c r="B77" t="s">
        <v>7</v>
      </c>
      <c r="C77" s="1">
        <v>1.55</v>
      </c>
      <c r="D77" s="2">
        <v>6</v>
      </c>
    </row>
    <row r="78" spans="1:4" x14ac:dyDescent="0.3">
      <c r="A78" s="3">
        <v>1</v>
      </c>
      <c r="B78" t="s">
        <v>6</v>
      </c>
      <c r="C78" s="1">
        <v>1.6</v>
      </c>
      <c r="D78" s="2">
        <v>6</v>
      </c>
    </row>
    <row r="79" spans="1:4" x14ac:dyDescent="0.3">
      <c r="A79" s="3">
        <v>3</v>
      </c>
      <c r="B79" t="s">
        <v>5</v>
      </c>
      <c r="C79" s="1">
        <v>1.45</v>
      </c>
      <c r="D79" s="2">
        <v>6</v>
      </c>
    </row>
    <row r="80" spans="1:4" x14ac:dyDescent="0.3">
      <c r="A80" s="3">
        <v>3</v>
      </c>
      <c r="B80" t="s">
        <v>6</v>
      </c>
      <c r="C80" s="1">
        <v>1.45</v>
      </c>
      <c r="D80" s="2">
        <v>6</v>
      </c>
    </row>
    <row r="81" spans="1:4" x14ac:dyDescent="0.3">
      <c r="A81" s="3">
        <v>3</v>
      </c>
      <c r="B81" t="s">
        <v>5</v>
      </c>
      <c r="C81" s="1">
        <v>1.55</v>
      </c>
      <c r="D81" s="2">
        <v>6.6</v>
      </c>
    </row>
    <row r="82" spans="1:4" x14ac:dyDescent="0.3">
      <c r="A82" s="3">
        <v>3</v>
      </c>
      <c r="B82" t="s">
        <v>7</v>
      </c>
      <c r="C82" s="1">
        <v>1.65</v>
      </c>
      <c r="D82" s="2">
        <v>6</v>
      </c>
    </row>
    <row r="83" spans="1:4" x14ac:dyDescent="0.3">
      <c r="A83" s="3">
        <v>3</v>
      </c>
      <c r="B83" t="s">
        <v>6</v>
      </c>
      <c r="C83" s="1">
        <v>1.6</v>
      </c>
      <c r="D83" s="2">
        <v>6</v>
      </c>
    </row>
    <row r="84" spans="1:4" x14ac:dyDescent="0.3">
      <c r="A84" s="3">
        <v>2</v>
      </c>
      <c r="B84" t="s">
        <v>7</v>
      </c>
      <c r="C84" s="1">
        <v>1.6</v>
      </c>
      <c r="D84" s="2">
        <v>5.8</v>
      </c>
    </row>
    <row r="85" spans="1:4" x14ac:dyDescent="0.3">
      <c r="A85" s="3">
        <v>3</v>
      </c>
      <c r="B85" t="s">
        <v>5</v>
      </c>
      <c r="C85" s="1">
        <v>1.65</v>
      </c>
      <c r="D85" s="2">
        <v>6.6</v>
      </c>
    </row>
    <row r="86" spans="1:4" x14ac:dyDescent="0.3">
      <c r="A86" s="3">
        <v>1</v>
      </c>
      <c r="B86" t="s">
        <v>5</v>
      </c>
      <c r="C86" s="1">
        <v>1.9</v>
      </c>
      <c r="D86" s="2">
        <v>5.6</v>
      </c>
    </row>
    <row r="87" spans="1:4" x14ac:dyDescent="0.3">
      <c r="A87" s="3">
        <v>3</v>
      </c>
      <c r="B87" t="s">
        <v>5</v>
      </c>
      <c r="C87" s="1">
        <v>1.7</v>
      </c>
      <c r="D87" s="2">
        <v>6.2</v>
      </c>
    </row>
    <row r="88" spans="1:4" x14ac:dyDescent="0.3">
      <c r="A88" s="3">
        <v>3</v>
      </c>
      <c r="B88" t="s">
        <v>7</v>
      </c>
      <c r="C88" s="1">
        <v>1.75</v>
      </c>
      <c r="D88" s="2">
        <v>6.1</v>
      </c>
    </row>
    <row r="89" spans="1:4" x14ac:dyDescent="0.3">
      <c r="A89" s="3">
        <v>1</v>
      </c>
      <c r="B89" t="s">
        <v>5</v>
      </c>
      <c r="C89" s="1">
        <v>1.9</v>
      </c>
      <c r="D89" s="2">
        <v>6.8</v>
      </c>
    </row>
    <row r="90" spans="1:4" x14ac:dyDescent="0.3">
      <c r="A90" s="3">
        <v>3</v>
      </c>
      <c r="B90" t="s">
        <v>5</v>
      </c>
      <c r="C90" s="1">
        <v>1.5</v>
      </c>
      <c r="D90" s="2">
        <v>6.3</v>
      </c>
    </row>
    <row r="91" spans="1:4" x14ac:dyDescent="0.3">
      <c r="A91" s="3">
        <v>1</v>
      </c>
      <c r="B91" t="s">
        <v>6</v>
      </c>
      <c r="C91" s="1">
        <v>1.75</v>
      </c>
      <c r="D91" s="2">
        <v>6.6</v>
      </c>
    </row>
    <row r="92" spans="1:4" x14ac:dyDescent="0.3">
      <c r="A92" s="3">
        <v>1</v>
      </c>
      <c r="B92" t="s">
        <v>5</v>
      </c>
      <c r="C92" s="1">
        <v>1.6</v>
      </c>
      <c r="D92" s="2">
        <v>6.8</v>
      </c>
    </row>
    <row r="93" spans="1:4" x14ac:dyDescent="0.3">
      <c r="A93" s="3">
        <v>2</v>
      </c>
      <c r="B93" t="s">
        <v>7</v>
      </c>
      <c r="C93" s="1">
        <v>1.95</v>
      </c>
      <c r="D93" s="2">
        <v>6.1</v>
      </c>
    </row>
    <row r="94" spans="1:4" x14ac:dyDescent="0.3">
      <c r="A94" s="3">
        <v>2</v>
      </c>
      <c r="B94" t="s">
        <v>6</v>
      </c>
      <c r="C94" s="1">
        <v>1.9</v>
      </c>
      <c r="D94" s="2">
        <v>6.8</v>
      </c>
    </row>
    <row r="95" spans="1:4" x14ac:dyDescent="0.3">
      <c r="A95" s="3">
        <v>2</v>
      </c>
      <c r="B95" t="s">
        <v>7</v>
      </c>
      <c r="C95" s="1">
        <v>1.75</v>
      </c>
      <c r="D95" s="2">
        <v>6.5</v>
      </c>
    </row>
    <row r="96" spans="1:4" x14ac:dyDescent="0.3">
      <c r="A96" s="3">
        <v>2</v>
      </c>
      <c r="B96" t="s">
        <v>7</v>
      </c>
      <c r="C96" s="1">
        <v>1.9</v>
      </c>
      <c r="D96" s="2">
        <v>6.8</v>
      </c>
    </row>
    <row r="97" spans="1:4" x14ac:dyDescent="0.3">
      <c r="A97" s="3">
        <v>1</v>
      </c>
      <c r="B97" t="s">
        <v>7</v>
      </c>
      <c r="C97" s="1">
        <v>1.75</v>
      </c>
      <c r="D97" s="2">
        <v>6.5</v>
      </c>
    </row>
    <row r="98" spans="1:4" x14ac:dyDescent="0.3">
      <c r="A98" s="3">
        <v>3</v>
      </c>
      <c r="B98" t="s">
        <v>7</v>
      </c>
      <c r="C98" s="1">
        <v>1.85</v>
      </c>
      <c r="D98" s="2">
        <v>6.5</v>
      </c>
    </row>
    <row r="99" spans="1:4" x14ac:dyDescent="0.3">
      <c r="A99" s="3">
        <v>3</v>
      </c>
      <c r="B99" t="s">
        <v>7</v>
      </c>
      <c r="C99" s="1">
        <v>1.7</v>
      </c>
      <c r="D99" s="2">
        <v>6.5</v>
      </c>
    </row>
    <row r="100" spans="1:4" x14ac:dyDescent="0.3">
      <c r="A100" s="3">
        <v>1</v>
      </c>
      <c r="B100" t="s">
        <v>7</v>
      </c>
      <c r="C100" s="1">
        <v>2</v>
      </c>
      <c r="D100" s="2">
        <v>7.1</v>
      </c>
    </row>
    <row r="101" spans="1:4" x14ac:dyDescent="0.3">
      <c r="A101" s="3">
        <v>2</v>
      </c>
      <c r="B101" t="s">
        <v>5</v>
      </c>
      <c r="C101" s="1">
        <v>1.65</v>
      </c>
      <c r="D101" s="2">
        <v>6.9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B05D-73BC-44EF-94DE-50022AA2C8F8}">
  <dimension ref="A1:I101"/>
  <sheetViews>
    <sheetView workbookViewId="0">
      <selection activeCell="J18" sqref="J18"/>
    </sheetView>
  </sheetViews>
  <sheetFormatPr defaultRowHeight="14.4" x14ac:dyDescent="0.3"/>
  <cols>
    <col min="7" max="7" width="34.88671875" bestFit="1" customWidth="1"/>
    <col min="8" max="8" width="18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</row>
    <row r="2" spans="1:8" x14ac:dyDescent="0.3">
      <c r="A2" s="3">
        <v>1</v>
      </c>
      <c r="B2" t="s">
        <v>4</v>
      </c>
      <c r="C2" s="1">
        <v>0.6</v>
      </c>
      <c r="D2" s="2">
        <v>4</v>
      </c>
    </row>
    <row r="3" spans="1:8" x14ac:dyDescent="0.3">
      <c r="A3" s="3">
        <v>2</v>
      </c>
      <c r="B3" t="s">
        <v>4</v>
      </c>
      <c r="C3" s="1">
        <v>1.45</v>
      </c>
      <c r="D3" s="2">
        <v>4</v>
      </c>
    </row>
    <row r="4" spans="1:8" x14ac:dyDescent="0.3">
      <c r="A4" s="3">
        <v>2</v>
      </c>
      <c r="B4" t="s">
        <v>4</v>
      </c>
      <c r="C4" s="1">
        <v>1.3</v>
      </c>
      <c r="D4" s="2">
        <v>4.5</v>
      </c>
      <c r="G4" t="s">
        <v>18</v>
      </c>
    </row>
    <row r="5" spans="1:8" x14ac:dyDescent="0.3">
      <c r="A5" s="3">
        <v>2</v>
      </c>
      <c r="B5" t="s">
        <v>4</v>
      </c>
      <c r="C5" s="1">
        <v>1</v>
      </c>
      <c r="D5" s="2">
        <v>4</v>
      </c>
      <c r="G5" t="s">
        <v>19</v>
      </c>
    </row>
    <row r="6" spans="1:8" x14ac:dyDescent="0.3">
      <c r="A6" s="3">
        <v>3</v>
      </c>
      <c r="B6" t="s">
        <v>4</v>
      </c>
      <c r="C6" s="1">
        <v>1.1000000000000001</v>
      </c>
      <c r="D6" s="2">
        <v>4.5</v>
      </c>
      <c r="G6" s="7" t="s">
        <v>20</v>
      </c>
      <c r="H6" s="7" t="s">
        <v>21</v>
      </c>
    </row>
    <row r="7" spans="1:8" x14ac:dyDescent="0.3">
      <c r="A7" s="3">
        <v>1</v>
      </c>
      <c r="B7" t="s">
        <v>4</v>
      </c>
      <c r="C7" s="1">
        <v>1.2</v>
      </c>
      <c r="D7" s="2">
        <v>5</v>
      </c>
      <c r="G7" s="8" t="s">
        <v>22</v>
      </c>
      <c r="H7" s="8">
        <f>COUNT(A:A)</f>
        <v>100</v>
      </c>
    </row>
    <row r="8" spans="1:8" x14ac:dyDescent="0.3">
      <c r="A8" s="3">
        <v>2</v>
      </c>
      <c r="B8" t="s">
        <v>5</v>
      </c>
      <c r="C8" s="1">
        <v>1.5</v>
      </c>
      <c r="D8" s="2">
        <v>4.5999999999999996</v>
      </c>
      <c r="G8" s="8" t="s">
        <v>23</v>
      </c>
      <c r="H8" s="8">
        <f>COUNTIF(A:A,1)</f>
        <v>34</v>
      </c>
    </row>
    <row r="9" spans="1:8" x14ac:dyDescent="0.3">
      <c r="A9" s="3">
        <v>2</v>
      </c>
      <c r="B9" t="s">
        <v>4</v>
      </c>
      <c r="C9" s="1">
        <v>1.55</v>
      </c>
      <c r="D9" s="2">
        <v>4.7</v>
      </c>
      <c r="G9" s="8" t="s">
        <v>24</v>
      </c>
      <c r="H9" s="8">
        <v>0.34</v>
      </c>
    </row>
    <row r="10" spans="1:8" x14ac:dyDescent="0.3">
      <c r="A10" s="3">
        <v>2</v>
      </c>
      <c r="B10" t="s">
        <v>4</v>
      </c>
      <c r="C10" s="1">
        <v>1.25</v>
      </c>
      <c r="D10" s="2">
        <v>4.5999999999999996</v>
      </c>
      <c r="G10" s="8" t="s">
        <v>25</v>
      </c>
      <c r="H10" s="9">
        <v>0.9</v>
      </c>
    </row>
    <row r="11" spans="1:8" x14ac:dyDescent="0.3">
      <c r="A11" s="3">
        <v>1</v>
      </c>
      <c r="B11" t="s">
        <v>5</v>
      </c>
      <c r="C11" s="1">
        <v>1.5</v>
      </c>
      <c r="D11" s="2">
        <v>4</v>
      </c>
      <c r="G11" s="8" t="s">
        <v>26</v>
      </c>
      <c r="H11" s="8">
        <v>0.1</v>
      </c>
    </row>
    <row r="12" spans="1:8" x14ac:dyDescent="0.3">
      <c r="A12" s="3">
        <v>1</v>
      </c>
      <c r="B12" t="s">
        <v>4</v>
      </c>
      <c r="C12" s="1">
        <v>1.25</v>
      </c>
      <c r="D12" s="2">
        <v>3.8</v>
      </c>
      <c r="G12" s="8" t="s">
        <v>27</v>
      </c>
      <c r="H12" s="8">
        <v>1.645</v>
      </c>
    </row>
    <row r="13" spans="1:8" x14ac:dyDescent="0.3">
      <c r="A13" s="3">
        <v>2</v>
      </c>
      <c r="B13" t="s">
        <v>5</v>
      </c>
      <c r="C13" s="1">
        <v>1.5</v>
      </c>
      <c r="D13" s="2">
        <v>4.7</v>
      </c>
      <c r="G13" s="8" t="s">
        <v>28</v>
      </c>
      <c r="H13" s="8">
        <v>4.7399999999999998E-2</v>
      </c>
    </row>
    <row r="14" spans="1:8" x14ac:dyDescent="0.3">
      <c r="A14" s="3">
        <v>2</v>
      </c>
      <c r="B14" t="s">
        <v>4</v>
      </c>
      <c r="C14" s="1">
        <v>1.45</v>
      </c>
      <c r="D14" s="2">
        <v>4.5</v>
      </c>
      <c r="G14" s="8" t="s">
        <v>29</v>
      </c>
      <c r="H14" s="4">
        <f xml:space="preserve"> H12 * SQRT(H9*(1-H9)/H7)</f>
        <v>7.7925092877711724E-2</v>
      </c>
    </row>
    <row r="15" spans="1:8" x14ac:dyDescent="0.3">
      <c r="A15" s="3">
        <v>1</v>
      </c>
      <c r="B15" t="s">
        <v>6</v>
      </c>
      <c r="C15" s="1">
        <v>1.4</v>
      </c>
      <c r="D15" s="2">
        <v>5.9</v>
      </c>
      <c r="G15" s="8" t="s">
        <v>30</v>
      </c>
      <c r="H15" s="4">
        <f>H9-H14</f>
        <v>0.26207490712228831</v>
      </c>
    </row>
    <row r="16" spans="1:8" x14ac:dyDescent="0.3">
      <c r="A16" s="3">
        <v>1</v>
      </c>
      <c r="B16" t="s">
        <v>5</v>
      </c>
      <c r="C16" s="1">
        <v>1</v>
      </c>
      <c r="D16" s="2">
        <v>5.5</v>
      </c>
      <c r="G16" s="8" t="s">
        <v>31</v>
      </c>
      <c r="H16" s="4">
        <f>H9+H14</f>
        <v>0.41792509287771173</v>
      </c>
    </row>
    <row r="17" spans="1:8" x14ac:dyDescent="0.3">
      <c r="A17" s="3">
        <v>3</v>
      </c>
      <c r="B17" t="s">
        <v>4</v>
      </c>
      <c r="C17" s="1">
        <v>1.2</v>
      </c>
      <c r="D17" s="2">
        <v>4.8</v>
      </c>
    </row>
    <row r="18" spans="1:8" x14ac:dyDescent="0.3">
      <c r="A18" s="3">
        <v>1</v>
      </c>
      <c r="B18" t="s">
        <v>5</v>
      </c>
      <c r="C18" s="1">
        <v>1.5</v>
      </c>
      <c r="D18" s="2">
        <v>5.2</v>
      </c>
      <c r="G18" t="s">
        <v>32</v>
      </c>
    </row>
    <row r="19" spans="1:8" x14ac:dyDescent="0.3">
      <c r="A19" s="3">
        <v>3</v>
      </c>
      <c r="B19" t="s">
        <v>5</v>
      </c>
      <c r="C19" s="1">
        <v>1.55</v>
      </c>
      <c r="D19" s="2">
        <v>5.3</v>
      </c>
      <c r="G19" s="7" t="s">
        <v>20</v>
      </c>
      <c r="H19" s="7" t="s">
        <v>21</v>
      </c>
    </row>
    <row r="20" spans="1:8" x14ac:dyDescent="0.3">
      <c r="A20" s="3">
        <v>1</v>
      </c>
      <c r="B20" t="s">
        <v>6</v>
      </c>
      <c r="C20" s="1">
        <v>1.6</v>
      </c>
      <c r="D20" s="2">
        <v>6.8</v>
      </c>
      <c r="G20" s="8" t="s">
        <v>22</v>
      </c>
      <c r="H20" s="8">
        <v>100</v>
      </c>
    </row>
    <row r="21" spans="1:8" x14ac:dyDescent="0.3">
      <c r="A21" s="3">
        <v>2</v>
      </c>
      <c r="B21" t="s">
        <v>6</v>
      </c>
      <c r="C21" s="1">
        <v>1.5</v>
      </c>
      <c r="D21" s="2">
        <v>5.3</v>
      </c>
      <c r="G21" s="8" t="s">
        <v>33</v>
      </c>
      <c r="H21" s="8">
        <v>48</v>
      </c>
    </row>
    <row r="22" spans="1:8" x14ac:dyDescent="0.3">
      <c r="A22" s="3">
        <v>1</v>
      </c>
      <c r="B22" t="s">
        <v>5</v>
      </c>
      <c r="C22" s="1">
        <v>1.56</v>
      </c>
      <c r="D22" s="2">
        <v>6.5</v>
      </c>
      <c r="G22" s="8" t="s">
        <v>24</v>
      </c>
      <c r="H22" s="8">
        <v>0.48</v>
      </c>
    </row>
    <row r="23" spans="1:8" x14ac:dyDescent="0.3">
      <c r="A23" s="3">
        <v>3</v>
      </c>
      <c r="B23" t="s">
        <v>5</v>
      </c>
      <c r="C23" s="1">
        <v>1.5</v>
      </c>
      <c r="D23" s="2">
        <v>6.5</v>
      </c>
      <c r="G23" s="8" t="s">
        <v>25</v>
      </c>
      <c r="H23" s="9">
        <v>0.7</v>
      </c>
    </row>
    <row r="24" spans="1:8" x14ac:dyDescent="0.3">
      <c r="A24" s="3">
        <v>3</v>
      </c>
      <c r="B24" t="s">
        <v>5</v>
      </c>
      <c r="C24" s="1">
        <v>1.5</v>
      </c>
      <c r="D24" s="2">
        <v>5.5</v>
      </c>
      <c r="G24" s="8" t="s">
        <v>26</v>
      </c>
      <c r="H24" s="8">
        <v>0.3</v>
      </c>
    </row>
    <row r="25" spans="1:8" x14ac:dyDescent="0.3">
      <c r="A25" s="3">
        <v>2</v>
      </c>
      <c r="B25" t="s">
        <v>5</v>
      </c>
      <c r="C25" s="1">
        <v>1.5</v>
      </c>
      <c r="D25" s="2">
        <v>5.5</v>
      </c>
      <c r="G25" s="8" t="s">
        <v>27</v>
      </c>
      <c r="H25" s="8">
        <v>1.036</v>
      </c>
    </row>
    <row r="26" spans="1:8" x14ac:dyDescent="0.3">
      <c r="A26" s="3">
        <v>3</v>
      </c>
      <c r="B26" t="s">
        <v>5</v>
      </c>
      <c r="C26" s="1">
        <v>1.4</v>
      </c>
      <c r="D26" s="2">
        <v>5</v>
      </c>
      <c r="G26" s="8" t="s">
        <v>28</v>
      </c>
      <c r="H26" s="8">
        <v>0.05</v>
      </c>
    </row>
    <row r="27" spans="1:8" x14ac:dyDescent="0.3">
      <c r="A27" s="3">
        <v>3</v>
      </c>
      <c r="B27" t="s">
        <v>5</v>
      </c>
      <c r="C27" s="1">
        <v>1.2</v>
      </c>
      <c r="D27" s="2">
        <v>4.8</v>
      </c>
      <c r="G27" s="8" t="s">
        <v>29</v>
      </c>
      <c r="H27" s="8">
        <v>5.1799999999999999E-2</v>
      </c>
    </row>
    <row r="28" spans="1:8" x14ac:dyDescent="0.3">
      <c r="A28" s="3">
        <v>3</v>
      </c>
      <c r="B28" t="s">
        <v>5</v>
      </c>
      <c r="C28" s="1">
        <v>0.95</v>
      </c>
      <c r="D28" s="2">
        <v>4.5</v>
      </c>
      <c r="G28" s="8" t="s">
        <v>30</v>
      </c>
      <c r="H28" s="8">
        <v>0.42799999999999999</v>
      </c>
    </row>
    <row r="29" spans="1:8" x14ac:dyDescent="0.3">
      <c r="A29" s="3">
        <v>2</v>
      </c>
      <c r="B29" t="s">
        <v>4</v>
      </c>
      <c r="C29" s="1">
        <v>1.7</v>
      </c>
      <c r="D29" s="2">
        <v>6.1</v>
      </c>
      <c r="G29" s="8" t="s">
        <v>31</v>
      </c>
      <c r="H29" s="8">
        <v>0.53200000000000003</v>
      </c>
    </row>
    <row r="30" spans="1:8" x14ac:dyDescent="0.3">
      <c r="A30" s="3">
        <v>3</v>
      </c>
      <c r="B30" t="s">
        <v>5</v>
      </c>
      <c r="C30" s="1">
        <v>1.4</v>
      </c>
      <c r="D30" s="2">
        <v>5.5</v>
      </c>
    </row>
    <row r="31" spans="1:8" x14ac:dyDescent="0.3">
      <c r="A31" s="3">
        <v>1</v>
      </c>
      <c r="B31" t="s">
        <v>5</v>
      </c>
      <c r="C31" s="1">
        <v>1.5</v>
      </c>
      <c r="D31" s="2">
        <v>5.2</v>
      </c>
    </row>
    <row r="32" spans="1:8" x14ac:dyDescent="0.3">
      <c r="A32" s="3">
        <v>2</v>
      </c>
      <c r="B32" t="s">
        <v>5</v>
      </c>
      <c r="C32" s="1">
        <v>1.45</v>
      </c>
      <c r="D32" s="2">
        <v>5.2</v>
      </c>
      <c r="G32" t="s">
        <v>34</v>
      </c>
    </row>
    <row r="33" spans="1:9" x14ac:dyDescent="0.3">
      <c r="A33" s="3">
        <v>2</v>
      </c>
      <c r="B33" t="s">
        <v>4</v>
      </c>
      <c r="C33" s="1">
        <v>1.4</v>
      </c>
      <c r="D33" s="2">
        <v>5</v>
      </c>
      <c r="G33" t="s">
        <v>35</v>
      </c>
    </row>
    <row r="34" spans="1:9" x14ac:dyDescent="0.3">
      <c r="A34" s="3">
        <v>1</v>
      </c>
      <c r="B34" t="s">
        <v>6</v>
      </c>
      <c r="C34" s="1">
        <v>1.3</v>
      </c>
      <c r="D34" s="2">
        <v>6.1</v>
      </c>
      <c r="G34" s="7" t="s">
        <v>36</v>
      </c>
      <c r="H34" s="7" t="s">
        <v>21</v>
      </c>
    </row>
    <row r="35" spans="1:9" x14ac:dyDescent="0.3">
      <c r="A35" s="3">
        <v>1</v>
      </c>
      <c r="B35" t="s">
        <v>5</v>
      </c>
      <c r="C35" s="1">
        <v>1.4</v>
      </c>
      <c r="D35" s="2">
        <v>5.6</v>
      </c>
      <c r="G35" s="8" t="s">
        <v>37</v>
      </c>
      <c r="H35" s="8">
        <v>0.6</v>
      </c>
    </row>
    <row r="36" spans="1:9" x14ac:dyDescent="0.3">
      <c r="A36" s="3">
        <v>1</v>
      </c>
      <c r="B36" t="s">
        <v>5</v>
      </c>
      <c r="C36" s="1">
        <v>1.25</v>
      </c>
      <c r="D36" s="2">
        <v>5.6</v>
      </c>
      <c r="G36" s="8" t="s">
        <v>38</v>
      </c>
      <c r="H36" s="8">
        <v>14</v>
      </c>
    </row>
    <row r="37" spans="1:9" x14ac:dyDescent="0.3">
      <c r="A37" s="3">
        <v>2</v>
      </c>
      <c r="B37" t="s">
        <v>5</v>
      </c>
      <c r="C37" s="1">
        <v>1.35</v>
      </c>
      <c r="D37" s="2">
        <v>5.5</v>
      </c>
      <c r="G37" s="8" t="s">
        <v>39</v>
      </c>
      <c r="H37" s="8">
        <v>13.4</v>
      </c>
    </row>
    <row r="38" spans="1:9" x14ac:dyDescent="0.3">
      <c r="A38" s="3">
        <v>1</v>
      </c>
      <c r="B38" t="s">
        <v>6</v>
      </c>
      <c r="C38" s="1">
        <v>1.6</v>
      </c>
      <c r="D38" s="2">
        <v>5</v>
      </c>
      <c r="G38" s="8" t="s">
        <v>40</v>
      </c>
      <c r="H38" s="4">
        <f>AVERAGE(C:C)</f>
        <v>1.6477999999999997</v>
      </c>
    </row>
    <row r="39" spans="1:9" x14ac:dyDescent="0.3">
      <c r="A39" s="3">
        <v>1</v>
      </c>
      <c r="B39" t="s">
        <v>5</v>
      </c>
      <c r="C39" s="1">
        <v>14</v>
      </c>
      <c r="D39" s="2">
        <v>5</v>
      </c>
      <c r="G39" s="8" t="s">
        <v>41</v>
      </c>
      <c r="H39" s="8">
        <v>1.55</v>
      </c>
    </row>
    <row r="40" spans="1:9" x14ac:dyDescent="0.3">
      <c r="A40" s="3">
        <v>2</v>
      </c>
      <c r="B40" t="s">
        <v>5</v>
      </c>
      <c r="C40" s="1">
        <v>1.25</v>
      </c>
      <c r="D40" s="2">
        <v>5</v>
      </c>
      <c r="G40" s="8" t="s">
        <v>42</v>
      </c>
      <c r="H40" s="8">
        <v>1.5</v>
      </c>
    </row>
    <row r="41" spans="1:9" x14ac:dyDescent="0.3">
      <c r="A41" s="3">
        <v>3</v>
      </c>
      <c r="B41" t="s">
        <v>5</v>
      </c>
      <c r="C41" s="1">
        <v>1.1000000000000001</v>
      </c>
      <c r="D41" s="2">
        <v>5.5</v>
      </c>
      <c r="G41" s="8" t="s">
        <v>43</v>
      </c>
      <c r="H41" s="4">
        <f>(MIN(C:C)+MAX(C:C))/2</f>
        <v>7.3</v>
      </c>
    </row>
    <row r="42" spans="1:9" x14ac:dyDescent="0.3">
      <c r="A42" s="3">
        <v>3</v>
      </c>
      <c r="B42" t="s">
        <v>5</v>
      </c>
      <c r="C42" s="1">
        <v>1.35</v>
      </c>
      <c r="D42" s="2">
        <v>5.4</v>
      </c>
    </row>
    <row r="43" spans="1:9" x14ac:dyDescent="0.3">
      <c r="A43" s="3">
        <v>2</v>
      </c>
      <c r="B43" t="s">
        <v>5</v>
      </c>
      <c r="C43" s="1">
        <v>1.4</v>
      </c>
      <c r="D43" s="2">
        <v>5.3</v>
      </c>
      <c r="G43" t="s">
        <v>44</v>
      </c>
    </row>
    <row r="44" spans="1:9" x14ac:dyDescent="0.3">
      <c r="A44" s="3">
        <v>2</v>
      </c>
      <c r="B44" t="s">
        <v>6</v>
      </c>
      <c r="C44" s="1">
        <v>1.6</v>
      </c>
      <c r="D44" s="2">
        <v>6.3</v>
      </c>
      <c r="G44" s="7" t="s">
        <v>45</v>
      </c>
      <c r="H44" s="7" t="s">
        <v>65</v>
      </c>
      <c r="I44" s="7" t="s">
        <v>21</v>
      </c>
    </row>
    <row r="45" spans="1:9" x14ac:dyDescent="0.3">
      <c r="A45" s="3">
        <v>1</v>
      </c>
      <c r="B45" t="s">
        <v>5</v>
      </c>
      <c r="C45" s="1">
        <v>1.65</v>
      </c>
      <c r="D45" s="2">
        <v>5.8</v>
      </c>
      <c r="G45" s="8" t="s">
        <v>46</v>
      </c>
      <c r="H45" s="4">
        <v>0.05</v>
      </c>
      <c r="I45" s="4">
        <f>_xlfn.PERCENTILE.INC(C:C, 0.05)</f>
        <v>1.1000000000000001</v>
      </c>
    </row>
    <row r="46" spans="1:9" x14ac:dyDescent="0.3">
      <c r="A46" s="3">
        <v>1</v>
      </c>
      <c r="B46" t="s">
        <v>5</v>
      </c>
      <c r="C46" s="1">
        <v>1.7</v>
      </c>
      <c r="D46" s="2">
        <v>5.4</v>
      </c>
      <c r="G46" s="8" t="s">
        <v>47</v>
      </c>
      <c r="H46" s="4">
        <v>0.1</v>
      </c>
      <c r="I46" s="4">
        <f>_xlfn.PERCENTILE.INC(C:C, 0.1)</f>
        <v>1.25</v>
      </c>
    </row>
    <row r="47" spans="1:9" x14ac:dyDescent="0.3">
      <c r="A47" s="3">
        <v>2</v>
      </c>
      <c r="B47" t="s">
        <v>5</v>
      </c>
      <c r="C47" s="1">
        <v>1.55</v>
      </c>
      <c r="D47" s="2">
        <v>5</v>
      </c>
      <c r="G47" s="8" t="s">
        <v>48</v>
      </c>
      <c r="H47" s="4">
        <v>0.9</v>
      </c>
      <c r="I47" s="4">
        <f>_xlfn.PERCENTILE.INC(C:C, 0.9)</f>
        <v>1.8050000000000004</v>
      </c>
    </row>
    <row r="48" spans="1:9" x14ac:dyDescent="0.3">
      <c r="A48" s="3">
        <v>1</v>
      </c>
      <c r="B48" t="s">
        <v>6</v>
      </c>
      <c r="C48" s="1">
        <v>1.55</v>
      </c>
      <c r="D48" s="2">
        <v>4.5</v>
      </c>
      <c r="G48" s="8" t="s">
        <v>49</v>
      </c>
      <c r="H48" s="4">
        <v>0.95</v>
      </c>
      <c r="I48" s="4">
        <f>_xlfn.PERCENTILE.INC(C:C, 0.95)</f>
        <v>1.9</v>
      </c>
    </row>
    <row r="49" spans="1:9" x14ac:dyDescent="0.3">
      <c r="A49" s="3">
        <v>2</v>
      </c>
      <c r="B49" t="s">
        <v>6</v>
      </c>
      <c r="C49" s="1">
        <v>1.55</v>
      </c>
      <c r="D49" s="2">
        <v>5.5</v>
      </c>
    </row>
    <row r="50" spans="1:9" x14ac:dyDescent="0.3">
      <c r="A50" s="3">
        <v>1</v>
      </c>
      <c r="B50" t="s">
        <v>5</v>
      </c>
      <c r="C50" s="1">
        <v>1.5</v>
      </c>
      <c r="D50" s="2">
        <v>6.1</v>
      </c>
      <c r="G50" t="s">
        <v>50</v>
      </c>
    </row>
    <row r="51" spans="1:9" x14ac:dyDescent="0.3">
      <c r="A51" s="3">
        <v>2</v>
      </c>
      <c r="B51" t="s">
        <v>6</v>
      </c>
      <c r="C51" s="1">
        <v>1.45</v>
      </c>
      <c r="D51" s="2">
        <v>5.8</v>
      </c>
      <c r="G51" s="7" t="s">
        <v>51</v>
      </c>
      <c r="H51" s="7" t="s">
        <v>65</v>
      </c>
      <c r="I51" s="7" t="s">
        <v>21</v>
      </c>
    </row>
    <row r="52" spans="1:9" x14ac:dyDescent="0.3">
      <c r="A52" s="3">
        <v>2</v>
      </c>
      <c r="B52" t="s">
        <v>5</v>
      </c>
      <c r="C52" s="1">
        <v>1.55</v>
      </c>
      <c r="D52" s="2">
        <v>5.5</v>
      </c>
      <c r="G52" s="8" t="s">
        <v>52</v>
      </c>
      <c r="H52" s="8">
        <v>1</v>
      </c>
      <c r="I52" s="4">
        <f>_xlfn.QUARTILE.INC(C:C,1)</f>
        <v>1.4</v>
      </c>
    </row>
    <row r="53" spans="1:9" x14ac:dyDescent="0.3">
      <c r="A53" s="3">
        <v>1</v>
      </c>
      <c r="B53" t="s">
        <v>5</v>
      </c>
      <c r="C53" s="1">
        <v>1.4</v>
      </c>
      <c r="D53" s="2">
        <v>5.6</v>
      </c>
      <c r="G53" s="8" t="s">
        <v>53</v>
      </c>
      <c r="H53" s="8">
        <v>2</v>
      </c>
      <c r="I53" s="4">
        <f>_xlfn.QUARTILE.INC(C:C,2)</f>
        <v>1.55</v>
      </c>
    </row>
    <row r="54" spans="1:9" x14ac:dyDescent="0.3">
      <c r="A54" s="3">
        <v>2</v>
      </c>
      <c r="B54" t="s">
        <v>6</v>
      </c>
      <c r="C54" s="1">
        <v>1.35</v>
      </c>
      <c r="D54" s="2">
        <v>6</v>
      </c>
      <c r="G54" s="8" t="s">
        <v>54</v>
      </c>
      <c r="H54" s="8">
        <v>3</v>
      </c>
      <c r="I54" s="4">
        <f>_xlfn.QUARTILE.INC(C:C,3)</f>
        <v>1.65</v>
      </c>
    </row>
    <row r="55" spans="1:9" x14ac:dyDescent="0.3">
      <c r="A55" s="3">
        <v>1</v>
      </c>
      <c r="B55" t="s">
        <v>5</v>
      </c>
      <c r="C55" s="1">
        <v>1.32</v>
      </c>
      <c r="D55" s="2">
        <v>5.6</v>
      </c>
    </row>
    <row r="56" spans="1:9" x14ac:dyDescent="0.3">
      <c r="A56" s="3">
        <v>3</v>
      </c>
      <c r="B56" t="s">
        <v>5</v>
      </c>
      <c r="C56" s="1">
        <v>1.45</v>
      </c>
      <c r="D56" s="2">
        <v>5.6</v>
      </c>
    </row>
    <row r="57" spans="1:9" x14ac:dyDescent="0.3">
      <c r="A57" s="3">
        <v>3</v>
      </c>
      <c r="B57" t="s">
        <v>5</v>
      </c>
      <c r="C57" s="1">
        <v>1.55</v>
      </c>
      <c r="D57" s="2">
        <v>5.5</v>
      </c>
      <c r="G57" t="s">
        <v>55</v>
      </c>
    </row>
    <row r="58" spans="1:9" x14ac:dyDescent="0.3">
      <c r="A58" s="3">
        <v>2</v>
      </c>
      <c r="B58" t="s">
        <v>7</v>
      </c>
      <c r="C58" s="1">
        <v>1.8</v>
      </c>
      <c r="D58" s="2">
        <v>6.5</v>
      </c>
      <c r="G58" s="7" t="s">
        <v>56</v>
      </c>
      <c r="H58" s="7" t="s">
        <v>65</v>
      </c>
      <c r="I58" s="7" t="s">
        <v>21</v>
      </c>
    </row>
    <row r="59" spans="1:9" x14ac:dyDescent="0.3">
      <c r="A59" s="3">
        <v>2</v>
      </c>
      <c r="B59" t="s">
        <v>6</v>
      </c>
      <c r="C59" s="1">
        <v>1.75</v>
      </c>
      <c r="D59" s="2">
        <v>6</v>
      </c>
      <c r="G59" s="8" t="s">
        <v>57</v>
      </c>
      <c r="H59" s="8">
        <v>0.2</v>
      </c>
      <c r="I59" s="4">
        <f>_xlfn.PERCENTILE.INC(C:C,0.2)</f>
        <v>1.4</v>
      </c>
    </row>
    <row r="60" spans="1:9" x14ac:dyDescent="0.3">
      <c r="A60" s="3">
        <v>2</v>
      </c>
      <c r="B60" t="s">
        <v>5</v>
      </c>
      <c r="C60" s="1">
        <v>1.55</v>
      </c>
      <c r="D60" s="2">
        <v>5.7</v>
      </c>
      <c r="G60" s="8" t="s">
        <v>58</v>
      </c>
      <c r="H60" s="8">
        <v>0.4</v>
      </c>
      <c r="I60" s="4">
        <f>_xlfn.PERCENTILE.INC(C:C,0.4)</f>
        <v>1.5</v>
      </c>
    </row>
    <row r="61" spans="1:9" x14ac:dyDescent="0.3">
      <c r="A61" s="3">
        <v>2</v>
      </c>
      <c r="B61" t="s">
        <v>5</v>
      </c>
      <c r="C61" s="1">
        <v>1.8</v>
      </c>
      <c r="D61" s="2">
        <v>5.7</v>
      </c>
      <c r="G61" s="8" t="s">
        <v>59</v>
      </c>
      <c r="H61" s="8">
        <v>0.6</v>
      </c>
      <c r="I61" s="4">
        <f>_xlfn.PERCENTILE.INC(C:C,0.6)</f>
        <v>1.5760000000000001</v>
      </c>
    </row>
    <row r="62" spans="1:9" x14ac:dyDescent="0.3">
      <c r="A62" s="3">
        <v>1</v>
      </c>
      <c r="B62" t="s">
        <v>6</v>
      </c>
      <c r="C62" s="1">
        <v>1.6</v>
      </c>
      <c r="D62" s="2">
        <v>7.1</v>
      </c>
      <c r="G62" s="8" t="s">
        <v>60</v>
      </c>
      <c r="H62" s="8">
        <v>0.8</v>
      </c>
      <c r="I62" s="4">
        <f>_xlfn.PERCENTILE.INC(C:C,0.8)</f>
        <v>1.7</v>
      </c>
    </row>
    <row r="63" spans="1:9" x14ac:dyDescent="0.3">
      <c r="A63" s="3">
        <v>1</v>
      </c>
      <c r="B63" t="s">
        <v>5</v>
      </c>
      <c r="C63" s="1">
        <v>1.6</v>
      </c>
      <c r="D63" s="2">
        <v>5.7</v>
      </c>
    </row>
    <row r="64" spans="1:9" x14ac:dyDescent="0.3">
      <c r="A64" s="3">
        <v>2</v>
      </c>
      <c r="B64" t="s">
        <v>5</v>
      </c>
      <c r="C64" s="1">
        <v>1.45</v>
      </c>
      <c r="D64" s="2">
        <v>5.6</v>
      </c>
      <c r="G64" t="s">
        <v>61</v>
      </c>
    </row>
    <row r="65" spans="1:8" x14ac:dyDescent="0.3">
      <c r="A65" s="3">
        <v>2</v>
      </c>
      <c r="B65" t="s">
        <v>7</v>
      </c>
      <c r="C65" s="1">
        <v>1.8</v>
      </c>
      <c r="D65" s="2">
        <v>5.6</v>
      </c>
      <c r="G65" s="7" t="s">
        <v>36</v>
      </c>
      <c r="H65" s="7" t="s">
        <v>21</v>
      </c>
    </row>
    <row r="66" spans="1:8" x14ac:dyDescent="0.3">
      <c r="A66" s="3">
        <v>1</v>
      </c>
      <c r="B66" t="s">
        <v>6</v>
      </c>
      <c r="C66" s="1">
        <v>1.5</v>
      </c>
      <c r="D66" s="2">
        <v>6.7</v>
      </c>
      <c r="G66" s="8" t="s">
        <v>62</v>
      </c>
      <c r="H66" s="4">
        <f>_xlfn.VAR.S(C:C)</f>
        <v>1.6107223838383846</v>
      </c>
    </row>
    <row r="67" spans="1:8" x14ac:dyDescent="0.3">
      <c r="A67" s="3">
        <v>1</v>
      </c>
      <c r="B67" t="s">
        <v>4</v>
      </c>
      <c r="C67" s="1">
        <v>1.65</v>
      </c>
      <c r="D67" s="2">
        <v>6.5</v>
      </c>
      <c r="G67" s="8" t="s">
        <v>63</v>
      </c>
      <c r="H67" s="4">
        <f>_xlfn.STDEV.S(C:C)</f>
        <v>1.2691423812316664</v>
      </c>
    </row>
    <row r="68" spans="1:8" x14ac:dyDescent="0.3">
      <c r="A68" s="3">
        <v>3</v>
      </c>
      <c r="B68" t="s">
        <v>6</v>
      </c>
      <c r="C68" s="1">
        <v>1.7</v>
      </c>
      <c r="D68" s="2">
        <v>5.8</v>
      </c>
      <c r="G68" s="8" t="s">
        <v>64</v>
      </c>
      <c r="H68" s="4">
        <f>DEVSQ(C:C)</f>
        <v>159.46151599999993</v>
      </c>
    </row>
    <row r="69" spans="1:8" x14ac:dyDescent="0.3">
      <c r="A69" s="3">
        <v>3</v>
      </c>
      <c r="B69" t="s">
        <v>5</v>
      </c>
      <c r="C69" s="1">
        <v>1.65</v>
      </c>
      <c r="D69" s="2">
        <v>5.3</v>
      </c>
    </row>
    <row r="70" spans="1:8" x14ac:dyDescent="0.3">
      <c r="A70" s="3">
        <v>2</v>
      </c>
      <c r="B70" t="s">
        <v>4</v>
      </c>
      <c r="C70" s="1">
        <v>1.85</v>
      </c>
      <c r="D70" s="2">
        <v>6.5</v>
      </c>
    </row>
    <row r="71" spans="1:8" x14ac:dyDescent="0.3">
      <c r="A71" s="3">
        <v>3</v>
      </c>
      <c r="B71" t="s">
        <v>7</v>
      </c>
      <c r="C71" s="1">
        <v>1.95</v>
      </c>
      <c r="D71" s="2">
        <v>6.2</v>
      </c>
      <c r="G71" t="s">
        <v>70</v>
      </c>
    </row>
    <row r="72" spans="1:8" x14ac:dyDescent="0.3">
      <c r="A72" s="3">
        <v>3</v>
      </c>
      <c r="B72" t="s">
        <v>6</v>
      </c>
      <c r="C72" s="1">
        <v>1.5</v>
      </c>
      <c r="D72" s="2">
        <v>6.2</v>
      </c>
      <c r="G72" s="7" t="s">
        <v>36</v>
      </c>
      <c r="H72" s="7" t="s">
        <v>21</v>
      </c>
    </row>
    <row r="73" spans="1:8" x14ac:dyDescent="0.3">
      <c r="A73" s="3">
        <v>2</v>
      </c>
      <c r="B73" t="s">
        <v>6</v>
      </c>
      <c r="C73" s="1">
        <v>1.55</v>
      </c>
      <c r="D73" s="2">
        <v>6.5</v>
      </c>
      <c r="G73" s="8" t="s">
        <v>66</v>
      </c>
      <c r="H73" s="4">
        <f>_xlfn.COVARIANCE.S(C:C, D:D)</f>
        <v>2.5501818181818212E-2</v>
      </c>
    </row>
    <row r="74" spans="1:8" x14ac:dyDescent="0.3">
      <c r="A74" s="3">
        <v>1</v>
      </c>
      <c r="B74" t="s">
        <v>6</v>
      </c>
      <c r="C74" s="1">
        <v>1.4</v>
      </c>
      <c r="D74" s="2">
        <v>6.7</v>
      </c>
      <c r="G74" s="8" t="s">
        <v>67</v>
      </c>
      <c r="H74" s="4">
        <f>CORREL(C:C, D:D)</f>
        <v>2.5777302978794173E-2</v>
      </c>
    </row>
    <row r="75" spans="1:8" ht="31.2" customHeight="1" x14ac:dyDescent="0.3">
      <c r="A75" s="3">
        <v>1</v>
      </c>
      <c r="B75" t="s">
        <v>6</v>
      </c>
      <c r="C75" s="1">
        <v>1.65</v>
      </c>
      <c r="D75" s="2">
        <v>6.5</v>
      </c>
      <c r="G75" s="8" t="s">
        <v>68</v>
      </c>
      <c r="H75" s="8" t="s">
        <v>69</v>
      </c>
    </row>
    <row r="76" spans="1:8" x14ac:dyDescent="0.3">
      <c r="A76" s="3">
        <v>3</v>
      </c>
      <c r="B76" t="s">
        <v>5</v>
      </c>
      <c r="C76" s="1">
        <v>1.75</v>
      </c>
      <c r="D76" s="2">
        <v>6.3</v>
      </c>
    </row>
    <row r="77" spans="1:8" x14ac:dyDescent="0.3">
      <c r="A77" s="3">
        <v>3</v>
      </c>
      <c r="B77" t="s">
        <v>7</v>
      </c>
      <c r="C77" s="1">
        <v>1.55</v>
      </c>
      <c r="D77" s="2">
        <v>6</v>
      </c>
    </row>
    <row r="78" spans="1:8" x14ac:dyDescent="0.3">
      <c r="A78" s="3">
        <v>1</v>
      </c>
      <c r="B78" t="s">
        <v>6</v>
      </c>
      <c r="C78" s="1">
        <v>1.6</v>
      </c>
      <c r="D78" s="2">
        <v>6</v>
      </c>
    </row>
    <row r="79" spans="1:8" x14ac:dyDescent="0.3">
      <c r="A79" s="3">
        <v>3</v>
      </c>
      <c r="B79" t="s">
        <v>5</v>
      </c>
      <c r="C79" s="1">
        <v>1.45</v>
      </c>
      <c r="D79" s="2">
        <v>6</v>
      </c>
    </row>
    <row r="80" spans="1:8" x14ac:dyDescent="0.3">
      <c r="A80" s="3">
        <v>3</v>
      </c>
      <c r="B80" t="s">
        <v>6</v>
      </c>
      <c r="C80" s="1">
        <v>1.45</v>
      </c>
      <c r="D80" s="2">
        <v>6</v>
      </c>
    </row>
    <row r="81" spans="1:4" x14ac:dyDescent="0.3">
      <c r="A81" s="3">
        <v>3</v>
      </c>
      <c r="B81" t="s">
        <v>5</v>
      </c>
      <c r="C81" s="1">
        <v>1.55</v>
      </c>
      <c r="D81" s="2">
        <v>6.6</v>
      </c>
    </row>
    <row r="82" spans="1:4" x14ac:dyDescent="0.3">
      <c r="A82" s="3">
        <v>3</v>
      </c>
      <c r="B82" t="s">
        <v>7</v>
      </c>
      <c r="C82" s="1">
        <v>1.65</v>
      </c>
      <c r="D82" s="2">
        <v>6</v>
      </c>
    </row>
    <row r="83" spans="1:4" x14ac:dyDescent="0.3">
      <c r="A83" s="3">
        <v>3</v>
      </c>
      <c r="B83" t="s">
        <v>6</v>
      </c>
      <c r="C83" s="1">
        <v>1.6</v>
      </c>
      <c r="D83" s="2">
        <v>6</v>
      </c>
    </row>
    <row r="84" spans="1:4" x14ac:dyDescent="0.3">
      <c r="A84" s="3">
        <v>2</v>
      </c>
      <c r="B84" t="s">
        <v>7</v>
      </c>
      <c r="C84" s="1">
        <v>1.6</v>
      </c>
      <c r="D84" s="2">
        <v>5.8</v>
      </c>
    </row>
    <row r="85" spans="1:4" x14ac:dyDescent="0.3">
      <c r="A85" s="3">
        <v>3</v>
      </c>
      <c r="B85" t="s">
        <v>5</v>
      </c>
      <c r="C85" s="1">
        <v>1.65</v>
      </c>
      <c r="D85" s="2">
        <v>6.6</v>
      </c>
    </row>
    <row r="86" spans="1:4" x14ac:dyDescent="0.3">
      <c r="A86" s="3">
        <v>1</v>
      </c>
      <c r="B86" t="s">
        <v>5</v>
      </c>
      <c r="C86" s="1">
        <v>1.9</v>
      </c>
      <c r="D86" s="2">
        <v>5.6</v>
      </c>
    </row>
    <row r="87" spans="1:4" x14ac:dyDescent="0.3">
      <c r="A87" s="3">
        <v>3</v>
      </c>
      <c r="B87" t="s">
        <v>5</v>
      </c>
      <c r="C87" s="1">
        <v>1.7</v>
      </c>
      <c r="D87" s="2">
        <v>6.2</v>
      </c>
    </row>
    <row r="88" spans="1:4" x14ac:dyDescent="0.3">
      <c r="A88" s="3">
        <v>3</v>
      </c>
      <c r="B88" t="s">
        <v>7</v>
      </c>
      <c r="C88" s="1">
        <v>1.75</v>
      </c>
      <c r="D88" s="2">
        <v>6.1</v>
      </c>
    </row>
    <row r="89" spans="1:4" x14ac:dyDescent="0.3">
      <c r="A89" s="3">
        <v>1</v>
      </c>
      <c r="B89" t="s">
        <v>5</v>
      </c>
      <c r="C89" s="1">
        <v>1.9</v>
      </c>
      <c r="D89" s="2">
        <v>6.8</v>
      </c>
    </row>
    <row r="90" spans="1:4" x14ac:dyDescent="0.3">
      <c r="A90" s="3">
        <v>3</v>
      </c>
      <c r="B90" t="s">
        <v>5</v>
      </c>
      <c r="C90" s="1">
        <v>1.5</v>
      </c>
      <c r="D90" s="2">
        <v>6.3</v>
      </c>
    </row>
    <row r="91" spans="1:4" x14ac:dyDescent="0.3">
      <c r="A91" s="3">
        <v>1</v>
      </c>
      <c r="B91" t="s">
        <v>6</v>
      </c>
      <c r="C91" s="1">
        <v>1.75</v>
      </c>
      <c r="D91" s="2">
        <v>6.6</v>
      </c>
    </row>
    <row r="92" spans="1:4" x14ac:dyDescent="0.3">
      <c r="A92" s="3">
        <v>1</v>
      </c>
      <c r="B92" t="s">
        <v>5</v>
      </c>
      <c r="C92" s="1">
        <v>1.6</v>
      </c>
      <c r="D92" s="2">
        <v>6.8</v>
      </c>
    </row>
    <row r="93" spans="1:4" x14ac:dyDescent="0.3">
      <c r="A93" s="3">
        <v>2</v>
      </c>
      <c r="B93" t="s">
        <v>7</v>
      </c>
      <c r="C93" s="1">
        <v>1.95</v>
      </c>
      <c r="D93" s="2">
        <v>6.1</v>
      </c>
    </row>
    <row r="94" spans="1:4" x14ac:dyDescent="0.3">
      <c r="A94" s="3">
        <v>2</v>
      </c>
      <c r="B94" t="s">
        <v>6</v>
      </c>
      <c r="C94" s="1">
        <v>1.9</v>
      </c>
      <c r="D94" s="2">
        <v>6.8</v>
      </c>
    </row>
    <row r="95" spans="1:4" x14ac:dyDescent="0.3">
      <c r="A95" s="3">
        <v>2</v>
      </c>
      <c r="B95" t="s">
        <v>7</v>
      </c>
      <c r="C95" s="1">
        <v>1.75</v>
      </c>
      <c r="D95" s="2">
        <v>6.5</v>
      </c>
    </row>
    <row r="96" spans="1:4" x14ac:dyDescent="0.3">
      <c r="A96" s="3">
        <v>2</v>
      </c>
      <c r="B96" t="s">
        <v>7</v>
      </c>
      <c r="C96" s="1">
        <v>1.9</v>
      </c>
      <c r="D96" s="2">
        <v>6.8</v>
      </c>
    </row>
    <row r="97" spans="1:4" x14ac:dyDescent="0.3">
      <c r="A97" s="3">
        <v>1</v>
      </c>
      <c r="B97" t="s">
        <v>7</v>
      </c>
      <c r="C97" s="1">
        <v>1.75</v>
      </c>
      <c r="D97" s="2">
        <v>6.5</v>
      </c>
    </row>
    <row r="98" spans="1:4" x14ac:dyDescent="0.3">
      <c r="A98" s="3">
        <v>3</v>
      </c>
      <c r="B98" t="s">
        <v>7</v>
      </c>
      <c r="C98" s="1">
        <v>1.85</v>
      </c>
      <c r="D98" s="2">
        <v>6.5</v>
      </c>
    </row>
    <row r="99" spans="1:4" x14ac:dyDescent="0.3">
      <c r="A99" s="3">
        <v>3</v>
      </c>
      <c r="B99" t="s">
        <v>7</v>
      </c>
      <c r="C99" s="1">
        <v>1.7</v>
      </c>
      <c r="D99" s="2">
        <v>6.5</v>
      </c>
    </row>
    <row r="100" spans="1:4" x14ac:dyDescent="0.3">
      <c r="A100" s="3">
        <v>1</v>
      </c>
      <c r="B100" t="s">
        <v>7</v>
      </c>
      <c r="C100" s="1">
        <v>2</v>
      </c>
      <c r="D100" s="2">
        <v>7.1</v>
      </c>
    </row>
    <row r="101" spans="1:4" x14ac:dyDescent="0.3">
      <c r="A101" s="3">
        <v>2</v>
      </c>
      <c r="B101" t="s">
        <v>5</v>
      </c>
      <c r="C101" s="1">
        <v>1.65</v>
      </c>
      <c r="D101" s="2">
        <v>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Midterm01</vt:lpstr>
      <vt:lpstr>Sheet2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Trung Dao</cp:lastModifiedBy>
  <dcterms:created xsi:type="dcterms:W3CDTF">2011-08-01T14:22:18Z</dcterms:created>
  <dcterms:modified xsi:type="dcterms:W3CDTF">2026-03-18T04:53:08Z</dcterms:modified>
</cp:coreProperties>
</file>