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oatdongGiangDay\DayTKeUSTH\DayTKeUSTH2025_1\SoanDeMidterm\De2025\De2025_02\"/>
    </mc:Choice>
  </mc:AlternateContent>
  <xr:revisionPtr revIDLastSave="0" documentId="13_ncr:1_{6BAB9172-5EEB-419D-A7E9-B1881685B1C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Midterm02" sheetId="1" r:id="rId1"/>
    <sheet name="Sheet2" sheetId="3" r:id="rId2"/>
    <sheet name="Sheet1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7" i="3" l="1"/>
  <c r="F86" i="3"/>
  <c r="F85" i="3"/>
  <c r="F84" i="3"/>
  <c r="F83" i="3"/>
  <c r="F82" i="3"/>
  <c r="F81" i="3"/>
  <c r="F80" i="3"/>
  <c r="F79" i="3"/>
  <c r="E87" i="3"/>
  <c r="E86" i="3"/>
  <c r="E85" i="3"/>
  <c r="E84" i="3"/>
  <c r="E83" i="3"/>
  <c r="E82" i="3"/>
  <c r="E81" i="3"/>
  <c r="D87" i="3"/>
  <c r="D86" i="3"/>
  <c r="D85" i="3"/>
  <c r="D84" i="3"/>
  <c r="D83" i="3"/>
  <c r="D82" i="3"/>
  <c r="C87" i="3"/>
  <c r="C86" i="3"/>
  <c r="C85" i="3"/>
  <c r="C84" i="3"/>
  <c r="C83" i="3"/>
  <c r="C82" i="3"/>
  <c r="C45" i="3"/>
  <c r="C43" i="3"/>
  <c r="K41" i="3"/>
  <c r="E40" i="3"/>
  <c r="I38" i="3"/>
  <c r="E38" i="3"/>
  <c r="I37" i="3"/>
  <c r="C36" i="3"/>
  <c r="E35" i="3"/>
  <c r="C35" i="3"/>
  <c r="F35" i="3" s="1"/>
  <c r="C34" i="3"/>
  <c r="I33" i="3"/>
  <c r="E33" i="3"/>
  <c r="I32" i="3"/>
  <c r="E32" i="3"/>
  <c r="I31" i="3"/>
  <c r="I30" i="3"/>
  <c r="E30" i="3"/>
  <c r="C30" i="3"/>
  <c r="F30" i="3" s="1"/>
  <c r="E29" i="3"/>
  <c r="E28" i="3"/>
  <c r="I26" i="3"/>
  <c r="C26" i="3"/>
  <c r="I25" i="3"/>
  <c r="E25" i="3"/>
  <c r="J24" i="3"/>
  <c r="E31" i="3" s="1"/>
  <c r="I24" i="3"/>
  <c r="C40" i="3" s="1"/>
  <c r="E24" i="3"/>
  <c r="E23" i="3"/>
  <c r="C23" i="3"/>
  <c r="F23" i="3" s="1"/>
  <c r="I22" i="3"/>
  <c r="E22" i="3"/>
  <c r="I21" i="3"/>
  <c r="E21" i="3"/>
  <c r="C21" i="3"/>
  <c r="F21" i="3" s="1"/>
  <c r="I20" i="3"/>
  <c r="I19" i="3"/>
  <c r="E19" i="3"/>
  <c r="C19" i="3"/>
  <c r="F19" i="3" s="1"/>
  <c r="I18" i="3"/>
  <c r="I29" i="3" s="1"/>
  <c r="E18" i="3"/>
  <c r="I17" i="3"/>
  <c r="E17" i="3"/>
  <c r="I16" i="3"/>
  <c r="E16" i="3"/>
  <c r="I15" i="3"/>
  <c r="I28" i="3" s="1"/>
  <c r="E15" i="3"/>
  <c r="C15" i="3"/>
  <c r="F15" i="3" s="1"/>
  <c r="I14" i="3"/>
  <c r="E14" i="3"/>
  <c r="E13" i="3"/>
  <c r="E12" i="3"/>
  <c r="E11" i="3"/>
  <c r="E10" i="3"/>
  <c r="E9" i="3"/>
  <c r="E8" i="3"/>
  <c r="E7" i="3"/>
  <c r="E6" i="3"/>
  <c r="M5" i="3"/>
  <c r="E5" i="3"/>
  <c r="C5" i="3"/>
  <c r="F5" i="3" s="1"/>
  <c r="M4" i="3"/>
  <c r="F4" i="3"/>
  <c r="E4" i="3"/>
  <c r="C4" i="3"/>
  <c r="D4" i="3" s="1"/>
  <c r="M3" i="3"/>
  <c r="E3" i="3"/>
  <c r="C3" i="3"/>
  <c r="F3" i="3" s="1"/>
  <c r="M2" i="3"/>
  <c r="E2" i="3"/>
  <c r="O48" i="2"/>
  <c r="I26" i="2"/>
  <c r="G26" i="2"/>
  <c r="L26" i="2" s="1"/>
  <c r="I25" i="2"/>
  <c r="G25" i="2"/>
  <c r="I24" i="2"/>
  <c r="G24" i="2"/>
  <c r="L24" i="2" s="1"/>
  <c r="I23" i="2"/>
  <c r="G23" i="2"/>
  <c r="I22" i="2"/>
  <c r="G22" i="2"/>
  <c r="J13" i="2"/>
  <c r="I13" i="2"/>
  <c r="H13" i="2"/>
  <c r="G13" i="2"/>
  <c r="F13" i="2"/>
  <c r="K13" i="2" s="1"/>
  <c r="J14" i="2" s="1"/>
  <c r="H6" i="2"/>
  <c r="K6" i="2"/>
  <c r="F7" i="2" s="1"/>
  <c r="F6" i="2"/>
  <c r="F40" i="3" l="1"/>
  <c r="D40" i="3"/>
  <c r="F26" i="3"/>
  <c r="F34" i="3"/>
  <c r="F43" i="3"/>
  <c r="C42" i="3"/>
  <c r="C44" i="3"/>
  <c r="C46" i="3"/>
  <c r="C48" i="3"/>
  <c r="C50" i="3"/>
  <c r="C52" i="3"/>
  <c r="C54" i="3"/>
  <c r="C56" i="3"/>
  <c r="C58" i="3"/>
  <c r="C60" i="3"/>
  <c r="C62" i="3"/>
  <c r="C64" i="3"/>
  <c r="C66" i="3"/>
  <c r="C68" i="3"/>
  <c r="C70" i="3"/>
  <c r="C72" i="3"/>
  <c r="C74" i="3"/>
  <c r="C76" i="3"/>
  <c r="C78" i="3"/>
  <c r="C80" i="3"/>
  <c r="D3" i="3"/>
  <c r="C16" i="3"/>
  <c r="D19" i="3"/>
  <c r="C24" i="3"/>
  <c r="C27" i="3"/>
  <c r="D30" i="3"/>
  <c r="D35" i="3"/>
  <c r="C37" i="3"/>
  <c r="E42" i="3"/>
  <c r="E44" i="3"/>
  <c r="E46" i="3"/>
  <c r="E48" i="3"/>
  <c r="E50" i="3"/>
  <c r="E52" i="3"/>
  <c r="E54" i="3"/>
  <c r="E56" i="3"/>
  <c r="E58" i="3"/>
  <c r="E60" i="3"/>
  <c r="E62" i="3"/>
  <c r="E64" i="3"/>
  <c r="E66" i="3"/>
  <c r="E68" i="3"/>
  <c r="E70" i="3"/>
  <c r="E72" i="3"/>
  <c r="E74" i="3"/>
  <c r="E76" i="3"/>
  <c r="E78" i="3"/>
  <c r="E80" i="3"/>
  <c r="I23" i="3"/>
  <c r="C32" i="3"/>
  <c r="C2" i="3"/>
  <c r="D5" i="3"/>
  <c r="C7" i="3"/>
  <c r="C9" i="3"/>
  <c r="C11" i="3"/>
  <c r="C13" i="3"/>
  <c r="C18" i="3"/>
  <c r="D21" i="3"/>
  <c r="E27" i="3"/>
  <c r="C29" i="3"/>
  <c r="E37" i="3"/>
  <c r="C39" i="3"/>
  <c r="C41" i="3"/>
  <c r="C47" i="3"/>
  <c r="C49" i="3"/>
  <c r="C51" i="3"/>
  <c r="C53" i="3"/>
  <c r="C55" i="3"/>
  <c r="C57" i="3"/>
  <c r="C59" i="3"/>
  <c r="C61" i="3"/>
  <c r="C63" i="3"/>
  <c r="C65" i="3"/>
  <c r="C67" i="3"/>
  <c r="C69" i="3"/>
  <c r="C71" i="3"/>
  <c r="C73" i="3"/>
  <c r="C75" i="3"/>
  <c r="C77" i="3"/>
  <c r="C79" i="3"/>
  <c r="C81" i="3"/>
  <c r="E39" i="3"/>
  <c r="E41" i="3"/>
  <c r="D43" i="3"/>
  <c r="D45" i="3"/>
  <c r="D15" i="3"/>
  <c r="C20" i="3"/>
  <c r="D23" i="3"/>
  <c r="D34" i="3"/>
  <c r="C17" i="3"/>
  <c r="E26" i="3"/>
  <c r="C28" i="3"/>
  <c r="E34" i="3"/>
  <c r="E36" i="3"/>
  <c r="F36" i="3" s="1"/>
  <c r="C38" i="3"/>
  <c r="E43" i="3"/>
  <c r="E45" i="3"/>
  <c r="F45" i="3" s="1"/>
  <c r="E47" i="3"/>
  <c r="E49" i="3"/>
  <c r="E51" i="3"/>
  <c r="E53" i="3"/>
  <c r="E55" i="3"/>
  <c r="E57" i="3"/>
  <c r="E59" i="3"/>
  <c r="E61" i="3"/>
  <c r="E63" i="3"/>
  <c r="E65" i="3"/>
  <c r="E67" i="3"/>
  <c r="E69" i="3"/>
  <c r="E71" i="3"/>
  <c r="E73" i="3"/>
  <c r="E75" i="3"/>
  <c r="E77" i="3"/>
  <c r="E79" i="3"/>
  <c r="D26" i="3"/>
  <c r="C31" i="3"/>
  <c r="D36" i="3"/>
  <c r="C6" i="3"/>
  <c r="C8" i="3"/>
  <c r="C10" i="3"/>
  <c r="C12" i="3"/>
  <c r="C14" i="3"/>
  <c r="E20" i="3"/>
  <c r="C22" i="3"/>
  <c r="C25" i="3"/>
  <c r="C33" i="3"/>
  <c r="H7" i="2"/>
  <c r="G14" i="2"/>
  <c r="H14" i="2"/>
  <c r="I34" i="2"/>
  <c r="I14" i="2"/>
  <c r="I46" i="2"/>
  <c r="L23" i="2"/>
  <c r="L25" i="2"/>
  <c r="G35" i="2"/>
  <c r="G37" i="2"/>
  <c r="L37" i="2" s="1"/>
  <c r="I43" i="2"/>
  <c r="F14" i="2"/>
  <c r="K14" i="2" s="1"/>
  <c r="I35" i="2"/>
  <c r="I37" i="2"/>
  <c r="K7" i="2"/>
  <c r="L22" i="2"/>
  <c r="I33" i="2" s="1"/>
  <c r="I28" i="2"/>
  <c r="I42" i="2" s="1"/>
  <c r="G28" i="2"/>
  <c r="G42" i="2" s="1"/>
  <c r="F49" i="3" l="1"/>
  <c r="D49" i="3"/>
  <c r="F27" i="3"/>
  <c r="D27" i="3"/>
  <c r="F74" i="3"/>
  <c r="D74" i="3"/>
  <c r="F58" i="3"/>
  <c r="D58" i="3"/>
  <c r="F42" i="3"/>
  <c r="D42" i="3"/>
  <c r="F77" i="3"/>
  <c r="D77" i="3"/>
  <c r="D11" i="3"/>
  <c r="F11" i="3"/>
  <c r="F25" i="3"/>
  <c r="D25" i="3"/>
  <c r="F59" i="3"/>
  <c r="D59" i="3"/>
  <c r="F10" i="3"/>
  <c r="D10" i="3"/>
  <c r="D81" i="3"/>
  <c r="F65" i="3"/>
  <c r="D65" i="3"/>
  <c r="D18" i="3"/>
  <c r="F18" i="3"/>
  <c r="F8" i="3"/>
  <c r="D8" i="3"/>
  <c r="D79" i="3"/>
  <c r="F63" i="3"/>
  <c r="D63" i="3"/>
  <c r="F47" i="3"/>
  <c r="D47" i="3"/>
  <c r="D13" i="3"/>
  <c r="F13" i="3"/>
  <c r="F24" i="3"/>
  <c r="D24" i="3"/>
  <c r="F72" i="3"/>
  <c r="D72" i="3"/>
  <c r="F56" i="3"/>
  <c r="D56" i="3"/>
  <c r="F73" i="3"/>
  <c r="D73" i="3"/>
  <c r="F57" i="3"/>
  <c r="D57" i="3"/>
  <c r="D7" i="3"/>
  <c r="F7" i="3"/>
  <c r="F66" i="3"/>
  <c r="D66" i="3"/>
  <c r="F50" i="3"/>
  <c r="D50" i="3"/>
  <c r="D41" i="3"/>
  <c r="F41" i="3"/>
  <c r="F70" i="3"/>
  <c r="D70" i="3"/>
  <c r="D9" i="3"/>
  <c r="F9" i="3"/>
  <c r="F68" i="3"/>
  <c r="D68" i="3"/>
  <c r="F22" i="3"/>
  <c r="D22" i="3"/>
  <c r="D28" i="3"/>
  <c r="F28" i="3"/>
  <c r="F71" i="3"/>
  <c r="D71" i="3"/>
  <c r="F55" i="3"/>
  <c r="D55" i="3"/>
  <c r="F29" i="3"/>
  <c r="D29" i="3"/>
  <c r="F37" i="3"/>
  <c r="D37" i="3"/>
  <c r="D80" i="3"/>
  <c r="F64" i="3"/>
  <c r="D64" i="3"/>
  <c r="F48" i="3"/>
  <c r="D48" i="3"/>
  <c r="F6" i="3"/>
  <c r="D6" i="3"/>
  <c r="D20" i="3"/>
  <c r="F20" i="3"/>
  <c r="F75" i="3"/>
  <c r="D75" i="3"/>
  <c r="F16" i="3"/>
  <c r="D16" i="3"/>
  <c r="D31" i="3"/>
  <c r="F31" i="3"/>
  <c r="F14" i="3"/>
  <c r="D14" i="3"/>
  <c r="F69" i="3"/>
  <c r="D69" i="3"/>
  <c r="F53" i="3"/>
  <c r="D53" i="3"/>
  <c r="D2" i="3"/>
  <c r="F2" i="3"/>
  <c r="F78" i="3"/>
  <c r="D78" i="3"/>
  <c r="F62" i="3"/>
  <c r="D62" i="3"/>
  <c r="F46" i="3"/>
  <c r="D46" i="3"/>
  <c r="F33" i="3"/>
  <c r="D33" i="3"/>
  <c r="D38" i="3"/>
  <c r="F38" i="3"/>
  <c r="F61" i="3"/>
  <c r="D61" i="3"/>
  <c r="F54" i="3"/>
  <c r="D54" i="3"/>
  <c r="D39" i="3"/>
  <c r="F39" i="3"/>
  <c r="F52" i="3"/>
  <c r="D52" i="3"/>
  <c r="F12" i="3"/>
  <c r="D12" i="3"/>
  <c r="D17" i="3"/>
  <c r="F17" i="3"/>
  <c r="F67" i="3"/>
  <c r="D67" i="3"/>
  <c r="F51" i="3"/>
  <c r="D51" i="3"/>
  <c r="F32" i="3"/>
  <c r="D32" i="3"/>
  <c r="F76" i="3"/>
  <c r="D76" i="3"/>
  <c r="F60" i="3"/>
  <c r="D60" i="3"/>
  <c r="F44" i="3"/>
  <c r="D44" i="3"/>
  <c r="G33" i="2"/>
  <c r="I36" i="2"/>
  <c r="G36" i="2"/>
  <c r="G34" i="2"/>
  <c r="L34" i="2" s="1"/>
  <c r="L35" i="2"/>
  <c r="I45" i="2"/>
  <c r="G45" i="2"/>
  <c r="L28" i="2"/>
  <c r="G43" i="2"/>
  <c r="G47" i="2" s="1"/>
  <c r="L36" i="2"/>
  <c r="G44" i="2"/>
  <c r="G46" i="2"/>
  <c r="I44" i="2"/>
  <c r="I47" i="2"/>
  <c r="I36" i="3" l="1"/>
  <c r="I27" i="3"/>
  <c r="L33" i="2"/>
</calcChain>
</file>

<file path=xl/sharedStrings.xml><?xml version="1.0" encoding="utf-8"?>
<sst xmlns="http://schemas.openxmlformats.org/spreadsheetml/2006/main" count="246" uniqueCount="52">
  <si>
    <t>cnganh</t>
  </si>
  <si>
    <t>Vung</t>
  </si>
  <si>
    <t>mon1</t>
  </si>
  <si>
    <t>mon2</t>
  </si>
  <si>
    <t>CKT</t>
  </si>
  <si>
    <t>CKD</t>
  </si>
  <si>
    <t>Total</t>
  </si>
  <si>
    <t>Frequency</t>
  </si>
  <si>
    <t>Relative frequency</t>
  </si>
  <si>
    <t>vung</t>
  </si>
  <si>
    <r>
      <t xml:space="preserve"> The relationship between two variables </t>
    </r>
    <r>
      <rPr>
        <b/>
        <sz val="11"/>
        <color rgb="FF000000"/>
        <rFont val="Calibri"/>
        <family val="2"/>
        <scheme val="minor"/>
      </rPr>
      <t>cnganh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rgb="FF000000"/>
        <rFont val="Calibri"/>
        <family val="2"/>
        <scheme val="minor"/>
      </rPr>
      <t>vung:</t>
    </r>
  </si>
  <si>
    <t>Frequency cross table</t>
  </si>
  <si>
    <t>Row Total</t>
  </si>
  <si>
    <t>Column Total</t>
  </si>
  <si>
    <t>Proportion accross row</t>
  </si>
  <si>
    <t>Proportion accross column</t>
  </si>
  <si>
    <t>X-Mean(X)</t>
  </si>
  <si>
    <t>(X-Mean(X))^2</t>
  </si>
  <si>
    <t>Y-Mean(Y)</t>
  </si>
  <si>
    <t>(X-Mean(X))*(Y-Mean(Y))</t>
  </si>
  <si>
    <t>B)</t>
  </si>
  <si>
    <t>p5%</t>
  </si>
  <si>
    <t>p10%</t>
  </si>
  <si>
    <t>p90%</t>
  </si>
  <si>
    <t>p95%</t>
  </si>
  <si>
    <t>X</t>
  </si>
  <si>
    <t>Y</t>
  </si>
  <si>
    <t>N</t>
  </si>
  <si>
    <t>Min</t>
  </si>
  <si>
    <t>Max</t>
  </si>
  <si>
    <t>Q1</t>
  </si>
  <si>
    <t>Q2</t>
  </si>
  <si>
    <t>Q3</t>
  </si>
  <si>
    <t>P1</t>
  </si>
  <si>
    <t>P2</t>
  </si>
  <si>
    <t>P3</t>
  </si>
  <si>
    <t>P4</t>
  </si>
  <si>
    <t>(Min+Max)/2</t>
  </si>
  <si>
    <t>Mean</t>
  </si>
  <si>
    <t>Median</t>
  </si>
  <si>
    <t>Mode</t>
  </si>
  <si>
    <t>SSD</t>
  </si>
  <si>
    <t>Range</t>
  </si>
  <si>
    <t>InterQRange</t>
  </si>
  <si>
    <t>Pvar</t>
  </si>
  <si>
    <t>Svar</t>
  </si>
  <si>
    <t>PSDev</t>
  </si>
  <si>
    <t>SSDev</t>
  </si>
  <si>
    <t>C)</t>
  </si>
  <si>
    <t>SCProd</t>
  </si>
  <si>
    <t>Covar</t>
  </si>
  <si>
    <t>Correl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</si>
</sst>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10" fontId="0" fillId="0" borderId="0" xfId="0" applyNumberFormat="1"/>
    <xf numFmtId="165" fontId="0" fillId="0" borderId="0" xfId="0" applyNumberFormat="1"/>
    <xf numFmtId="1" fontId="0" fillId="0" borderId="0" xfId="0" applyNumberFormat="1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left" indent="5"/>
    </xf>
    <xf numFmtId="0" fontId="0" fillId="0" borderId="0" xfId="0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4" fillId="0" borderId="1" xfId="0" applyFont="1" applyBorder="1" applyAlignment="1">
      <alignment horizontal="right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7"/>
  <sheetViews>
    <sheetView workbookViewId="0">
      <selection activeCell="C1" sqref="C1:D104857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3">
        <v>5</v>
      </c>
      <c r="C2" s="2">
        <v>7</v>
      </c>
      <c r="D2" s="2">
        <v>5</v>
      </c>
    </row>
    <row r="3" spans="1:4" x14ac:dyDescent="0.3">
      <c r="A3" t="s">
        <v>4</v>
      </c>
      <c r="B3" s="3">
        <v>5</v>
      </c>
      <c r="C3" s="2">
        <v>9</v>
      </c>
      <c r="D3" s="2">
        <v>6</v>
      </c>
    </row>
    <row r="4" spans="1:4" x14ac:dyDescent="0.3">
      <c r="A4" t="s">
        <v>4</v>
      </c>
      <c r="B4" s="3">
        <v>2</v>
      </c>
      <c r="C4" s="2">
        <v>7.5</v>
      </c>
      <c r="D4" s="2">
        <v>6</v>
      </c>
    </row>
    <row r="5" spans="1:4" x14ac:dyDescent="0.3">
      <c r="A5" t="s">
        <v>4</v>
      </c>
      <c r="B5" s="3">
        <v>5</v>
      </c>
      <c r="C5" s="2">
        <v>6</v>
      </c>
      <c r="D5" s="2">
        <v>6</v>
      </c>
    </row>
    <row r="6" spans="1:4" x14ac:dyDescent="0.3">
      <c r="A6" t="s">
        <v>4</v>
      </c>
      <c r="B6" s="3">
        <v>2</v>
      </c>
      <c r="C6" s="2">
        <v>7</v>
      </c>
      <c r="D6" s="2">
        <v>6.5</v>
      </c>
    </row>
    <row r="7" spans="1:4" x14ac:dyDescent="0.3">
      <c r="A7" t="s">
        <v>4</v>
      </c>
      <c r="B7" s="3">
        <v>5</v>
      </c>
      <c r="C7" s="2">
        <v>9</v>
      </c>
      <c r="D7" s="2">
        <v>4</v>
      </c>
    </row>
    <row r="8" spans="1:4" x14ac:dyDescent="0.3">
      <c r="A8" t="s">
        <v>4</v>
      </c>
      <c r="B8" s="3">
        <v>1</v>
      </c>
      <c r="C8" s="2">
        <v>9</v>
      </c>
      <c r="D8" s="2">
        <v>7</v>
      </c>
    </row>
    <row r="9" spans="1:4" x14ac:dyDescent="0.3">
      <c r="A9" t="s">
        <v>4</v>
      </c>
      <c r="B9" s="3">
        <v>5</v>
      </c>
      <c r="C9" s="2">
        <v>6</v>
      </c>
      <c r="D9" s="2">
        <v>3</v>
      </c>
    </row>
    <row r="10" spans="1:4" x14ac:dyDescent="0.3">
      <c r="A10" t="s">
        <v>4</v>
      </c>
      <c r="B10" s="3">
        <v>5</v>
      </c>
      <c r="C10" s="2">
        <v>9</v>
      </c>
      <c r="D10" s="2">
        <v>6</v>
      </c>
    </row>
    <row r="11" spans="1:4" x14ac:dyDescent="0.3">
      <c r="A11" t="s">
        <v>5</v>
      </c>
      <c r="B11" s="3">
        <v>3</v>
      </c>
      <c r="C11" s="2">
        <v>8</v>
      </c>
      <c r="D11" s="2">
        <v>4</v>
      </c>
    </row>
    <row r="12" spans="1:4" x14ac:dyDescent="0.3">
      <c r="A12" t="s">
        <v>4</v>
      </c>
      <c r="B12" s="3">
        <v>5</v>
      </c>
      <c r="C12" s="2">
        <v>6.5</v>
      </c>
      <c r="D12" s="2">
        <v>4</v>
      </c>
    </row>
    <row r="13" spans="1:4" x14ac:dyDescent="0.3">
      <c r="A13" t="s">
        <v>5</v>
      </c>
      <c r="B13" s="3">
        <v>2</v>
      </c>
      <c r="C13" s="2">
        <v>9</v>
      </c>
      <c r="D13" s="2">
        <v>6</v>
      </c>
    </row>
    <row r="14" spans="1:4" x14ac:dyDescent="0.3">
      <c r="A14" t="s">
        <v>4</v>
      </c>
      <c r="B14" s="3">
        <v>2</v>
      </c>
      <c r="C14" s="2">
        <v>9</v>
      </c>
      <c r="D14" s="2">
        <v>6</v>
      </c>
    </row>
    <row r="15" spans="1:4" x14ac:dyDescent="0.3">
      <c r="A15" t="s">
        <v>4</v>
      </c>
      <c r="B15" s="3">
        <v>2</v>
      </c>
      <c r="C15" s="2">
        <v>8.5</v>
      </c>
      <c r="D15" s="2">
        <v>4</v>
      </c>
    </row>
    <row r="16" spans="1:4" x14ac:dyDescent="0.3">
      <c r="A16" t="s">
        <v>5</v>
      </c>
      <c r="B16" s="3">
        <v>3</v>
      </c>
      <c r="C16" s="2">
        <v>8</v>
      </c>
      <c r="D16" s="2">
        <v>5.5</v>
      </c>
    </row>
    <row r="17" spans="1:4" x14ac:dyDescent="0.3">
      <c r="A17" t="s">
        <v>4</v>
      </c>
      <c r="B17" s="3">
        <v>1</v>
      </c>
      <c r="C17" s="2">
        <v>9</v>
      </c>
      <c r="D17" s="2">
        <v>5.5</v>
      </c>
    </row>
    <row r="18" spans="1:4" x14ac:dyDescent="0.3">
      <c r="A18" t="s">
        <v>4</v>
      </c>
      <c r="B18" s="3">
        <v>2</v>
      </c>
      <c r="C18" s="2">
        <v>8</v>
      </c>
      <c r="D18" s="2">
        <v>7</v>
      </c>
    </row>
    <row r="19" spans="1:4" x14ac:dyDescent="0.3">
      <c r="A19" t="s">
        <v>4</v>
      </c>
      <c r="B19" s="3">
        <v>4</v>
      </c>
      <c r="C19" s="2">
        <v>9</v>
      </c>
      <c r="D19" s="2">
        <v>6</v>
      </c>
    </row>
    <row r="20" spans="1:4" x14ac:dyDescent="0.3">
      <c r="A20" t="s">
        <v>4</v>
      </c>
      <c r="B20" s="3">
        <v>2</v>
      </c>
      <c r="C20" s="2">
        <v>9</v>
      </c>
      <c r="D20" s="2">
        <v>5</v>
      </c>
    </row>
    <row r="21" spans="1:4" x14ac:dyDescent="0.3">
      <c r="A21" t="s">
        <v>4</v>
      </c>
      <c r="B21" s="3">
        <v>4</v>
      </c>
      <c r="C21" s="2">
        <v>9</v>
      </c>
      <c r="D21" s="2">
        <v>4</v>
      </c>
    </row>
    <row r="22" spans="1:4" x14ac:dyDescent="0.3">
      <c r="A22" t="s">
        <v>4</v>
      </c>
      <c r="B22" s="3">
        <v>2</v>
      </c>
      <c r="C22" s="2">
        <v>8</v>
      </c>
      <c r="D22" s="2">
        <v>5</v>
      </c>
    </row>
    <row r="23" spans="1:4" x14ac:dyDescent="0.3">
      <c r="A23" t="s">
        <v>4</v>
      </c>
      <c r="B23" s="3">
        <v>1</v>
      </c>
      <c r="C23" s="2">
        <v>8.5</v>
      </c>
      <c r="D23" s="2">
        <v>6</v>
      </c>
    </row>
    <row r="24" spans="1:4" x14ac:dyDescent="0.3">
      <c r="A24" t="s">
        <v>5</v>
      </c>
      <c r="B24" s="3">
        <v>2</v>
      </c>
      <c r="C24" s="2">
        <v>6</v>
      </c>
      <c r="D24" s="2">
        <v>5.5</v>
      </c>
    </row>
    <row r="25" spans="1:4" x14ac:dyDescent="0.3">
      <c r="A25" t="s">
        <v>5</v>
      </c>
      <c r="B25" s="3">
        <v>1</v>
      </c>
      <c r="C25" s="2">
        <v>9</v>
      </c>
      <c r="D25" s="2">
        <v>6</v>
      </c>
    </row>
    <row r="26" spans="1:4" x14ac:dyDescent="0.3">
      <c r="A26" t="s">
        <v>4</v>
      </c>
      <c r="B26" s="3">
        <v>5</v>
      </c>
      <c r="C26" s="2">
        <v>6</v>
      </c>
      <c r="D26" s="2">
        <v>7</v>
      </c>
    </row>
    <row r="27" spans="1:4" x14ac:dyDescent="0.3">
      <c r="A27" t="s">
        <v>4</v>
      </c>
      <c r="B27" s="3">
        <v>4</v>
      </c>
      <c r="C27" s="2">
        <v>6</v>
      </c>
      <c r="D27" s="2">
        <v>4</v>
      </c>
    </row>
    <row r="28" spans="1:4" x14ac:dyDescent="0.3">
      <c r="A28" t="s">
        <v>4</v>
      </c>
      <c r="B28" s="3">
        <v>2</v>
      </c>
      <c r="C28" s="2">
        <v>7</v>
      </c>
      <c r="D28" s="2">
        <v>4</v>
      </c>
    </row>
    <row r="29" spans="1:4" x14ac:dyDescent="0.3">
      <c r="A29" t="s">
        <v>4</v>
      </c>
      <c r="B29" s="3">
        <v>4</v>
      </c>
      <c r="C29" s="2">
        <v>7</v>
      </c>
      <c r="D29" s="2">
        <v>7</v>
      </c>
    </row>
    <row r="30" spans="1:4" x14ac:dyDescent="0.3">
      <c r="A30" t="s">
        <v>4</v>
      </c>
      <c r="B30" s="3">
        <v>2</v>
      </c>
      <c r="C30" s="2">
        <v>7.5</v>
      </c>
      <c r="D30" s="2">
        <v>5.5</v>
      </c>
    </row>
    <row r="31" spans="1:4" x14ac:dyDescent="0.3">
      <c r="A31" t="s">
        <v>4</v>
      </c>
      <c r="B31" s="3">
        <v>2</v>
      </c>
      <c r="C31" s="2">
        <v>7</v>
      </c>
      <c r="D31" s="2">
        <v>4</v>
      </c>
    </row>
    <row r="32" spans="1:4" x14ac:dyDescent="0.3">
      <c r="A32" t="s">
        <v>5</v>
      </c>
      <c r="B32" s="3">
        <v>2</v>
      </c>
      <c r="C32" s="2">
        <v>8</v>
      </c>
      <c r="D32" s="2">
        <v>5</v>
      </c>
    </row>
    <row r="33" spans="1:4" x14ac:dyDescent="0.3">
      <c r="A33" t="s">
        <v>5</v>
      </c>
      <c r="B33" s="3">
        <v>5</v>
      </c>
      <c r="C33" s="2">
        <v>8</v>
      </c>
      <c r="D33" s="2">
        <v>6</v>
      </c>
    </row>
    <row r="34" spans="1:4" x14ac:dyDescent="0.3">
      <c r="A34" t="s">
        <v>4</v>
      </c>
      <c r="B34" s="3">
        <v>2</v>
      </c>
      <c r="C34" s="2">
        <v>9</v>
      </c>
      <c r="D34" s="2">
        <v>6</v>
      </c>
    </row>
    <row r="35" spans="1:4" x14ac:dyDescent="0.3">
      <c r="A35" t="s">
        <v>4</v>
      </c>
      <c r="B35" s="3">
        <v>5</v>
      </c>
      <c r="C35" s="2">
        <v>7</v>
      </c>
      <c r="D35" s="2">
        <v>6</v>
      </c>
    </row>
    <row r="36" spans="1:4" x14ac:dyDescent="0.3">
      <c r="A36" t="s">
        <v>4</v>
      </c>
      <c r="B36" s="3">
        <v>2</v>
      </c>
      <c r="C36" s="2">
        <v>6</v>
      </c>
      <c r="D36" s="2">
        <v>6</v>
      </c>
    </row>
    <row r="37" spans="1:4" x14ac:dyDescent="0.3">
      <c r="A37" t="s">
        <v>4</v>
      </c>
      <c r="B37" s="3">
        <v>2</v>
      </c>
      <c r="C37" s="2">
        <v>9</v>
      </c>
      <c r="D37" s="2">
        <v>6.5</v>
      </c>
    </row>
    <row r="38" spans="1:4" x14ac:dyDescent="0.3">
      <c r="A38" t="s">
        <v>4</v>
      </c>
      <c r="B38" s="3">
        <v>4</v>
      </c>
      <c r="C38" s="2">
        <v>7</v>
      </c>
      <c r="D38" s="2">
        <v>6</v>
      </c>
    </row>
    <row r="39" spans="1:4" x14ac:dyDescent="0.3">
      <c r="A39" t="s">
        <v>4</v>
      </c>
      <c r="B39" s="3">
        <v>5</v>
      </c>
      <c r="C39" s="2">
        <v>9</v>
      </c>
      <c r="D39" s="2">
        <v>7</v>
      </c>
    </row>
    <row r="40" spans="1:4" x14ac:dyDescent="0.3">
      <c r="A40" t="s">
        <v>5</v>
      </c>
      <c r="B40" s="3">
        <v>2</v>
      </c>
      <c r="C40" s="2">
        <v>7.5</v>
      </c>
      <c r="D40" s="2">
        <v>7</v>
      </c>
    </row>
    <row r="41" spans="1:4" x14ac:dyDescent="0.3">
      <c r="A41" t="s">
        <v>5</v>
      </c>
      <c r="B41" s="3">
        <v>2</v>
      </c>
      <c r="C41" s="2">
        <v>7</v>
      </c>
      <c r="D41" s="2">
        <v>4.5</v>
      </c>
    </row>
    <row r="42" spans="1:4" x14ac:dyDescent="0.3">
      <c r="A42" t="s">
        <v>4</v>
      </c>
      <c r="B42" s="3">
        <v>1</v>
      </c>
      <c r="C42" s="2">
        <v>7</v>
      </c>
      <c r="D42" s="2">
        <v>6</v>
      </c>
    </row>
    <row r="43" spans="1:4" x14ac:dyDescent="0.3">
      <c r="A43" t="s">
        <v>5</v>
      </c>
      <c r="B43" s="3">
        <v>4</v>
      </c>
      <c r="C43" s="2">
        <v>9</v>
      </c>
      <c r="D43" s="2">
        <v>7</v>
      </c>
    </row>
    <row r="44" spans="1:4" x14ac:dyDescent="0.3">
      <c r="A44" t="s">
        <v>5</v>
      </c>
      <c r="B44" s="3">
        <v>1</v>
      </c>
      <c r="C44" s="2">
        <v>8</v>
      </c>
      <c r="D44" s="2">
        <v>4.5</v>
      </c>
    </row>
    <row r="45" spans="1:4" x14ac:dyDescent="0.3">
      <c r="A45" t="s">
        <v>4</v>
      </c>
      <c r="B45" s="3">
        <v>5</v>
      </c>
      <c r="C45" s="2">
        <v>8</v>
      </c>
      <c r="D45" s="2">
        <v>5</v>
      </c>
    </row>
    <row r="46" spans="1:4" x14ac:dyDescent="0.3">
      <c r="A46" t="s">
        <v>4</v>
      </c>
      <c r="B46" s="3">
        <v>2</v>
      </c>
      <c r="C46" s="2">
        <v>9</v>
      </c>
      <c r="D46" s="2">
        <v>7</v>
      </c>
    </row>
    <row r="47" spans="1:4" x14ac:dyDescent="0.3">
      <c r="A47" t="s">
        <v>4</v>
      </c>
      <c r="B47" s="3">
        <v>2</v>
      </c>
      <c r="C47" s="2">
        <v>6</v>
      </c>
      <c r="D47" s="2">
        <v>4.5</v>
      </c>
    </row>
    <row r="48" spans="1:4" x14ac:dyDescent="0.3">
      <c r="A48" t="s">
        <v>4</v>
      </c>
      <c r="B48" s="3">
        <v>1</v>
      </c>
      <c r="C48" s="2">
        <v>7</v>
      </c>
      <c r="D48" s="2">
        <v>4</v>
      </c>
    </row>
    <row r="49" spans="1:4" x14ac:dyDescent="0.3">
      <c r="A49" t="s">
        <v>5</v>
      </c>
      <c r="B49" s="3">
        <v>5</v>
      </c>
      <c r="C49" s="2">
        <v>9</v>
      </c>
      <c r="D49" s="2">
        <v>6</v>
      </c>
    </row>
    <row r="50" spans="1:4" x14ac:dyDescent="0.3">
      <c r="A50" t="s">
        <v>4</v>
      </c>
      <c r="B50" s="3">
        <v>1</v>
      </c>
      <c r="C50" s="2">
        <v>9</v>
      </c>
      <c r="D50" s="2">
        <v>4.5</v>
      </c>
    </row>
    <row r="51" spans="1:4" x14ac:dyDescent="0.3">
      <c r="A51" t="s">
        <v>5</v>
      </c>
      <c r="B51" s="3">
        <v>4</v>
      </c>
      <c r="C51" s="2">
        <v>8.5</v>
      </c>
      <c r="D51" s="2">
        <v>6</v>
      </c>
    </row>
    <row r="52" spans="1:4" x14ac:dyDescent="0.3">
      <c r="A52" t="s">
        <v>5</v>
      </c>
      <c r="B52" s="3">
        <v>1</v>
      </c>
      <c r="C52" s="2">
        <v>6</v>
      </c>
      <c r="D52" s="2">
        <v>6</v>
      </c>
    </row>
    <row r="53" spans="1:4" x14ac:dyDescent="0.3">
      <c r="A53" t="s">
        <v>5</v>
      </c>
      <c r="B53" s="3">
        <v>1</v>
      </c>
      <c r="C53" s="2">
        <v>8</v>
      </c>
      <c r="D53" s="2">
        <v>6</v>
      </c>
    </row>
    <row r="54" spans="1:4" x14ac:dyDescent="0.3">
      <c r="A54" t="s">
        <v>4</v>
      </c>
      <c r="B54" s="3">
        <v>1</v>
      </c>
      <c r="C54" s="2">
        <v>9</v>
      </c>
      <c r="D54" s="2">
        <v>6</v>
      </c>
    </row>
    <row r="55" spans="1:4" x14ac:dyDescent="0.3">
      <c r="A55" t="s">
        <v>4</v>
      </c>
      <c r="B55" s="3">
        <v>2</v>
      </c>
      <c r="C55" s="2">
        <v>8</v>
      </c>
      <c r="D55" s="2">
        <v>7</v>
      </c>
    </row>
    <row r="56" spans="1:4" x14ac:dyDescent="0.3">
      <c r="A56" t="s">
        <v>4</v>
      </c>
      <c r="B56" s="3">
        <v>5</v>
      </c>
      <c r="C56" s="2">
        <v>8.5</v>
      </c>
      <c r="D56" s="2">
        <v>7</v>
      </c>
    </row>
    <row r="57" spans="1:4" x14ac:dyDescent="0.3">
      <c r="A57" t="s">
        <v>4</v>
      </c>
      <c r="B57" s="3">
        <v>5</v>
      </c>
      <c r="C57" s="2">
        <v>7</v>
      </c>
      <c r="D57" s="2">
        <v>5</v>
      </c>
    </row>
    <row r="58" spans="1:4" x14ac:dyDescent="0.3">
      <c r="A58" t="s">
        <v>4</v>
      </c>
      <c r="B58" s="3">
        <v>5</v>
      </c>
      <c r="C58" s="2">
        <v>6</v>
      </c>
      <c r="D58" s="2">
        <v>5</v>
      </c>
    </row>
    <row r="59" spans="1:4" x14ac:dyDescent="0.3">
      <c r="A59" t="s">
        <v>4</v>
      </c>
      <c r="B59" s="3">
        <v>5</v>
      </c>
      <c r="C59" s="2">
        <v>9</v>
      </c>
      <c r="D59" s="2">
        <v>8</v>
      </c>
    </row>
    <row r="60" spans="1:4" x14ac:dyDescent="0.3">
      <c r="A60" t="s">
        <v>4</v>
      </c>
      <c r="B60" s="3">
        <v>4</v>
      </c>
      <c r="C60" s="2">
        <v>8.5</v>
      </c>
      <c r="D60" s="2">
        <v>6</v>
      </c>
    </row>
    <row r="61" spans="1:4" x14ac:dyDescent="0.3">
      <c r="A61" t="s">
        <v>4</v>
      </c>
      <c r="B61" s="3">
        <v>4</v>
      </c>
      <c r="C61" s="2">
        <v>7</v>
      </c>
      <c r="D61" s="2">
        <v>4.5</v>
      </c>
    </row>
    <row r="62" spans="1:4" x14ac:dyDescent="0.3">
      <c r="A62" t="s">
        <v>4</v>
      </c>
      <c r="B62" s="3">
        <v>1</v>
      </c>
      <c r="C62" s="2">
        <v>8.5</v>
      </c>
      <c r="D62" s="2">
        <v>5</v>
      </c>
    </row>
    <row r="63" spans="1:4" x14ac:dyDescent="0.3">
      <c r="A63" t="s">
        <v>4</v>
      </c>
      <c r="B63" s="3">
        <v>5</v>
      </c>
      <c r="C63" s="2">
        <v>7</v>
      </c>
      <c r="D63" s="2">
        <v>6.5</v>
      </c>
    </row>
    <row r="64" spans="1:4" x14ac:dyDescent="0.3">
      <c r="A64" t="s">
        <v>4</v>
      </c>
      <c r="B64" s="3">
        <v>5</v>
      </c>
      <c r="C64" s="2">
        <v>7</v>
      </c>
      <c r="D64" s="2">
        <v>4</v>
      </c>
    </row>
    <row r="65" spans="1:4" x14ac:dyDescent="0.3">
      <c r="A65" t="s">
        <v>5</v>
      </c>
      <c r="B65" s="3">
        <v>5</v>
      </c>
      <c r="C65" s="2">
        <v>8</v>
      </c>
      <c r="D65" s="2">
        <v>6</v>
      </c>
    </row>
    <row r="66" spans="1:4" x14ac:dyDescent="0.3">
      <c r="A66" t="s">
        <v>4</v>
      </c>
      <c r="B66" s="3">
        <v>1</v>
      </c>
      <c r="C66" s="2">
        <v>9.5</v>
      </c>
      <c r="D66" s="2">
        <v>7</v>
      </c>
    </row>
    <row r="67" spans="1:4" x14ac:dyDescent="0.3">
      <c r="A67" t="s">
        <v>4</v>
      </c>
      <c r="B67" s="3">
        <v>1</v>
      </c>
      <c r="C67" s="2">
        <v>8</v>
      </c>
      <c r="D67" s="2">
        <v>5</v>
      </c>
    </row>
    <row r="68" spans="1:4" x14ac:dyDescent="0.3">
      <c r="A68" t="s">
        <v>5</v>
      </c>
      <c r="B68" s="3">
        <v>2</v>
      </c>
      <c r="C68" s="2">
        <v>9</v>
      </c>
      <c r="D68" s="2">
        <v>6</v>
      </c>
    </row>
    <row r="69" spans="1:4" x14ac:dyDescent="0.3">
      <c r="A69" t="s">
        <v>5</v>
      </c>
      <c r="B69" s="3">
        <v>3</v>
      </c>
      <c r="C69" s="2">
        <v>9</v>
      </c>
      <c r="D69" s="2">
        <v>6</v>
      </c>
    </row>
    <row r="70" spans="1:4" x14ac:dyDescent="0.3">
      <c r="A70" t="s">
        <v>4</v>
      </c>
      <c r="B70" s="3">
        <v>4</v>
      </c>
      <c r="C70" s="2">
        <v>7</v>
      </c>
      <c r="D70" s="2">
        <v>7</v>
      </c>
    </row>
    <row r="71" spans="1:4" x14ac:dyDescent="0.3">
      <c r="A71" t="s">
        <v>4</v>
      </c>
      <c r="B71" s="3">
        <v>4</v>
      </c>
      <c r="C71" s="2">
        <v>6</v>
      </c>
      <c r="D71" s="2">
        <v>6</v>
      </c>
    </row>
    <row r="72" spans="1:4" x14ac:dyDescent="0.3">
      <c r="A72" t="s">
        <v>4</v>
      </c>
      <c r="B72" s="3">
        <v>5</v>
      </c>
      <c r="C72" s="2">
        <v>6</v>
      </c>
      <c r="D72" s="2">
        <v>6</v>
      </c>
    </row>
    <row r="73" spans="1:4" x14ac:dyDescent="0.3">
      <c r="A73" t="s">
        <v>4</v>
      </c>
      <c r="B73" s="3">
        <v>1</v>
      </c>
      <c r="C73" s="2">
        <v>7</v>
      </c>
      <c r="D73" s="2">
        <v>7</v>
      </c>
    </row>
    <row r="74" spans="1:4" x14ac:dyDescent="0.3">
      <c r="A74" t="s">
        <v>4</v>
      </c>
      <c r="B74" s="3">
        <v>1</v>
      </c>
      <c r="C74" s="2">
        <v>8.5</v>
      </c>
      <c r="D74" s="2">
        <v>6</v>
      </c>
    </row>
    <row r="75" spans="1:4" x14ac:dyDescent="0.3">
      <c r="A75" t="s">
        <v>4</v>
      </c>
      <c r="B75" s="3">
        <v>5</v>
      </c>
      <c r="C75" s="2">
        <v>7.5</v>
      </c>
      <c r="D75" s="2">
        <v>3</v>
      </c>
    </row>
    <row r="76" spans="1:4" x14ac:dyDescent="0.3">
      <c r="A76" t="s">
        <v>5</v>
      </c>
      <c r="B76" s="3">
        <v>2</v>
      </c>
      <c r="C76" s="2">
        <v>7.5</v>
      </c>
      <c r="D76" s="2">
        <v>6</v>
      </c>
    </row>
    <row r="77" spans="1:4" x14ac:dyDescent="0.3">
      <c r="A77" t="s">
        <v>5</v>
      </c>
      <c r="B77" s="3">
        <v>2</v>
      </c>
      <c r="C77" s="2">
        <v>8</v>
      </c>
      <c r="D77" s="2">
        <v>6</v>
      </c>
    </row>
    <row r="78" spans="1:4" x14ac:dyDescent="0.3">
      <c r="A78" t="s">
        <v>5</v>
      </c>
      <c r="B78" s="3">
        <v>5</v>
      </c>
      <c r="C78" s="2">
        <v>8.5</v>
      </c>
      <c r="D78" s="2">
        <v>5.5</v>
      </c>
    </row>
    <row r="79" spans="1:4" x14ac:dyDescent="0.3">
      <c r="A79" t="s">
        <v>5</v>
      </c>
      <c r="B79" s="3">
        <v>4</v>
      </c>
      <c r="C79" s="2">
        <v>9</v>
      </c>
      <c r="D79" s="2">
        <v>6</v>
      </c>
    </row>
    <row r="80" spans="1:4" x14ac:dyDescent="0.3">
      <c r="A80" t="s">
        <v>4</v>
      </c>
      <c r="B80" s="3">
        <v>2</v>
      </c>
      <c r="C80" s="2">
        <v>7</v>
      </c>
      <c r="D80" s="2">
        <v>6</v>
      </c>
    </row>
    <row r="81" spans="1:4" x14ac:dyDescent="0.3">
      <c r="A81" t="s">
        <v>5</v>
      </c>
      <c r="B81" s="3">
        <v>3</v>
      </c>
      <c r="C81" s="2">
        <v>9</v>
      </c>
      <c r="D81" s="2">
        <v>7</v>
      </c>
    </row>
    <row r="82" spans="1:4" x14ac:dyDescent="0.3">
      <c r="A82" t="s">
        <v>5</v>
      </c>
      <c r="B82" s="3">
        <v>4</v>
      </c>
      <c r="C82" s="2">
        <v>7.5</v>
      </c>
      <c r="D82" s="2">
        <v>5.5</v>
      </c>
    </row>
    <row r="83" spans="1:4" x14ac:dyDescent="0.3">
      <c r="A83" t="s">
        <v>5</v>
      </c>
      <c r="B83" s="3">
        <v>1</v>
      </c>
      <c r="C83" s="2">
        <v>7</v>
      </c>
      <c r="D83" s="2">
        <v>4.5</v>
      </c>
    </row>
    <row r="84" spans="1:4" x14ac:dyDescent="0.3">
      <c r="A84" t="s">
        <v>5</v>
      </c>
      <c r="B84" s="3">
        <v>1</v>
      </c>
      <c r="C84" s="2">
        <v>9</v>
      </c>
      <c r="D84" s="2">
        <v>6</v>
      </c>
    </row>
    <row r="85" spans="1:4" x14ac:dyDescent="0.3">
      <c r="A85" t="s">
        <v>5</v>
      </c>
      <c r="B85" s="3">
        <v>1</v>
      </c>
      <c r="C85" s="2">
        <v>6</v>
      </c>
      <c r="D85" s="2">
        <v>5.5</v>
      </c>
    </row>
    <row r="86" spans="1:4" x14ac:dyDescent="0.3">
      <c r="A86" t="s">
        <v>5</v>
      </c>
      <c r="B86" s="3">
        <v>2</v>
      </c>
      <c r="C86" s="2">
        <v>9</v>
      </c>
      <c r="D86" s="2">
        <v>5.5</v>
      </c>
    </row>
    <row r="87" spans="1:4" x14ac:dyDescent="0.3">
      <c r="A87" t="s">
        <v>4</v>
      </c>
      <c r="B87" s="3">
        <v>1</v>
      </c>
      <c r="C87" s="2">
        <v>8.5</v>
      </c>
      <c r="D87" s="2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B93CF-DF46-4060-928D-6FE2368EF9BE}">
  <dimension ref="A1:M87"/>
  <sheetViews>
    <sheetView topLeftCell="A55" workbookViewId="0">
      <selection activeCell="F79" sqref="F79:F87"/>
    </sheetView>
  </sheetViews>
  <sheetFormatPr defaultRowHeight="14.4" x14ac:dyDescent="0.3"/>
  <cols>
    <col min="3" max="3" width="9.6640625" customWidth="1"/>
    <col min="4" max="4" width="12.6640625" customWidth="1"/>
    <col min="6" max="6" width="20.6640625" customWidth="1"/>
    <col min="8" max="8" width="12.5546875" customWidth="1"/>
  </cols>
  <sheetData>
    <row r="1" spans="1:13" x14ac:dyDescent="0.3">
      <c r="A1" t="s">
        <v>2</v>
      </c>
      <c r="B1" t="s">
        <v>3</v>
      </c>
      <c r="C1" s="8" t="s">
        <v>16</v>
      </c>
      <c r="D1" s="8" t="s">
        <v>17</v>
      </c>
      <c r="E1" s="8" t="s">
        <v>18</v>
      </c>
      <c r="F1" s="8" t="s">
        <v>19</v>
      </c>
      <c r="G1" s="8"/>
      <c r="H1" s="10" t="s">
        <v>20</v>
      </c>
    </row>
    <row r="2" spans="1:13" ht="15" thickBot="1" x14ac:dyDescent="0.35">
      <c r="A2" s="2">
        <v>7</v>
      </c>
      <c r="B2" s="2">
        <v>5</v>
      </c>
      <c r="C2">
        <f t="shared" ref="C2:C65" si="0">A2-I$24</f>
        <v>-0.83139534883720945</v>
      </c>
      <c r="D2">
        <f t="shared" ref="D2:D65" si="1">C2*C2</f>
        <v>0.6912182260681452</v>
      </c>
      <c r="E2">
        <f t="shared" ref="E2:E65" si="2">B2-J$24</f>
        <v>-0.65697674418604635</v>
      </c>
      <c r="F2">
        <f t="shared" ref="F2:F65" si="3">C2*E2</f>
        <v>0.54620740941049206</v>
      </c>
      <c r="I2" s="11">
        <v>5</v>
      </c>
      <c r="K2" s="5">
        <v>2</v>
      </c>
      <c r="L2" t="s">
        <v>21</v>
      </c>
      <c r="M2">
        <f>PERCENTILE(A:A,5%)</f>
        <v>6</v>
      </c>
    </row>
    <row r="3" spans="1:13" ht="15" thickBot="1" x14ac:dyDescent="0.35">
      <c r="A3" s="2">
        <v>9</v>
      </c>
      <c r="B3" s="2">
        <v>6</v>
      </c>
      <c r="C3">
        <f t="shared" si="0"/>
        <v>1.1686046511627906</v>
      </c>
      <c r="D3">
        <f t="shared" si="1"/>
        <v>1.3656368307193074</v>
      </c>
      <c r="E3">
        <f t="shared" si="2"/>
        <v>0.34302325581395365</v>
      </c>
      <c r="F3">
        <f t="shared" si="3"/>
        <v>0.40085857220118998</v>
      </c>
      <c r="I3" s="11">
        <v>5</v>
      </c>
      <c r="K3" s="5">
        <v>2</v>
      </c>
      <c r="L3" t="s">
        <v>22</v>
      </c>
      <c r="M3">
        <f>PERCENTILE(A:A,10%)</f>
        <v>6</v>
      </c>
    </row>
    <row r="4" spans="1:13" ht="15" thickBot="1" x14ac:dyDescent="0.35">
      <c r="A4" s="2">
        <v>7.5</v>
      </c>
      <c r="B4" s="2">
        <v>6</v>
      </c>
      <c r="C4">
        <f t="shared" si="0"/>
        <v>-0.33139534883720945</v>
      </c>
      <c r="D4">
        <f t="shared" si="1"/>
        <v>0.10982287723093574</v>
      </c>
      <c r="E4">
        <f t="shared" si="2"/>
        <v>0.34302325581395365</v>
      </c>
      <c r="F4">
        <f t="shared" si="3"/>
        <v>-0.1136763115197405</v>
      </c>
      <c r="I4" s="11">
        <v>6</v>
      </c>
      <c r="K4" s="5">
        <v>2</v>
      </c>
      <c r="L4" t="s">
        <v>23</v>
      </c>
      <c r="M4">
        <f>PERCENTILE(A:A,90%)</f>
        <v>9</v>
      </c>
    </row>
    <row r="5" spans="1:13" ht="15" thickBot="1" x14ac:dyDescent="0.35">
      <c r="A5" s="2">
        <v>6</v>
      </c>
      <c r="B5" s="2">
        <v>6</v>
      </c>
      <c r="C5">
        <f t="shared" si="0"/>
        <v>-1.8313953488372094</v>
      </c>
      <c r="D5">
        <f t="shared" si="1"/>
        <v>3.3540089237425641</v>
      </c>
      <c r="E5">
        <f t="shared" si="2"/>
        <v>0.34302325581395365</v>
      </c>
      <c r="F5">
        <f t="shared" si="3"/>
        <v>-0.62821119524067104</v>
      </c>
      <c r="I5" s="11">
        <v>6</v>
      </c>
      <c r="K5" s="5">
        <v>2</v>
      </c>
      <c r="L5" t="s">
        <v>24</v>
      </c>
      <c r="M5">
        <f>PERCENTILE(A:A,95%)</f>
        <v>9</v>
      </c>
    </row>
    <row r="6" spans="1:13" ht="15" thickBot="1" x14ac:dyDescent="0.35">
      <c r="A6" s="2">
        <v>7</v>
      </c>
      <c r="B6" s="2">
        <v>6.5</v>
      </c>
      <c r="C6">
        <f t="shared" si="0"/>
        <v>-0.83139534883720945</v>
      </c>
      <c r="D6">
        <f t="shared" si="1"/>
        <v>0.6912182260681452</v>
      </c>
      <c r="E6">
        <f t="shared" si="2"/>
        <v>0.84302325581395365</v>
      </c>
      <c r="F6">
        <f t="shared" si="3"/>
        <v>-0.70088561384532211</v>
      </c>
      <c r="I6" s="11">
        <v>6</v>
      </c>
    </row>
    <row r="7" spans="1:13" ht="15" thickBot="1" x14ac:dyDescent="0.35">
      <c r="A7" s="2">
        <v>9</v>
      </c>
      <c r="B7" s="2">
        <v>4</v>
      </c>
      <c r="C7">
        <f t="shared" si="0"/>
        <v>1.1686046511627906</v>
      </c>
      <c r="D7">
        <f t="shared" si="1"/>
        <v>1.3656368307193074</v>
      </c>
      <c r="E7">
        <f t="shared" si="2"/>
        <v>-1.6569767441860463</v>
      </c>
      <c r="F7">
        <f t="shared" si="3"/>
        <v>-1.9363507301243912</v>
      </c>
      <c r="I7" s="11">
        <v>6</v>
      </c>
    </row>
    <row r="8" spans="1:13" ht="15" thickBot="1" x14ac:dyDescent="0.35">
      <c r="A8" s="2">
        <v>9</v>
      </c>
      <c r="B8" s="2">
        <v>7</v>
      </c>
      <c r="C8">
        <f t="shared" si="0"/>
        <v>1.1686046511627906</v>
      </c>
      <c r="D8">
        <f t="shared" si="1"/>
        <v>1.3656368307193074</v>
      </c>
      <c r="E8">
        <f t="shared" si="2"/>
        <v>1.3430232558139537</v>
      </c>
      <c r="F8">
        <f t="shared" si="3"/>
        <v>1.5694632233639805</v>
      </c>
      <c r="I8" s="11">
        <v>6</v>
      </c>
    </row>
    <row r="9" spans="1:13" ht="15" thickBot="1" x14ac:dyDescent="0.35">
      <c r="A9" s="2">
        <v>6</v>
      </c>
      <c r="B9" s="2">
        <v>3</v>
      </c>
      <c r="C9">
        <f t="shared" si="0"/>
        <v>-1.8313953488372094</v>
      </c>
      <c r="D9">
        <f t="shared" si="1"/>
        <v>3.3540089237425641</v>
      </c>
      <c r="E9">
        <f t="shared" si="2"/>
        <v>-2.6569767441860463</v>
      </c>
      <c r="F9">
        <f t="shared" si="3"/>
        <v>4.8659748512709573</v>
      </c>
      <c r="I9" s="11">
        <v>6.5</v>
      </c>
    </row>
    <row r="10" spans="1:13" ht="15" thickBot="1" x14ac:dyDescent="0.35">
      <c r="A10" s="2">
        <v>9</v>
      </c>
      <c r="B10" s="2">
        <v>6</v>
      </c>
      <c r="C10">
        <f t="shared" si="0"/>
        <v>1.1686046511627906</v>
      </c>
      <c r="D10">
        <f t="shared" si="1"/>
        <v>1.3656368307193074</v>
      </c>
      <c r="E10">
        <f t="shared" si="2"/>
        <v>0.34302325581395365</v>
      </c>
      <c r="F10">
        <f t="shared" si="3"/>
        <v>0.40085857220118998</v>
      </c>
      <c r="I10" s="11">
        <v>6.5</v>
      </c>
    </row>
    <row r="11" spans="1:13" x14ac:dyDescent="0.3">
      <c r="A11" s="2">
        <v>8</v>
      </c>
      <c r="B11" s="2">
        <v>4</v>
      </c>
      <c r="C11">
        <f t="shared" si="0"/>
        <v>0.16860465116279055</v>
      </c>
      <c r="D11">
        <f t="shared" si="1"/>
        <v>2.8427528393726288E-2</v>
      </c>
      <c r="E11">
        <f t="shared" si="2"/>
        <v>-1.6569767441860463</v>
      </c>
      <c r="F11">
        <f t="shared" si="3"/>
        <v>-0.27937398593834478</v>
      </c>
    </row>
    <row r="12" spans="1:13" x14ac:dyDescent="0.3">
      <c r="A12" s="2">
        <v>6.5</v>
      </c>
      <c r="B12" s="2">
        <v>4</v>
      </c>
      <c r="C12">
        <f t="shared" si="0"/>
        <v>-1.3313953488372094</v>
      </c>
      <c r="D12">
        <f t="shared" si="1"/>
        <v>1.7726135749053546</v>
      </c>
      <c r="E12">
        <f t="shared" si="2"/>
        <v>-1.6569767441860463</v>
      </c>
      <c r="F12">
        <f t="shared" si="3"/>
        <v>2.2060911303407247</v>
      </c>
      <c r="I12" s="8" t="s">
        <v>25</v>
      </c>
      <c r="J12" s="8" t="s">
        <v>26</v>
      </c>
    </row>
    <row r="13" spans="1:13" x14ac:dyDescent="0.3">
      <c r="A13" s="2">
        <v>9</v>
      </c>
      <c r="B13" s="2">
        <v>6</v>
      </c>
      <c r="C13">
        <f t="shared" si="0"/>
        <v>1.1686046511627906</v>
      </c>
      <c r="D13">
        <f t="shared" si="1"/>
        <v>1.3656368307193074</v>
      </c>
      <c r="E13">
        <f t="shared" si="2"/>
        <v>0.34302325581395365</v>
      </c>
      <c r="F13">
        <f t="shared" si="3"/>
        <v>0.40085857220118998</v>
      </c>
      <c r="H13" s="8" t="s">
        <v>27</v>
      </c>
    </row>
    <row r="14" spans="1:13" x14ac:dyDescent="0.3">
      <c r="A14" s="2">
        <v>9</v>
      </c>
      <c r="B14" s="2">
        <v>6</v>
      </c>
      <c r="C14">
        <f t="shared" si="0"/>
        <v>1.1686046511627906</v>
      </c>
      <c r="D14">
        <f t="shared" si="1"/>
        <v>1.3656368307193074</v>
      </c>
      <c r="E14">
        <f t="shared" si="2"/>
        <v>0.34302325581395365</v>
      </c>
      <c r="F14">
        <f t="shared" si="3"/>
        <v>0.40085857220118998</v>
      </c>
      <c r="H14" t="s">
        <v>28</v>
      </c>
      <c r="I14">
        <f>MIN(A:A)</f>
        <v>6</v>
      </c>
      <c r="K14" s="5">
        <v>1</v>
      </c>
    </row>
    <row r="15" spans="1:13" x14ac:dyDescent="0.3">
      <c r="A15" s="2">
        <v>8.5</v>
      </c>
      <c r="B15" s="2">
        <v>4</v>
      </c>
      <c r="C15">
        <f t="shared" si="0"/>
        <v>0.66860465116279055</v>
      </c>
      <c r="D15">
        <f t="shared" si="1"/>
        <v>0.44703217955651686</v>
      </c>
      <c r="E15">
        <f t="shared" si="2"/>
        <v>-1.6569767441860463</v>
      </c>
      <c r="F15">
        <f t="shared" si="3"/>
        <v>-1.107862358031368</v>
      </c>
      <c r="H15" t="s">
        <v>29</v>
      </c>
      <c r="I15">
        <f>MAX(A:A)</f>
        <v>9.5</v>
      </c>
      <c r="K15" s="5">
        <v>1</v>
      </c>
    </row>
    <row r="16" spans="1:13" x14ac:dyDescent="0.3">
      <c r="A16" s="2">
        <v>8</v>
      </c>
      <c r="B16" s="2">
        <v>5.5</v>
      </c>
      <c r="C16">
        <f t="shared" si="0"/>
        <v>0.16860465116279055</v>
      </c>
      <c r="D16">
        <f t="shared" si="1"/>
        <v>2.8427528393726288E-2</v>
      </c>
      <c r="E16">
        <f t="shared" si="2"/>
        <v>-0.15697674418604635</v>
      </c>
      <c r="F16">
        <f t="shared" si="3"/>
        <v>-2.6467009194158956E-2</v>
      </c>
      <c r="H16" s="12" t="s">
        <v>30</v>
      </c>
      <c r="I16">
        <f>QUARTILE(A:A,1)</f>
        <v>7</v>
      </c>
      <c r="K16" s="5">
        <v>2</v>
      </c>
    </row>
    <row r="17" spans="1:11" x14ac:dyDescent="0.3">
      <c r="A17" s="2">
        <v>9</v>
      </c>
      <c r="B17" s="2">
        <v>5.5</v>
      </c>
      <c r="C17">
        <f t="shared" si="0"/>
        <v>1.1686046511627906</v>
      </c>
      <c r="D17">
        <f t="shared" si="1"/>
        <v>1.3656368307193074</v>
      </c>
      <c r="E17">
        <f t="shared" si="2"/>
        <v>-0.15697674418604635</v>
      </c>
      <c r="F17">
        <f t="shared" si="3"/>
        <v>-0.1834437533802053</v>
      </c>
      <c r="H17" s="12" t="s">
        <v>31</v>
      </c>
      <c r="I17">
        <f>QUARTILE(A:A,2)</f>
        <v>8</v>
      </c>
      <c r="K17" s="5">
        <v>2</v>
      </c>
    </row>
    <row r="18" spans="1:11" x14ac:dyDescent="0.3">
      <c r="A18" s="2">
        <v>8</v>
      </c>
      <c r="B18" s="2">
        <v>7</v>
      </c>
      <c r="C18">
        <f t="shared" si="0"/>
        <v>0.16860465116279055</v>
      </c>
      <c r="D18">
        <f t="shared" si="1"/>
        <v>2.8427528393726288E-2</v>
      </c>
      <c r="E18">
        <f t="shared" si="2"/>
        <v>1.3430232558139537</v>
      </c>
      <c r="F18">
        <f t="shared" si="3"/>
        <v>0.22643996755002688</v>
      </c>
      <c r="H18" s="12" t="s">
        <v>32</v>
      </c>
      <c r="I18">
        <f>QUARTILE(A:A,3)</f>
        <v>9</v>
      </c>
      <c r="K18" s="5">
        <v>2</v>
      </c>
    </row>
    <row r="19" spans="1:11" x14ac:dyDescent="0.3">
      <c r="A19" s="2">
        <v>9</v>
      </c>
      <c r="B19" s="2">
        <v>6</v>
      </c>
      <c r="C19">
        <f t="shared" si="0"/>
        <v>1.1686046511627906</v>
      </c>
      <c r="D19">
        <f t="shared" si="1"/>
        <v>1.3656368307193074</v>
      </c>
      <c r="E19">
        <f t="shared" si="2"/>
        <v>0.34302325581395365</v>
      </c>
      <c r="F19">
        <f t="shared" si="3"/>
        <v>0.40085857220118998</v>
      </c>
      <c r="H19" s="12" t="s">
        <v>33</v>
      </c>
      <c r="I19">
        <f>PERCENTILE(A:A,0.2)</f>
        <v>7</v>
      </c>
      <c r="K19" s="5">
        <v>2</v>
      </c>
    </row>
    <row r="20" spans="1:11" x14ac:dyDescent="0.3">
      <c r="A20" s="2">
        <v>9</v>
      </c>
      <c r="B20" s="2">
        <v>5</v>
      </c>
      <c r="C20">
        <f t="shared" si="0"/>
        <v>1.1686046511627906</v>
      </c>
      <c r="D20">
        <f t="shared" si="1"/>
        <v>1.3656368307193074</v>
      </c>
      <c r="E20">
        <f t="shared" si="2"/>
        <v>-0.65697674418604635</v>
      </c>
      <c r="F20">
        <f t="shared" si="3"/>
        <v>-0.76774607896160063</v>
      </c>
      <c r="H20" s="12" t="s">
        <v>34</v>
      </c>
      <c r="I20">
        <f>PERCENTILE(A:A,0.4)</f>
        <v>7.5</v>
      </c>
      <c r="K20" s="5">
        <v>2</v>
      </c>
    </row>
    <row r="21" spans="1:11" x14ac:dyDescent="0.3">
      <c r="A21" s="2">
        <v>9</v>
      </c>
      <c r="B21" s="2">
        <v>4</v>
      </c>
      <c r="C21">
        <f t="shared" si="0"/>
        <v>1.1686046511627906</v>
      </c>
      <c r="D21">
        <f t="shared" si="1"/>
        <v>1.3656368307193074</v>
      </c>
      <c r="E21">
        <f t="shared" si="2"/>
        <v>-1.6569767441860463</v>
      </c>
      <c r="F21">
        <f t="shared" si="3"/>
        <v>-1.9363507301243912</v>
      </c>
      <c r="H21" s="12" t="s">
        <v>35</v>
      </c>
      <c r="I21">
        <f>PERCENTILE(A:A,0.6)</f>
        <v>8.5</v>
      </c>
      <c r="K21" s="5">
        <v>2</v>
      </c>
    </row>
    <row r="22" spans="1:11" x14ac:dyDescent="0.3">
      <c r="A22" s="2">
        <v>8</v>
      </c>
      <c r="B22" s="2">
        <v>5</v>
      </c>
      <c r="C22">
        <f t="shared" si="0"/>
        <v>0.16860465116279055</v>
      </c>
      <c r="D22">
        <f t="shared" si="1"/>
        <v>2.8427528393726288E-2</v>
      </c>
      <c r="E22">
        <f t="shared" si="2"/>
        <v>-0.65697674418604635</v>
      </c>
      <c r="F22">
        <f t="shared" si="3"/>
        <v>-0.11076933477555423</v>
      </c>
      <c r="H22" s="12" t="s">
        <v>36</v>
      </c>
      <c r="I22">
        <f>PERCENTILE(A:A,0.8)</f>
        <v>9</v>
      </c>
      <c r="K22" s="5">
        <v>2</v>
      </c>
    </row>
    <row r="23" spans="1:11" x14ac:dyDescent="0.3">
      <c r="A23" s="2">
        <v>8.5</v>
      </c>
      <c r="B23" s="2">
        <v>6</v>
      </c>
      <c r="C23">
        <f t="shared" si="0"/>
        <v>0.66860465116279055</v>
      </c>
      <c r="D23">
        <f t="shared" si="1"/>
        <v>0.44703217955651686</v>
      </c>
      <c r="E23">
        <f t="shared" si="2"/>
        <v>0.34302325581395365</v>
      </c>
      <c r="F23">
        <f t="shared" si="3"/>
        <v>0.22934694429421315</v>
      </c>
      <c r="H23" s="12" t="s">
        <v>37</v>
      </c>
      <c r="I23">
        <f>(I14+I15)/2</f>
        <v>7.75</v>
      </c>
      <c r="K23" s="5">
        <v>2</v>
      </c>
    </row>
    <row r="24" spans="1:11" x14ac:dyDescent="0.3">
      <c r="A24" s="2">
        <v>6</v>
      </c>
      <c r="B24" s="2">
        <v>5.5</v>
      </c>
      <c r="C24">
        <f t="shared" si="0"/>
        <v>-1.8313953488372094</v>
      </c>
      <c r="D24">
        <f t="shared" si="1"/>
        <v>3.3540089237425641</v>
      </c>
      <c r="E24">
        <f t="shared" si="2"/>
        <v>-0.15697674418604635</v>
      </c>
      <c r="F24">
        <f t="shared" si="3"/>
        <v>0.28748647917793374</v>
      </c>
      <c r="H24" s="12" t="s">
        <v>38</v>
      </c>
      <c r="I24" s="12">
        <f>AVERAGE(A:A)</f>
        <v>7.8313953488372094</v>
      </c>
      <c r="J24" s="12">
        <f>AVERAGE(B:B)</f>
        <v>5.6569767441860463</v>
      </c>
      <c r="K24" s="5">
        <v>2</v>
      </c>
    </row>
    <row r="25" spans="1:11" x14ac:dyDescent="0.3">
      <c r="A25" s="2">
        <v>9</v>
      </c>
      <c r="B25" s="2">
        <v>6</v>
      </c>
      <c r="C25">
        <f t="shared" si="0"/>
        <v>1.1686046511627906</v>
      </c>
      <c r="D25">
        <f t="shared" si="1"/>
        <v>1.3656368307193074</v>
      </c>
      <c r="E25">
        <f t="shared" si="2"/>
        <v>0.34302325581395365</v>
      </c>
      <c r="F25">
        <f t="shared" si="3"/>
        <v>0.40085857220118998</v>
      </c>
      <c r="H25" s="12" t="s">
        <v>39</v>
      </c>
      <c r="I25">
        <f>MEDIAN(A:A)</f>
        <v>8</v>
      </c>
      <c r="K25" s="5">
        <v>2</v>
      </c>
    </row>
    <row r="26" spans="1:11" x14ac:dyDescent="0.3">
      <c r="A26" s="2">
        <v>6</v>
      </c>
      <c r="B26" s="2">
        <v>7</v>
      </c>
      <c r="C26">
        <f t="shared" si="0"/>
        <v>-1.8313953488372094</v>
      </c>
      <c r="D26">
        <f t="shared" si="1"/>
        <v>3.3540089237425641</v>
      </c>
      <c r="E26">
        <f t="shared" si="2"/>
        <v>1.3430232558139537</v>
      </c>
      <c r="F26">
        <f t="shared" si="3"/>
        <v>-2.4596065440778805</v>
      </c>
      <c r="H26" s="12" t="s">
        <v>40</v>
      </c>
      <c r="I26">
        <f>MODE(A:A)</f>
        <v>9</v>
      </c>
      <c r="K26" s="5">
        <v>2</v>
      </c>
    </row>
    <row r="27" spans="1:11" x14ac:dyDescent="0.3">
      <c r="A27" s="2">
        <v>6</v>
      </c>
      <c r="B27" s="2">
        <v>4</v>
      </c>
      <c r="C27">
        <f t="shared" si="0"/>
        <v>-1.8313953488372094</v>
      </c>
      <c r="D27">
        <f t="shared" si="1"/>
        <v>3.3540089237425641</v>
      </c>
      <c r="E27">
        <f t="shared" si="2"/>
        <v>-1.6569767441860463</v>
      </c>
      <c r="F27">
        <f t="shared" si="3"/>
        <v>3.0345795024337479</v>
      </c>
      <c r="H27" s="12" t="s">
        <v>41</v>
      </c>
      <c r="I27" s="12">
        <f>SUM(D:D)</f>
        <v>97.805232558139565</v>
      </c>
      <c r="K27" s="5">
        <v>6</v>
      </c>
    </row>
    <row r="28" spans="1:11" x14ac:dyDescent="0.3">
      <c r="A28" s="2">
        <v>7</v>
      </c>
      <c r="B28" s="2">
        <v>4</v>
      </c>
      <c r="C28">
        <f t="shared" si="0"/>
        <v>-0.83139534883720945</v>
      </c>
      <c r="D28">
        <f t="shared" si="1"/>
        <v>0.6912182260681452</v>
      </c>
      <c r="E28">
        <f t="shared" si="2"/>
        <v>-1.6569767441860463</v>
      </c>
      <c r="F28">
        <f t="shared" si="3"/>
        <v>1.3776027582477015</v>
      </c>
      <c r="H28" s="12" t="s">
        <v>42</v>
      </c>
      <c r="I28">
        <f>I15-I14</f>
        <v>3.5</v>
      </c>
      <c r="K28" s="5">
        <v>2</v>
      </c>
    </row>
    <row r="29" spans="1:11" x14ac:dyDescent="0.3">
      <c r="A29" s="2">
        <v>7</v>
      </c>
      <c r="B29" s="2">
        <v>7</v>
      </c>
      <c r="C29">
        <f t="shared" si="0"/>
        <v>-0.83139534883720945</v>
      </c>
      <c r="D29">
        <f t="shared" si="1"/>
        <v>0.6912182260681452</v>
      </c>
      <c r="E29">
        <f t="shared" si="2"/>
        <v>1.3430232558139537</v>
      </c>
      <c r="F29">
        <f t="shared" si="3"/>
        <v>-1.1165832882639268</v>
      </c>
      <c r="H29" s="12" t="s">
        <v>43</v>
      </c>
      <c r="I29">
        <f>I18-I16</f>
        <v>2</v>
      </c>
      <c r="K29" s="5">
        <v>2</v>
      </c>
    </row>
    <row r="30" spans="1:11" x14ac:dyDescent="0.3">
      <c r="A30" s="2">
        <v>7.5</v>
      </c>
      <c r="B30" s="2">
        <v>5.5</v>
      </c>
      <c r="C30">
        <f t="shared" si="0"/>
        <v>-0.33139534883720945</v>
      </c>
      <c r="D30">
        <f t="shared" si="1"/>
        <v>0.10982287723093574</v>
      </c>
      <c r="E30">
        <f t="shared" si="2"/>
        <v>-0.15697674418604635</v>
      </c>
      <c r="F30">
        <f t="shared" si="3"/>
        <v>5.2021362898864221E-2</v>
      </c>
      <c r="H30" s="12" t="s">
        <v>44</v>
      </c>
      <c r="I30">
        <f>VARP(A:A)</f>
        <v>1.1372701460248784</v>
      </c>
      <c r="K30" s="5">
        <v>2</v>
      </c>
    </row>
    <row r="31" spans="1:11" x14ac:dyDescent="0.3">
      <c r="A31" s="2">
        <v>7</v>
      </c>
      <c r="B31" s="2">
        <v>4</v>
      </c>
      <c r="C31">
        <f t="shared" si="0"/>
        <v>-0.83139534883720945</v>
      </c>
      <c r="D31">
        <f t="shared" si="1"/>
        <v>0.6912182260681452</v>
      </c>
      <c r="E31">
        <f t="shared" si="2"/>
        <v>-1.6569767441860463</v>
      </c>
      <c r="F31">
        <f t="shared" si="3"/>
        <v>1.3776027582477015</v>
      </c>
      <c r="H31" s="12" t="s">
        <v>45</v>
      </c>
      <c r="I31">
        <f>VAR(A:A)</f>
        <v>1.1506497948016392</v>
      </c>
      <c r="K31" s="5">
        <v>2</v>
      </c>
    </row>
    <row r="32" spans="1:11" x14ac:dyDescent="0.3">
      <c r="A32" s="2">
        <v>8</v>
      </c>
      <c r="B32" s="2">
        <v>5</v>
      </c>
      <c r="C32">
        <f t="shared" si="0"/>
        <v>0.16860465116279055</v>
      </c>
      <c r="D32">
        <f t="shared" si="1"/>
        <v>2.8427528393726288E-2</v>
      </c>
      <c r="E32">
        <f t="shared" si="2"/>
        <v>-0.65697674418604635</v>
      </c>
      <c r="F32">
        <f t="shared" si="3"/>
        <v>-0.11076933477555423</v>
      </c>
      <c r="H32" s="12" t="s">
        <v>46</v>
      </c>
      <c r="I32">
        <f>STDEVP(A:A)</f>
        <v>1.0664286877353208</v>
      </c>
      <c r="K32" s="5">
        <v>2</v>
      </c>
    </row>
    <row r="33" spans="1:11" x14ac:dyDescent="0.3">
      <c r="A33" s="2">
        <v>8</v>
      </c>
      <c r="B33" s="2">
        <v>6</v>
      </c>
      <c r="C33">
        <f t="shared" si="0"/>
        <v>0.16860465116279055</v>
      </c>
      <c r="D33">
        <f t="shared" si="1"/>
        <v>2.8427528393726288E-2</v>
      </c>
      <c r="E33">
        <f t="shared" si="2"/>
        <v>0.34302325581395365</v>
      </c>
      <c r="F33">
        <f t="shared" si="3"/>
        <v>5.7835316387236324E-2</v>
      </c>
      <c r="H33" s="12" t="s">
        <v>47</v>
      </c>
      <c r="I33">
        <f>STDEV(A:A)</f>
        <v>1.0726834550796611</v>
      </c>
      <c r="K33" s="5">
        <v>2</v>
      </c>
    </row>
    <row r="34" spans="1:11" x14ac:dyDescent="0.3">
      <c r="A34" s="2">
        <v>9</v>
      </c>
      <c r="B34" s="2">
        <v>6</v>
      </c>
      <c r="C34">
        <f t="shared" si="0"/>
        <v>1.1686046511627906</v>
      </c>
      <c r="D34">
        <f t="shared" si="1"/>
        <v>1.3656368307193074</v>
      </c>
      <c r="E34">
        <f t="shared" si="2"/>
        <v>0.34302325581395365</v>
      </c>
      <c r="F34">
        <f t="shared" si="3"/>
        <v>0.40085857220118998</v>
      </c>
    </row>
    <row r="35" spans="1:11" x14ac:dyDescent="0.3">
      <c r="A35" s="2">
        <v>7</v>
      </c>
      <c r="B35" s="2">
        <v>6</v>
      </c>
      <c r="C35">
        <f t="shared" si="0"/>
        <v>-0.83139534883720945</v>
      </c>
      <c r="D35">
        <f t="shared" si="1"/>
        <v>0.6912182260681452</v>
      </c>
      <c r="E35">
        <f t="shared" si="2"/>
        <v>0.34302325581395365</v>
      </c>
      <c r="F35">
        <f t="shared" si="3"/>
        <v>-0.28518793942671733</v>
      </c>
      <c r="H35" s="10" t="s">
        <v>48</v>
      </c>
    </row>
    <row r="36" spans="1:11" x14ac:dyDescent="0.3">
      <c r="A36" s="2">
        <v>6</v>
      </c>
      <c r="B36" s="2">
        <v>6</v>
      </c>
      <c r="C36">
        <f t="shared" si="0"/>
        <v>-1.8313953488372094</v>
      </c>
      <c r="D36">
        <f t="shared" si="1"/>
        <v>3.3540089237425641</v>
      </c>
      <c r="E36">
        <f t="shared" si="2"/>
        <v>0.34302325581395365</v>
      </c>
      <c r="F36">
        <f t="shared" si="3"/>
        <v>-0.62821119524067104</v>
      </c>
      <c r="H36" t="s">
        <v>49</v>
      </c>
      <c r="I36" s="12">
        <f>SUM(F:F)</f>
        <v>25.776162790697683</v>
      </c>
      <c r="K36" s="5">
        <v>6</v>
      </c>
    </row>
    <row r="37" spans="1:11" x14ac:dyDescent="0.3">
      <c r="A37" s="2">
        <v>9</v>
      </c>
      <c r="B37" s="2">
        <v>6.5</v>
      </c>
      <c r="C37">
        <f t="shared" si="0"/>
        <v>1.1686046511627906</v>
      </c>
      <c r="D37">
        <f t="shared" si="1"/>
        <v>1.3656368307193074</v>
      </c>
      <c r="E37">
        <f t="shared" si="2"/>
        <v>0.84302325581395365</v>
      </c>
      <c r="F37">
        <f t="shared" si="3"/>
        <v>0.9851608977825852</v>
      </c>
      <c r="H37" t="s">
        <v>50</v>
      </c>
      <c r="I37">
        <f>COVAR(A:A,B:B)</f>
        <v>0.29972282314764748</v>
      </c>
      <c r="K37" s="5">
        <v>2</v>
      </c>
    </row>
    <row r="38" spans="1:11" x14ac:dyDescent="0.3">
      <c r="A38" s="2">
        <v>7</v>
      </c>
      <c r="B38" s="2">
        <v>6</v>
      </c>
      <c r="C38">
        <f t="shared" si="0"/>
        <v>-0.83139534883720945</v>
      </c>
      <c r="D38">
        <f t="shared" si="1"/>
        <v>0.6912182260681452</v>
      </c>
      <c r="E38">
        <f t="shared" si="2"/>
        <v>0.34302325581395365</v>
      </c>
      <c r="F38">
        <f t="shared" si="3"/>
        <v>-0.28518793942671733</v>
      </c>
      <c r="H38" t="s">
        <v>51</v>
      </c>
      <c r="I38">
        <f>CORREL(A:A,B:B)</f>
        <v>0.27154059595843527</v>
      </c>
      <c r="K38" s="5">
        <v>2</v>
      </c>
    </row>
    <row r="39" spans="1:11" x14ac:dyDescent="0.3">
      <c r="A39" s="2">
        <v>9</v>
      </c>
      <c r="B39" s="2">
        <v>7</v>
      </c>
      <c r="C39">
        <f t="shared" si="0"/>
        <v>1.1686046511627906</v>
      </c>
      <c r="D39">
        <f t="shared" si="1"/>
        <v>1.3656368307193074</v>
      </c>
      <c r="E39">
        <f t="shared" si="2"/>
        <v>1.3430232558139537</v>
      </c>
      <c r="F39">
        <f t="shared" si="3"/>
        <v>1.5694632233639805</v>
      </c>
    </row>
    <row r="40" spans="1:11" x14ac:dyDescent="0.3">
      <c r="A40" s="2">
        <v>7.5</v>
      </c>
      <c r="B40" s="2">
        <v>7</v>
      </c>
      <c r="C40">
        <f t="shared" si="0"/>
        <v>-0.33139534883720945</v>
      </c>
      <c r="D40">
        <f t="shared" si="1"/>
        <v>0.10982287723093574</v>
      </c>
      <c r="E40">
        <f t="shared" si="2"/>
        <v>1.3430232558139537</v>
      </c>
      <c r="F40">
        <f t="shared" si="3"/>
        <v>-0.44507166035694995</v>
      </c>
    </row>
    <row r="41" spans="1:11" x14ac:dyDescent="0.3">
      <c r="A41" s="2">
        <v>7</v>
      </c>
      <c r="B41" s="2">
        <v>4.5</v>
      </c>
      <c r="C41">
        <f t="shared" si="0"/>
        <v>-0.83139534883720945</v>
      </c>
      <c r="D41">
        <f t="shared" si="1"/>
        <v>0.6912182260681452</v>
      </c>
      <c r="E41">
        <f t="shared" si="2"/>
        <v>-1.1569767441860463</v>
      </c>
      <c r="F41">
        <f t="shared" si="3"/>
        <v>0.96190508382909679</v>
      </c>
      <c r="K41">
        <f>SUM(K1:K38)</f>
        <v>60</v>
      </c>
    </row>
    <row r="42" spans="1:11" x14ac:dyDescent="0.3">
      <c r="A42" s="2">
        <v>7</v>
      </c>
      <c r="B42" s="2">
        <v>6</v>
      </c>
      <c r="C42">
        <f t="shared" si="0"/>
        <v>-0.83139534883720945</v>
      </c>
      <c r="D42">
        <f t="shared" si="1"/>
        <v>0.6912182260681452</v>
      </c>
      <c r="E42">
        <f t="shared" si="2"/>
        <v>0.34302325581395365</v>
      </c>
      <c r="F42">
        <f t="shared" si="3"/>
        <v>-0.28518793942671733</v>
      </c>
    </row>
    <row r="43" spans="1:11" x14ac:dyDescent="0.3">
      <c r="A43" s="2">
        <v>9</v>
      </c>
      <c r="B43" s="2">
        <v>7</v>
      </c>
      <c r="C43">
        <f t="shared" si="0"/>
        <v>1.1686046511627906</v>
      </c>
      <c r="D43">
        <f t="shared" si="1"/>
        <v>1.3656368307193074</v>
      </c>
      <c r="E43">
        <f t="shared" si="2"/>
        <v>1.3430232558139537</v>
      </c>
      <c r="F43">
        <f t="shared" si="3"/>
        <v>1.5694632233639805</v>
      </c>
    </row>
    <row r="44" spans="1:11" x14ac:dyDescent="0.3">
      <c r="A44" s="2">
        <v>8</v>
      </c>
      <c r="B44" s="2">
        <v>4.5</v>
      </c>
      <c r="C44">
        <f t="shared" si="0"/>
        <v>0.16860465116279055</v>
      </c>
      <c r="D44">
        <f t="shared" si="1"/>
        <v>2.8427528393726288E-2</v>
      </c>
      <c r="E44">
        <f t="shared" si="2"/>
        <v>-1.1569767441860463</v>
      </c>
      <c r="F44">
        <f t="shared" si="3"/>
        <v>-0.19507166035694951</v>
      </c>
    </row>
    <row r="45" spans="1:11" x14ac:dyDescent="0.3">
      <c r="A45" s="2">
        <v>8</v>
      </c>
      <c r="B45" s="2">
        <v>5</v>
      </c>
      <c r="C45">
        <f t="shared" si="0"/>
        <v>0.16860465116279055</v>
      </c>
      <c r="D45">
        <f t="shared" si="1"/>
        <v>2.8427528393726288E-2</v>
      </c>
      <c r="E45">
        <f t="shared" si="2"/>
        <v>-0.65697674418604635</v>
      </c>
      <c r="F45">
        <f t="shared" si="3"/>
        <v>-0.11076933477555423</v>
      </c>
    </row>
    <row r="46" spans="1:11" x14ac:dyDescent="0.3">
      <c r="A46" s="2">
        <v>9</v>
      </c>
      <c r="B46" s="2">
        <v>7</v>
      </c>
      <c r="C46">
        <f t="shared" si="0"/>
        <v>1.1686046511627906</v>
      </c>
      <c r="D46">
        <f t="shared" si="1"/>
        <v>1.3656368307193074</v>
      </c>
      <c r="E46">
        <f t="shared" si="2"/>
        <v>1.3430232558139537</v>
      </c>
      <c r="F46">
        <f t="shared" si="3"/>
        <v>1.5694632233639805</v>
      </c>
    </row>
    <row r="47" spans="1:11" x14ac:dyDescent="0.3">
      <c r="A47" s="2">
        <v>6</v>
      </c>
      <c r="B47" s="2">
        <v>4.5</v>
      </c>
      <c r="C47">
        <f t="shared" si="0"/>
        <v>-1.8313953488372094</v>
      </c>
      <c r="D47">
        <f t="shared" si="1"/>
        <v>3.3540089237425641</v>
      </c>
      <c r="E47">
        <f t="shared" si="2"/>
        <v>-1.1569767441860463</v>
      </c>
      <c r="F47">
        <f t="shared" si="3"/>
        <v>2.1188818280151431</v>
      </c>
    </row>
    <row r="48" spans="1:11" x14ac:dyDescent="0.3">
      <c r="A48" s="2">
        <v>7</v>
      </c>
      <c r="B48" s="2">
        <v>4</v>
      </c>
      <c r="C48">
        <f t="shared" si="0"/>
        <v>-0.83139534883720945</v>
      </c>
      <c r="D48">
        <f t="shared" si="1"/>
        <v>0.6912182260681452</v>
      </c>
      <c r="E48">
        <f t="shared" si="2"/>
        <v>-1.6569767441860463</v>
      </c>
      <c r="F48">
        <f t="shared" si="3"/>
        <v>1.3776027582477015</v>
      </c>
    </row>
    <row r="49" spans="1:6" x14ac:dyDescent="0.3">
      <c r="A49" s="2">
        <v>9</v>
      </c>
      <c r="B49" s="2">
        <v>6</v>
      </c>
      <c r="C49">
        <f t="shared" si="0"/>
        <v>1.1686046511627906</v>
      </c>
      <c r="D49">
        <f t="shared" si="1"/>
        <v>1.3656368307193074</v>
      </c>
      <c r="E49">
        <f t="shared" si="2"/>
        <v>0.34302325581395365</v>
      </c>
      <c r="F49">
        <f t="shared" si="3"/>
        <v>0.40085857220118998</v>
      </c>
    </row>
    <row r="50" spans="1:6" x14ac:dyDescent="0.3">
      <c r="A50" s="2">
        <v>9</v>
      </c>
      <c r="B50" s="2">
        <v>4.5</v>
      </c>
      <c r="C50">
        <f t="shared" si="0"/>
        <v>1.1686046511627906</v>
      </c>
      <c r="D50">
        <f t="shared" si="1"/>
        <v>1.3656368307193074</v>
      </c>
      <c r="E50">
        <f t="shared" si="2"/>
        <v>-1.1569767441860463</v>
      </c>
      <c r="F50">
        <f t="shared" si="3"/>
        <v>-1.3520484045429959</v>
      </c>
    </row>
    <row r="51" spans="1:6" x14ac:dyDescent="0.3">
      <c r="A51" s="2">
        <v>8.5</v>
      </c>
      <c r="B51" s="2">
        <v>6</v>
      </c>
      <c r="C51">
        <f t="shared" si="0"/>
        <v>0.66860465116279055</v>
      </c>
      <c r="D51">
        <f t="shared" si="1"/>
        <v>0.44703217955651686</v>
      </c>
      <c r="E51">
        <f t="shared" si="2"/>
        <v>0.34302325581395365</v>
      </c>
      <c r="F51">
        <f t="shared" si="3"/>
        <v>0.22934694429421315</v>
      </c>
    </row>
    <row r="52" spans="1:6" x14ac:dyDescent="0.3">
      <c r="A52" s="2">
        <v>6</v>
      </c>
      <c r="B52" s="2">
        <v>6</v>
      </c>
      <c r="C52">
        <f t="shared" si="0"/>
        <v>-1.8313953488372094</v>
      </c>
      <c r="D52">
        <f t="shared" si="1"/>
        <v>3.3540089237425641</v>
      </c>
      <c r="E52">
        <f t="shared" si="2"/>
        <v>0.34302325581395365</v>
      </c>
      <c r="F52">
        <f t="shared" si="3"/>
        <v>-0.62821119524067104</v>
      </c>
    </row>
    <row r="53" spans="1:6" x14ac:dyDescent="0.3">
      <c r="A53" s="2">
        <v>8</v>
      </c>
      <c r="B53" s="2">
        <v>6</v>
      </c>
      <c r="C53">
        <f t="shared" si="0"/>
        <v>0.16860465116279055</v>
      </c>
      <c r="D53">
        <f t="shared" si="1"/>
        <v>2.8427528393726288E-2</v>
      </c>
      <c r="E53">
        <f t="shared" si="2"/>
        <v>0.34302325581395365</v>
      </c>
      <c r="F53">
        <f t="shared" si="3"/>
        <v>5.7835316387236324E-2</v>
      </c>
    </row>
    <row r="54" spans="1:6" x14ac:dyDescent="0.3">
      <c r="A54" s="2">
        <v>9</v>
      </c>
      <c r="B54" s="2">
        <v>6</v>
      </c>
      <c r="C54">
        <f t="shared" si="0"/>
        <v>1.1686046511627906</v>
      </c>
      <c r="D54">
        <f t="shared" si="1"/>
        <v>1.3656368307193074</v>
      </c>
      <c r="E54">
        <f t="shared" si="2"/>
        <v>0.34302325581395365</v>
      </c>
      <c r="F54">
        <f t="shared" si="3"/>
        <v>0.40085857220118998</v>
      </c>
    </row>
    <row r="55" spans="1:6" x14ac:dyDescent="0.3">
      <c r="A55" s="2">
        <v>8</v>
      </c>
      <c r="B55" s="2">
        <v>7</v>
      </c>
      <c r="C55">
        <f t="shared" si="0"/>
        <v>0.16860465116279055</v>
      </c>
      <c r="D55">
        <f t="shared" si="1"/>
        <v>2.8427528393726288E-2</v>
      </c>
      <c r="E55">
        <f t="shared" si="2"/>
        <v>1.3430232558139537</v>
      </c>
      <c r="F55">
        <f t="shared" si="3"/>
        <v>0.22643996755002688</v>
      </c>
    </row>
    <row r="56" spans="1:6" x14ac:dyDescent="0.3">
      <c r="A56" s="2">
        <v>8.5</v>
      </c>
      <c r="B56" s="2">
        <v>7</v>
      </c>
      <c r="C56">
        <f t="shared" si="0"/>
        <v>0.66860465116279055</v>
      </c>
      <c r="D56">
        <f t="shared" si="1"/>
        <v>0.44703217955651686</v>
      </c>
      <c r="E56">
        <f t="shared" si="2"/>
        <v>1.3430232558139537</v>
      </c>
      <c r="F56">
        <f t="shared" si="3"/>
        <v>0.89795159545700365</v>
      </c>
    </row>
    <row r="57" spans="1:6" x14ac:dyDescent="0.3">
      <c r="A57" s="2">
        <v>7</v>
      </c>
      <c r="B57" s="2">
        <v>5</v>
      </c>
      <c r="C57">
        <f t="shared" si="0"/>
        <v>-0.83139534883720945</v>
      </c>
      <c r="D57">
        <f t="shared" si="1"/>
        <v>0.6912182260681452</v>
      </c>
      <c r="E57">
        <f t="shared" si="2"/>
        <v>-0.65697674418604635</v>
      </c>
      <c r="F57">
        <f t="shared" si="3"/>
        <v>0.54620740941049206</v>
      </c>
    </row>
    <row r="58" spans="1:6" x14ac:dyDescent="0.3">
      <c r="A58" s="2">
        <v>6</v>
      </c>
      <c r="B58" s="2">
        <v>5</v>
      </c>
      <c r="C58">
        <f t="shared" si="0"/>
        <v>-1.8313953488372094</v>
      </c>
      <c r="D58">
        <f t="shared" si="1"/>
        <v>3.3540089237425641</v>
      </c>
      <c r="E58">
        <f t="shared" si="2"/>
        <v>-0.65697674418604635</v>
      </c>
      <c r="F58">
        <f t="shared" si="3"/>
        <v>1.2031841535965384</v>
      </c>
    </row>
    <row r="59" spans="1:6" x14ac:dyDescent="0.3">
      <c r="A59" s="2">
        <v>9</v>
      </c>
      <c r="B59" s="2">
        <v>8</v>
      </c>
      <c r="C59">
        <f t="shared" si="0"/>
        <v>1.1686046511627906</v>
      </c>
      <c r="D59">
        <f t="shared" si="1"/>
        <v>1.3656368307193074</v>
      </c>
      <c r="E59">
        <f t="shared" si="2"/>
        <v>2.3430232558139537</v>
      </c>
      <c r="F59">
        <f t="shared" si="3"/>
        <v>2.738067874526771</v>
      </c>
    </row>
    <row r="60" spans="1:6" x14ac:dyDescent="0.3">
      <c r="A60" s="2">
        <v>8.5</v>
      </c>
      <c r="B60" s="2">
        <v>6</v>
      </c>
      <c r="C60">
        <f t="shared" si="0"/>
        <v>0.66860465116279055</v>
      </c>
      <c r="D60">
        <f t="shared" si="1"/>
        <v>0.44703217955651686</v>
      </c>
      <c r="E60">
        <f t="shared" si="2"/>
        <v>0.34302325581395365</v>
      </c>
      <c r="F60">
        <f t="shared" si="3"/>
        <v>0.22934694429421315</v>
      </c>
    </row>
    <row r="61" spans="1:6" x14ac:dyDescent="0.3">
      <c r="A61" s="2">
        <v>7</v>
      </c>
      <c r="B61" s="2">
        <v>4.5</v>
      </c>
      <c r="C61">
        <f t="shared" si="0"/>
        <v>-0.83139534883720945</v>
      </c>
      <c r="D61">
        <f t="shared" si="1"/>
        <v>0.6912182260681452</v>
      </c>
      <c r="E61">
        <f t="shared" si="2"/>
        <v>-1.1569767441860463</v>
      </c>
      <c r="F61">
        <f t="shared" si="3"/>
        <v>0.96190508382909679</v>
      </c>
    </row>
    <row r="62" spans="1:6" x14ac:dyDescent="0.3">
      <c r="A62" s="2">
        <v>8.5</v>
      </c>
      <c r="B62" s="2">
        <v>5</v>
      </c>
      <c r="C62">
        <f t="shared" si="0"/>
        <v>0.66860465116279055</v>
      </c>
      <c r="D62">
        <f t="shared" si="1"/>
        <v>0.44703217955651686</v>
      </c>
      <c r="E62">
        <f t="shared" si="2"/>
        <v>-0.65697674418604635</v>
      </c>
      <c r="F62">
        <f t="shared" si="3"/>
        <v>-0.4392577068685774</v>
      </c>
    </row>
    <row r="63" spans="1:6" x14ac:dyDescent="0.3">
      <c r="A63" s="2">
        <v>7</v>
      </c>
      <c r="B63" s="2">
        <v>6.5</v>
      </c>
      <c r="C63">
        <f t="shared" si="0"/>
        <v>-0.83139534883720945</v>
      </c>
      <c r="D63">
        <f t="shared" si="1"/>
        <v>0.6912182260681452</v>
      </c>
      <c r="E63">
        <f t="shared" si="2"/>
        <v>0.84302325581395365</v>
      </c>
      <c r="F63">
        <f t="shared" si="3"/>
        <v>-0.70088561384532211</v>
      </c>
    </row>
    <row r="64" spans="1:6" x14ac:dyDescent="0.3">
      <c r="A64" s="2">
        <v>7</v>
      </c>
      <c r="B64" s="2">
        <v>4</v>
      </c>
      <c r="C64">
        <f t="shared" si="0"/>
        <v>-0.83139534883720945</v>
      </c>
      <c r="D64">
        <f t="shared" si="1"/>
        <v>0.6912182260681452</v>
      </c>
      <c r="E64">
        <f t="shared" si="2"/>
        <v>-1.6569767441860463</v>
      </c>
      <c r="F64">
        <f t="shared" si="3"/>
        <v>1.3776027582477015</v>
      </c>
    </row>
    <row r="65" spans="1:6" x14ac:dyDescent="0.3">
      <c r="A65" s="2">
        <v>8</v>
      </c>
      <c r="B65" s="2">
        <v>6</v>
      </c>
      <c r="C65">
        <f t="shared" si="0"/>
        <v>0.16860465116279055</v>
      </c>
      <c r="D65">
        <f t="shared" si="1"/>
        <v>2.8427528393726288E-2</v>
      </c>
      <c r="E65">
        <f t="shared" si="2"/>
        <v>0.34302325581395365</v>
      </c>
      <c r="F65">
        <f t="shared" si="3"/>
        <v>5.7835316387236324E-2</v>
      </c>
    </row>
    <row r="66" spans="1:6" x14ac:dyDescent="0.3">
      <c r="A66" s="2">
        <v>9.5</v>
      </c>
      <c r="B66" s="2">
        <v>7</v>
      </c>
      <c r="C66">
        <f t="shared" ref="C66:C87" si="4">A66-I$24</f>
        <v>1.6686046511627906</v>
      </c>
      <c r="D66">
        <f t="shared" ref="D66:D87" si="5">C66*C66</f>
        <v>2.784241481882098</v>
      </c>
      <c r="E66">
        <f t="shared" ref="E66:F87" si="6">B66-J$24</f>
        <v>1.3430232558139537</v>
      </c>
      <c r="F66">
        <f t="shared" ref="F66:F87" si="7">C66*E66</f>
        <v>2.2409748512709573</v>
      </c>
    </row>
    <row r="67" spans="1:6" x14ac:dyDescent="0.3">
      <c r="A67" s="2">
        <v>8</v>
      </c>
      <c r="B67" s="2">
        <v>5</v>
      </c>
      <c r="C67">
        <f t="shared" si="4"/>
        <v>0.16860465116279055</v>
      </c>
      <c r="D67">
        <f t="shared" si="5"/>
        <v>2.8427528393726288E-2</v>
      </c>
      <c r="E67">
        <f t="shared" si="6"/>
        <v>-0.65697674418604635</v>
      </c>
      <c r="F67">
        <f t="shared" si="7"/>
        <v>-0.11076933477555423</v>
      </c>
    </row>
    <row r="68" spans="1:6" x14ac:dyDescent="0.3">
      <c r="A68" s="2">
        <v>9</v>
      </c>
      <c r="B68" s="2">
        <v>6</v>
      </c>
      <c r="C68">
        <f t="shared" si="4"/>
        <v>1.1686046511627906</v>
      </c>
      <c r="D68">
        <f t="shared" si="5"/>
        <v>1.3656368307193074</v>
      </c>
      <c r="E68">
        <f t="shared" si="6"/>
        <v>0.34302325581395365</v>
      </c>
      <c r="F68">
        <f t="shared" si="7"/>
        <v>0.40085857220118998</v>
      </c>
    </row>
    <row r="69" spans="1:6" x14ac:dyDescent="0.3">
      <c r="A69" s="2">
        <v>9</v>
      </c>
      <c r="B69" s="2">
        <v>6</v>
      </c>
      <c r="C69">
        <f t="shared" si="4"/>
        <v>1.1686046511627906</v>
      </c>
      <c r="D69">
        <f t="shared" si="5"/>
        <v>1.3656368307193074</v>
      </c>
      <c r="E69">
        <f t="shared" si="6"/>
        <v>0.34302325581395365</v>
      </c>
      <c r="F69">
        <f t="shared" si="7"/>
        <v>0.40085857220118998</v>
      </c>
    </row>
    <row r="70" spans="1:6" x14ac:dyDescent="0.3">
      <c r="A70" s="2">
        <v>7</v>
      </c>
      <c r="B70" s="2">
        <v>7</v>
      </c>
      <c r="C70">
        <f t="shared" si="4"/>
        <v>-0.83139534883720945</v>
      </c>
      <c r="D70">
        <f t="shared" si="5"/>
        <v>0.6912182260681452</v>
      </c>
      <c r="E70">
        <f t="shared" si="6"/>
        <v>1.3430232558139537</v>
      </c>
      <c r="F70">
        <f t="shared" si="7"/>
        <v>-1.1165832882639268</v>
      </c>
    </row>
    <row r="71" spans="1:6" x14ac:dyDescent="0.3">
      <c r="A71" s="2">
        <v>6</v>
      </c>
      <c r="B71" s="2">
        <v>6</v>
      </c>
      <c r="C71">
        <f t="shared" si="4"/>
        <v>-1.8313953488372094</v>
      </c>
      <c r="D71">
        <f t="shared" si="5"/>
        <v>3.3540089237425641</v>
      </c>
      <c r="E71">
        <f t="shared" si="6"/>
        <v>0.34302325581395365</v>
      </c>
      <c r="F71">
        <f t="shared" si="7"/>
        <v>-0.62821119524067104</v>
      </c>
    </row>
    <row r="72" spans="1:6" x14ac:dyDescent="0.3">
      <c r="A72" s="2">
        <v>6</v>
      </c>
      <c r="B72" s="2">
        <v>6</v>
      </c>
      <c r="C72">
        <f t="shared" si="4"/>
        <v>-1.8313953488372094</v>
      </c>
      <c r="D72">
        <f t="shared" si="5"/>
        <v>3.3540089237425641</v>
      </c>
      <c r="E72">
        <f t="shared" si="6"/>
        <v>0.34302325581395365</v>
      </c>
      <c r="F72">
        <f t="shared" si="7"/>
        <v>-0.62821119524067104</v>
      </c>
    </row>
    <row r="73" spans="1:6" x14ac:dyDescent="0.3">
      <c r="A73" s="2">
        <v>7</v>
      </c>
      <c r="B73" s="2">
        <v>7</v>
      </c>
      <c r="C73">
        <f t="shared" si="4"/>
        <v>-0.83139534883720945</v>
      </c>
      <c r="D73">
        <f t="shared" si="5"/>
        <v>0.6912182260681452</v>
      </c>
      <c r="E73">
        <f t="shared" si="6"/>
        <v>1.3430232558139537</v>
      </c>
      <c r="F73">
        <f t="shared" si="7"/>
        <v>-1.1165832882639268</v>
      </c>
    </row>
    <row r="74" spans="1:6" x14ac:dyDescent="0.3">
      <c r="A74" s="2">
        <v>8.5</v>
      </c>
      <c r="B74" s="2">
        <v>6</v>
      </c>
      <c r="C74">
        <f t="shared" si="4"/>
        <v>0.66860465116279055</v>
      </c>
      <c r="D74">
        <f t="shared" si="5"/>
        <v>0.44703217955651686</v>
      </c>
      <c r="E74">
        <f t="shared" si="6"/>
        <v>0.34302325581395365</v>
      </c>
      <c r="F74">
        <f t="shared" si="7"/>
        <v>0.22934694429421315</v>
      </c>
    </row>
    <row r="75" spans="1:6" x14ac:dyDescent="0.3">
      <c r="A75" s="2">
        <v>7.5</v>
      </c>
      <c r="B75" s="2">
        <v>3</v>
      </c>
      <c r="C75">
        <f t="shared" si="4"/>
        <v>-0.33139534883720945</v>
      </c>
      <c r="D75">
        <f t="shared" si="5"/>
        <v>0.10982287723093574</v>
      </c>
      <c r="E75">
        <f t="shared" si="6"/>
        <v>-2.6569767441860463</v>
      </c>
      <c r="F75">
        <f t="shared" si="7"/>
        <v>0.88050973499188778</v>
      </c>
    </row>
    <row r="76" spans="1:6" x14ac:dyDescent="0.3">
      <c r="A76" s="2">
        <v>7.5</v>
      </c>
      <c r="B76" s="2">
        <v>6</v>
      </c>
      <c r="C76">
        <f t="shared" si="4"/>
        <v>-0.33139534883720945</v>
      </c>
      <c r="D76">
        <f t="shared" si="5"/>
        <v>0.10982287723093574</v>
      </c>
      <c r="E76">
        <f t="shared" si="6"/>
        <v>0.34302325581395365</v>
      </c>
      <c r="F76">
        <f t="shared" si="7"/>
        <v>-0.1136763115197405</v>
      </c>
    </row>
    <row r="77" spans="1:6" x14ac:dyDescent="0.3">
      <c r="A77" s="2">
        <v>8</v>
      </c>
      <c r="B77" s="2">
        <v>6</v>
      </c>
      <c r="C77">
        <f t="shared" si="4"/>
        <v>0.16860465116279055</v>
      </c>
      <c r="D77">
        <f t="shared" si="5"/>
        <v>2.8427528393726288E-2</v>
      </c>
      <c r="E77">
        <f t="shared" si="6"/>
        <v>0.34302325581395365</v>
      </c>
      <c r="F77">
        <f t="shared" si="7"/>
        <v>5.7835316387236324E-2</v>
      </c>
    </row>
    <row r="78" spans="1:6" x14ac:dyDescent="0.3">
      <c r="A78" s="2">
        <v>8.5</v>
      </c>
      <c r="B78" s="2">
        <v>5.5</v>
      </c>
      <c r="C78">
        <f t="shared" si="4"/>
        <v>0.66860465116279055</v>
      </c>
      <c r="D78">
        <f t="shared" si="5"/>
        <v>0.44703217955651686</v>
      </c>
      <c r="E78">
        <f t="shared" si="6"/>
        <v>-0.15697674418604635</v>
      </c>
      <c r="F78">
        <f t="shared" si="7"/>
        <v>-0.10495538128718213</v>
      </c>
    </row>
    <row r="79" spans="1:6" x14ac:dyDescent="0.3">
      <c r="A79" s="2">
        <v>9</v>
      </c>
      <c r="B79" s="2">
        <v>6</v>
      </c>
      <c r="C79">
        <f t="shared" si="4"/>
        <v>1.1686046511627906</v>
      </c>
      <c r="D79">
        <f t="shared" si="5"/>
        <v>1.3656368307193074</v>
      </c>
      <c r="E79">
        <f t="shared" si="6"/>
        <v>0.34302325581395365</v>
      </c>
      <c r="F79">
        <f t="shared" si="7"/>
        <v>0.40085857220118998</v>
      </c>
    </row>
    <row r="80" spans="1:6" x14ac:dyDescent="0.3">
      <c r="A80" s="2">
        <v>7</v>
      </c>
      <c r="B80" s="2">
        <v>6</v>
      </c>
      <c r="C80">
        <f t="shared" si="4"/>
        <v>-0.83139534883720945</v>
      </c>
      <c r="D80">
        <f t="shared" si="5"/>
        <v>0.6912182260681452</v>
      </c>
      <c r="E80">
        <f t="shared" si="6"/>
        <v>0.34302325581395365</v>
      </c>
      <c r="F80">
        <f t="shared" si="7"/>
        <v>-0.28518793942671733</v>
      </c>
    </row>
    <row r="81" spans="1:6" x14ac:dyDescent="0.3">
      <c r="A81" s="2">
        <v>9</v>
      </c>
      <c r="B81" s="2">
        <v>7</v>
      </c>
      <c r="C81">
        <f t="shared" si="4"/>
        <v>1.1686046511627906</v>
      </c>
      <c r="D81">
        <f t="shared" si="5"/>
        <v>1.3656368307193074</v>
      </c>
      <c r="E81">
        <f t="shared" si="6"/>
        <v>1.3430232558139537</v>
      </c>
      <c r="F81">
        <f t="shared" si="7"/>
        <v>1.5694632233639805</v>
      </c>
    </row>
    <row r="82" spans="1:6" x14ac:dyDescent="0.3">
      <c r="A82" s="2">
        <v>7.5</v>
      </c>
      <c r="B82" s="2">
        <v>5.5</v>
      </c>
      <c r="C82">
        <f t="shared" si="4"/>
        <v>-0.33139534883720945</v>
      </c>
      <c r="D82">
        <f t="shared" si="5"/>
        <v>0.10982287723093574</v>
      </c>
      <c r="E82">
        <f t="shared" si="6"/>
        <v>-0.15697674418604635</v>
      </c>
      <c r="F82">
        <f t="shared" si="7"/>
        <v>5.2021362898864221E-2</v>
      </c>
    </row>
    <row r="83" spans="1:6" x14ac:dyDescent="0.3">
      <c r="A83" s="2">
        <v>7</v>
      </c>
      <c r="B83" s="2">
        <v>4.5</v>
      </c>
      <c r="C83">
        <f t="shared" si="4"/>
        <v>-0.83139534883720945</v>
      </c>
      <c r="D83">
        <f t="shared" si="5"/>
        <v>0.6912182260681452</v>
      </c>
      <c r="E83">
        <f t="shared" si="6"/>
        <v>-1.1569767441860463</v>
      </c>
      <c r="F83">
        <f t="shared" si="7"/>
        <v>0.96190508382909679</v>
      </c>
    </row>
    <row r="84" spans="1:6" x14ac:dyDescent="0.3">
      <c r="A84" s="2">
        <v>9</v>
      </c>
      <c r="B84" s="2">
        <v>6</v>
      </c>
      <c r="C84">
        <f t="shared" si="4"/>
        <v>1.1686046511627906</v>
      </c>
      <c r="D84">
        <f t="shared" si="5"/>
        <v>1.3656368307193074</v>
      </c>
      <c r="E84">
        <f t="shared" si="6"/>
        <v>0.34302325581395365</v>
      </c>
      <c r="F84">
        <f t="shared" si="7"/>
        <v>0.40085857220118998</v>
      </c>
    </row>
    <row r="85" spans="1:6" x14ac:dyDescent="0.3">
      <c r="A85" s="2">
        <v>6</v>
      </c>
      <c r="B85" s="2">
        <v>5.5</v>
      </c>
      <c r="C85">
        <f t="shared" si="4"/>
        <v>-1.8313953488372094</v>
      </c>
      <c r="D85">
        <f t="shared" si="5"/>
        <v>3.3540089237425641</v>
      </c>
      <c r="E85">
        <f t="shared" si="6"/>
        <v>-0.15697674418604635</v>
      </c>
      <c r="F85">
        <f t="shared" si="7"/>
        <v>0.28748647917793374</v>
      </c>
    </row>
    <row r="86" spans="1:6" x14ac:dyDescent="0.3">
      <c r="A86" s="2">
        <v>9</v>
      </c>
      <c r="B86" s="2">
        <v>5.5</v>
      </c>
      <c r="C86">
        <f t="shared" si="4"/>
        <v>1.1686046511627906</v>
      </c>
      <c r="D86">
        <f t="shared" si="5"/>
        <v>1.3656368307193074</v>
      </c>
      <c r="E86">
        <f t="shared" si="6"/>
        <v>-0.15697674418604635</v>
      </c>
      <c r="F86">
        <f t="shared" si="7"/>
        <v>-0.1834437533802053</v>
      </c>
    </row>
    <row r="87" spans="1:6" x14ac:dyDescent="0.3">
      <c r="A87" s="2">
        <v>8.5</v>
      </c>
      <c r="B87" s="2">
        <v>7</v>
      </c>
      <c r="C87">
        <f t="shared" si="4"/>
        <v>0.66860465116279055</v>
      </c>
      <c r="D87">
        <f t="shared" si="5"/>
        <v>0.44703217955651686</v>
      </c>
      <c r="E87">
        <f t="shared" si="6"/>
        <v>1.3430232558139537</v>
      </c>
      <c r="F87">
        <f t="shared" si="7"/>
        <v>0.89795159545700365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D94E8-E94F-4B0D-90E7-E0E81434E401}">
  <dimension ref="A1:O87"/>
  <sheetViews>
    <sheetView tabSelected="1" topLeftCell="A26" workbookViewId="0">
      <selection activeCell="H41" sqref="H41:H47"/>
    </sheetView>
  </sheetViews>
  <sheetFormatPr defaultRowHeight="14.4" x14ac:dyDescent="0.3"/>
  <cols>
    <col min="5" max="5" width="17.6640625" customWidth="1"/>
  </cols>
  <sheetData>
    <row r="1" spans="1:15" x14ac:dyDescent="0.3">
      <c r="A1" t="s">
        <v>0</v>
      </c>
      <c r="B1" t="s">
        <v>1</v>
      </c>
    </row>
    <row r="2" spans="1:15" x14ac:dyDescent="0.3">
      <c r="A2" t="s">
        <v>4</v>
      </c>
      <c r="B2" s="3">
        <v>5</v>
      </c>
    </row>
    <row r="3" spans="1:15" x14ac:dyDescent="0.3">
      <c r="A3" t="s">
        <v>4</v>
      </c>
      <c r="B3" s="3">
        <v>5</v>
      </c>
      <c r="F3" s="4" t="s">
        <v>0</v>
      </c>
    </row>
    <row r="4" spans="1:15" x14ac:dyDescent="0.3">
      <c r="A4" t="s">
        <v>4</v>
      </c>
      <c r="B4" s="3">
        <v>2</v>
      </c>
    </row>
    <row r="5" spans="1:15" x14ac:dyDescent="0.3">
      <c r="A5" t="s">
        <v>4</v>
      </c>
      <c r="B5" s="3">
        <v>5</v>
      </c>
      <c r="F5" t="s">
        <v>5</v>
      </c>
      <c r="H5" t="s">
        <v>4</v>
      </c>
      <c r="K5" t="s">
        <v>6</v>
      </c>
    </row>
    <row r="6" spans="1:15" x14ac:dyDescent="0.3">
      <c r="A6" t="s">
        <v>4</v>
      </c>
      <c r="B6" s="3">
        <v>2</v>
      </c>
      <c r="E6" t="s">
        <v>7</v>
      </c>
      <c r="F6">
        <f>COUNTIF($A:$A,"CKD")</f>
        <v>28</v>
      </c>
      <c r="H6">
        <f>COUNTIF($A:$A,"CKT")</f>
        <v>58</v>
      </c>
      <c r="K6">
        <f>SUM(F6:J6)</f>
        <v>86</v>
      </c>
      <c r="N6" s="5"/>
      <c r="O6" s="9">
        <v>4</v>
      </c>
    </row>
    <row r="7" spans="1:15" x14ac:dyDescent="0.3">
      <c r="A7" t="s">
        <v>4</v>
      </c>
      <c r="B7" s="3">
        <v>5</v>
      </c>
      <c r="E7" t="s">
        <v>8</v>
      </c>
      <c r="F7" s="1">
        <f>F6/$K6</f>
        <v>0.32558139534883723</v>
      </c>
      <c r="G7" s="1"/>
      <c r="H7" s="1">
        <f t="shared" ref="G7:H7" si="0">H6/$K6</f>
        <v>0.67441860465116277</v>
      </c>
      <c r="I7" s="1"/>
      <c r="J7" s="1"/>
      <c r="K7" s="1">
        <f>SUM(F7:J7)</f>
        <v>1</v>
      </c>
      <c r="O7" s="9">
        <v>2</v>
      </c>
    </row>
    <row r="8" spans="1:15" x14ac:dyDescent="0.3">
      <c r="A8" t="s">
        <v>4</v>
      </c>
      <c r="B8" s="3">
        <v>1</v>
      </c>
      <c r="O8" s="9">
        <v>2</v>
      </c>
    </row>
    <row r="9" spans="1:15" x14ac:dyDescent="0.3">
      <c r="A9" t="s">
        <v>4</v>
      </c>
      <c r="B9" s="3">
        <v>5</v>
      </c>
      <c r="O9" s="9"/>
    </row>
    <row r="10" spans="1:15" x14ac:dyDescent="0.3">
      <c r="A10" t="s">
        <v>4</v>
      </c>
      <c r="B10" s="3">
        <v>5</v>
      </c>
      <c r="F10" s="6" t="s">
        <v>9</v>
      </c>
      <c r="O10" s="9"/>
    </row>
    <row r="11" spans="1:15" x14ac:dyDescent="0.3">
      <c r="A11" t="s">
        <v>5</v>
      </c>
      <c r="B11" s="3">
        <v>3</v>
      </c>
      <c r="O11" s="9"/>
    </row>
    <row r="12" spans="1:15" x14ac:dyDescent="0.3">
      <c r="A12" t="s">
        <v>4</v>
      </c>
      <c r="B12" s="3">
        <v>5</v>
      </c>
      <c r="F12">
        <v>1</v>
      </c>
      <c r="G12">
        <v>2</v>
      </c>
      <c r="H12">
        <v>3</v>
      </c>
      <c r="I12">
        <v>4</v>
      </c>
      <c r="J12">
        <v>5</v>
      </c>
      <c r="K12" t="s">
        <v>6</v>
      </c>
      <c r="O12" s="9"/>
    </row>
    <row r="13" spans="1:15" x14ac:dyDescent="0.3">
      <c r="A13" t="s">
        <v>5</v>
      </c>
      <c r="B13" s="3">
        <v>2</v>
      </c>
      <c r="E13" t="s">
        <v>7</v>
      </c>
      <c r="F13">
        <f>COUNTIF($B:$B,1)</f>
        <v>20</v>
      </c>
      <c r="G13">
        <f>COUNTIF($B:$B,2)</f>
        <v>26</v>
      </c>
      <c r="H13">
        <f>COUNTIF($B:$B,3)</f>
        <v>4</v>
      </c>
      <c r="I13">
        <f>COUNTIF($B:$B,4)</f>
        <v>13</v>
      </c>
      <c r="J13">
        <f>COUNTIF($B:$B,5)</f>
        <v>23</v>
      </c>
      <c r="K13">
        <f>SUM(F13:J13)</f>
        <v>86</v>
      </c>
      <c r="N13" s="5"/>
      <c r="O13" s="9">
        <v>4</v>
      </c>
    </row>
    <row r="14" spans="1:15" x14ac:dyDescent="0.3">
      <c r="A14" t="s">
        <v>4</v>
      </c>
      <c r="B14" s="3">
        <v>2</v>
      </c>
      <c r="E14" t="s">
        <v>8</v>
      </c>
      <c r="F14" s="1">
        <f>F13/$K13</f>
        <v>0.23255813953488372</v>
      </c>
      <c r="G14" s="1">
        <f t="shared" ref="G14:J14" si="1">G13/$K13</f>
        <v>0.30232558139534882</v>
      </c>
      <c r="H14" s="1">
        <f t="shared" si="1"/>
        <v>4.6511627906976744E-2</v>
      </c>
      <c r="I14" s="1">
        <f t="shared" si="1"/>
        <v>0.15116279069767441</v>
      </c>
      <c r="J14" s="1">
        <f t="shared" si="1"/>
        <v>0.26744186046511625</v>
      </c>
      <c r="K14" s="1">
        <f>SUM(F14:J14)</f>
        <v>1</v>
      </c>
      <c r="O14" s="9">
        <v>2</v>
      </c>
    </row>
    <row r="15" spans="1:15" x14ac:dyDescent="0.3">
      <c r="A15" t="s">
        <v>4</v>
      </c>
      <c r="B15" s="3">
        <v>2</v>
      </c>
      <c r="O15" s="9">
        <v>2</v>
      </c>
    </row>
    <row r="16" spans="1:15" x14ac:dyDescent="0.3">
      <c r="A16" t="s">
        <v>5</v>
      </c>
      <c r="B16" s="3">
        <v>3</v>
      </c>
      <c r="O16" s="9"/>
    </row>
    <row r="17" spans="1:15" x14ac:dyDescent="0.3">
      <c r="A17" t="s">
        <v>4</v>
      </c>
      <c r="B17" s="3">
        <v>1</v>
      </c>
      <c r="E17" s="7" t="s">
        <v>10</v>
      </c>
      <c r="O17" s="9"/>
    </row>
    <row r="18" spans="1:15" x14ac:dyDescent="0.3">
      <c r="A18" t="s">
        <v>4</v>
      </c>
      <c r="B18" s="3">
        <v>2</v>
      </c>
      <c r="O18" s="9"/>
    </row>
    <row r="19" spans="1:15" x14ac:dyDescent="0.3">
      <c r="A19" t="s">
        <v>4</v>
      </c>
      <c r="B19" s="3">
        <v>4</v>
      </c>
      <c r="E19" t="s">
        <v>11</v>
      </c>
      <c r="O19" s="9"/>
    </row>
    <row r="20" spans="1:15" x14ac:dyDescent="0.3">
      <c r="A20" t="s">
        <v>4</v>
      </c>
      <c r="B20" s="3">
        <v>2</v>
      </c>
      <c r="G20" s="4" t="s">
        <v>0</v>
      </c>
      <c r="N20" s="5"/>
      <c r="O20" s="9">
        <v>8</v>
      </c>
    </row>
    <row r="21" spans="1:15" x14ac:dyDescent="0.3">
      <c r="A21" t="s">
        <v>4</v>
      </c>
      <c r="B21" s="3">
        <v>4</v>
      </c>
      <c r="G21" t="s">
        <v>5</v>
      </c>
      <c r="I21" t="s">
        <v>4</v>
      </c>
      <c r="L21" s="8" t="s">
        <v>12</v>
      </c>
      <c r="O21" s="9">
        <v>2</v>
      </c>
    </row>
    <row r="22" spans="1:15" x14ac:dyDescent="0.3">
      <c r="A22" t="s">
        <v>4</v>
      </c>
      <c r="B22" s="3">
        <v>2</v>
      </c>
      <c r="E22" s="6" t="s">
        <v>9</v>
      </c>
      <c r="F22" s="8">
        <v>1</v>
      </c>
      <c r="G22">
        <f>COUNTIFS($A:$A,"CKD",$B:$B,1)</f>
        <v>7</v>
      </c>
      <c r="I22">
        <f>COUNTIFS($A:$A,"CKT",$B:$B,1)</f>
        <v>13</v>
      </c>
      <c r="L22">
        <f>SUM(G22:K22)</f>
        <v>20</v>
      </c>
      <c r="O22" s="9">
        <v>2</v>
      </c>
    </row>
    <row r="23" spans="1:15" x14ac:dyDescent="0.3">
      <c r="A23" t="s">
        <v>4</v>
      </c>
      <c r="B23" s="3">
        <v>1</v>
      </c>
      <c r="F23" s="8">
        <v>2</v>
      </c>
      <c r="G23">
        <f>COUNTIFS($A:$A,"CKD",$B:$B,2)</f>
        <v>9</v>
      </c>
      <c r="I23">
        <f>COUNTIFS($A:$A,"CKT",$B:$B,2)</f>
        <v>17</v>
      </c>
      <c r="L23">
        <f t="shared" ref="L23:L26" si="2">SUM(G23:K23)</f>
        <v>26</v>
      </c>
      <c r="O23" s="9"/>
    </row>
    <row r="24" spans="1:15" x14ac:dyDescent="0.3">
      <c r="A24" t="s">
        <v>5</v>
      </c>
      <c r="B24" s="3">
        <v>2</v>
      </c>
      <c r="F24" s="8">
        <v>3</v>
      </c>
      <c r="G24">
        <f>COUNTIFS($A:$A,"CKD",$B:$B,3)</f>
        <v>4</v>
      </c>
      <c r="I24">
        <f>COUNTIFS($A:$A,"CKT",$B:$B,3)</f>
        <v>0</v>
      </c>
      <c r="L24">
        <f t="shared" si="2"/>
        <v>4</v>
      </c>
      <c r="O24" s="9"/>
    </row>
    <row r="25" spans="1:15" x14ac:dyDescent="0.3">
      <c r="A25" t="s">
        <v>5</v>
      </c>
      <c r="B25" s="3">
        <v>1</v>
      </c>
      <c r="F25" s="8">
        <v>4</v>
      </c>
      <c r="G25">
        <f>COUNTIFS($A:$A,"CKD",$B:$B,4)</f>
        <v>4</v>
      </c>
      <c r="I25">
        <f>COUNTIFS($A:$A,"CKT",$B:$B,4)</f>
        <v>9</v>
      </c>
      <c r="L25">
        <f t="shared" si="2"/>
        <v>13</v>
      </c>
      <c r="O25" s="9"/>
    </row>
    <row r="26" spans="1:15" x14ac:dyDescent="0.3">
      <c r="A26" t="s">
        <v>4</v>
      </c>
      <c r="B26" s="3">
        <v>5</v>
      </c>
      <c r="F26" s="8">
        <v>5</v>
      </c>
      <c r="G26">
        <f>COUNTIFS($A:$A,"CKD",$B:$B,5)</f>
        <v>4</v>
      </c>
      <c r="I26">
        <f>COUNTIFS($A:$A,"CKT",$B:$B,5)</f>
        <v>19</v>
      </c>
      <c r="L26">
        <f t="shared" si="2"/>
        <v>23</v>
      </c>
      <c r="O26" s="9"/>
    </row>
    <row r="27" spans="1:15" x14ac:dyDescent="0.3">
      <c r="A27" t="s">
        <v>4</v>
      </c>
      <c r="B27" s="3">
        <v>4</v>
      </c>
      <c r="O27" s="9"/>
    </row>
    <row r="28" spans="1:15" x14ac:dyDescent="0.3">
      <c r="A28" t="s">
        <v>4</v>
      </c>
      <c r="B28" s="3">
        <v>2</v>
      </c>
      <c r="E28" s="8" t="s">
        <v>13</v>
      </c>
      <c r="G28">
        <f>SUM(G22:G26)</f>
        <v>28</v>
      </c>
      <c r="I28">
        <f t="shared" ref="H28:L28" si="3">SUM(I22:I26)</f>
        <v>58</v>
      </c>
      <c r="L28">
        <f t="shared" si="3"/>
        <v>86</v>
      </c>
      <c r="O28" s="9"/>
    </row>
    <row r="29" spans="1:15" x14ac:dyDescent="0.3">
      <c r="A29" t="s">
        <v>4</v>
      </c>
      <c r="B29" s="3">
        <v>4</v>
      </c>
      <c r="N29" s="5"/>
      <c r="O29" s="9"/>
    </row>
    <row r="30" spans="1:15" x14ac:dyDescent="0.3">
      <c r="A30" t="s">
        <v>4</v>
      </c>
      <c r="B30" s="3">
        <v>2</v>
      </c>
      <c r="E30" t="s">
        <v>14</v>
      </c>
      <c r="O30" s="9"/>
    </row>
    <row r="31" spans="1:15" x14ac:dyDescent="0.3">
      <c r="A31" t="s">
        <v>4</v>
      </c>
      <c r="B31" s="3">
        <v>2</v>
      </c>
      <c r="G31" s="4" t="s">
        <v>0</v>
      </c>
      <c r="O31" s="9"/>
    </row>
    <row r="32" spans="1:15" x14ac:dyDescent="0.3">
      <c r="A32" t="s">
        <v>5</v>
      </c>
      <c r="B32" s="3">
        <v>2</v>
      </c>
      <c r="G32" t="s">
        <v>5</v>
      </c>
      <c r="I32" t="s">
        <v>4</v>
      </c>
      <c r="L32" s="8" t="s">
        <v>12</v>
      </c>
      <c r="O32" s="9">
        <v>6</v>
      </c>
    </row>
    <row r="33" spans="1:15" x14ac:dyDescent="0.3">
      <c r="A33" t="s">
        <v>5</v>
      </c>
      <c r="B33" s="3">
        <v>5</v>
      </c>
      <c r="E33" s="6" t="s">
        <v>9</v>
      </c>
      <c r="F33" s="8">
        <v>1</v>
      </c>
      <c r="G33" s="1">
        <f>G22/$L22</f>
        <v>0.35</v>
      </c>
      <c r="H33" s="1"/>
      <c r="I33" s="1">
        <f t="shared" ref="H33:K33" si="4">I22/$L22</f>
        <v>0.65</v>
      </c>
      <c r="J33" s="1"/>
      <c r="K33" s="1"/>
      <c r="L33" s="1">
        <f>SUM(G33:K33)</f>
        <v>1</v>
      </c>
      <c r="O33" s="9"/>
    </row>
    <row r="34" spans="1:15" x14ac:dyDescent="0.3">
      <c r="A34" t="s">
        <v>4</v>
      </c>
      <c r="B34" s="3">
        <v>2</v>
      </c>
      <c r="F34" s="8">
        <v>2</v>
      </c>
      <c r="G34" s="1">
        <f t="shared" ref="G34:K37" si="5">G23/$L23</f>
        <v>0.34615384615384615</v>
      </c>
      <c r="H34" s="1"/>
      <c r="I34" s="1">
        <f t="shared" si="5"/>
        <v>0.65384615384615385</v>
      </c>
      <c r="J34" s="1"/>
      <c r="K34" s="1"/>
      <c r="L34" s="1">
        <f t="shared" ref="L34:L37" si="6">SUM(G34:K34)</f>
        <v>1</v>
      </c>
      <c r="O34" s="9"/>
    </row>
    <row r="35" spans="1:15" x14ac:dyDescent="0.3">
      <c r="A35" t="s">
        <v>4</v>
      </c>
      <c r="B35" s="3">
        <v>5</v>
      </c>
      <c r="F35" s="8">
        <v>3</v>
      </c>
      <c r="G35" s="1">
        <f t="shared" si="5"/>
        <v>1</v>
      </c>
      <c r="H35" s="1"/>
      <c r="I35" s="1">
        <f t="shared" si="5"/>
        <v>0</v>
      </c>
      <c r="J35" s="1"/>
      <c r="K35" s="1"/>
      <c r="L35" s="1">
        <f t="shared" si="6"/>
        <v>1</v>
      </c>
      <c r="N35" s="5"/>
      <c r="O35" s="9"/>
    </row>
    <row r="36" spans="1:15" x14ac:dyDescent="0.3">
      <c r="A36" t="s">
        <v>4</v>
      </c>
      <c r="B36" s="3">
        <v>2</v>
      </c>
      <c r="E36" s="8"/>
      <c r="F36" s="8">
        <v>4</v>
      </c>
      <c r="G36" s="1">
        <f t="shared" si="5"/>
        <v>0.30769230769230771</v>
      </c>
      <c r="H36" s="1"/>
      <c r="I36" s="1">
        <f t="shared" si="5"/>
        <v>0.69230769230769229</v>
      </c>
      <c r="J36" s="1"/>
      <c r="K36" s="1"/>
      <c r="L36" s="1">
        <f t="shared" si="6"/>
        <v>1</v>
      </c>
      <c r="O36" s="9"/>
    </row>
    <row r="37" spans="1:15" x14ac:dyDescent="0.3">
      <c r="A37" t="s">
        <v>4</v>
      </c>
      <c r="B37" s="3">
        <v>2</v>
      </c>
      <c r="F37" s="8">
        <v>5</v>
      </c>
      <c r="G37" s="1">
        <f t="shared" si="5"/>
        <v>0.17391304347826086</v>
      </c>
      <c r="H37" s="1"/>
      <c r="I37" s="1">
        <f t="shared" si="5"/>
        <v>0.82608695652173914</v>
      </c>
      <c r="J37" s="1"/>
      <c r="K37" s="1"/>
      <c r="L37" s="1">
        <f t="shared" si="6"/>
        <v>1</v>
      </c>
      <c r="O37" s="9"/>
    </row>
    <row r="38" spans="1:15" x14ac:dyDescent="0.3">
      <c r="A38" t="s">
        <v>4</v>
      </c>
      <c r="B38" s="3">
        <v>4</v>
      </c>
      <c r="O38" s="9"/>
    </row>
    <row r="39" spans="1:15" x14ac:dyDescent="0.3">
      <c r="A39" t="s">
        <v>4</v>
      </c>
      <c r="B39" s="3">
        <v>5</v>
      </c>
      <c r="E39" t="s">
        <v>15</v>
      </c>
      <c r="O39" s="9"/>
    </row>
    <row r="40" spans="1:15" x14ac:dyDescent="0.3">
      <c r="A40" t="s">
        <v>5</v>
      </c>
      <c r="B40" s="3">
        <v>2</v>
      </c>
      <c r="G40" s="4" t="s">
        <v>0</v>
      </c>
      <c r="O40" s="9"/>
    </row>
    <row r="41" spans="1:15" x14ac:dyDescent="0.3">
      <c r="A41" t="s">
        <v>5</v>
      </c>
      <c r="B41" s="3">
        <v>2</v>
      </c>
      <c r="G41" t="s">
        <v>5</v>
      </c>
      <c r="I41" t="s">
        <v>4</v>
      </c>
      <c r="O41" s="9">
        <v>6</v>
      </c>
    </row>
    <row r="42" spans="1:15" x14ac:dyDescent="0.3">
      <c r="A42" t="s">
        <v>4</v>
      </c>
      <c r="B42" s="3">
        <v>1</v>
      </c>
      <c r="E42" s="6" t="s">
        <v>9</v>
      </c>
      <c r="F42" s="8">
        <v>1</v>
      </c>
      <c r="G42" s="1">
        <f>G22/G$28</f>
        <v>0.25</v>
      </c>
      <c r="H42" s="1"/>
      <c r="I42" s="1">
        <f t="shared" ref="H42:K42" si="7">I22/I$28</f>
        <v>0.22413793103448276</v>
      </c>
      <c r="J42" s="1"/>
      <c r="K42" s="1"/>
      <c r="O42" s="9"/>
    </row>
    <row r="43" spans="1:15" x14ac:dyDescent="0.3">
      <c r="A43" t="s">
        <v>5</v>
      </c>
      <c r="B43" s="3">
        <v>4</v>
      </c>
      <c r="F43" s="8">
        <v>2</v>
      </c>
      <c r="G43" s="1">
        <f t="shared" ref="G43:K46" si="8">G23/G$28</f>
        <v>0.32142857142857145</v>
      </c>
      <c r="H43" s="1"/>
      <c r="I43" s="1">
        <f t="shared" si="8"/>
        <v>0.29310344827586204</v>
      </c>
      <c r="J43" s="1"/>
      <c r="K43" s="1"/>
      <c r="O43" s="9"/>
    </row>
    <row r="44" spans="1:15" x14ac:dyDescent="0.3">
      <c r="A44" t="s">
        <v>5</v>
      </c>
      <c r="B44" s="3">
        <v>1</v>
      </c>
      <c r="F44" s="8">
        <v>3</v>
      </c>
      <c r="G44" s="1">
        <f t="shared" si="8"/>
        <v>0.14285714285714285</v>
      </c>
      <c r="H44" s="1"/>
      <c r="I44" s="1">
        <f t="shared" si="8"/>
        <v>0</v>
      </c>
      <c r="J44" s="1"/>
      <c r="K44" s="1"/>
      <c r="O44" s="9"/>
    </row>
    <row r="45" spans="1:15" x14ac:dyDescent="0.3">
      <c r="A45" t="s">
        <v>4</v>
      </c>
      <c r="B45" s="3">
        <v>5</v>
      </c>
      <c r="F45" s="8">
        <v>4</v>
      </c>
      <c r="G45" s="1">
        <f t="shared" si="8"/>
        <v>0.14285714285714285</v>
      </c>
      <c r="H45" s="1"/>
      <c r="I45" s="1">
        <f t="shared" si="8"/>
        <v>0.15517241379310345</v>
      </c>
      <c r="J45" s="1"/>
      <c r="K45" s="1"/>
    </row>
    <row r="46" spans="1:15" x14ac:dyDescent="0.3">
      <c r="A46" t="s">
        <v>4</v>
      </c>
      <c r="B46" s="3">
        <v>2</v>
      </c>
      <c r="F46" s="8">
        <v>5</v>
      </c>
      <c r="G46" s="1">
        <f t="shared" si="8"/>
        <v>0.14285714285714285</v>
      </c>
      <c r="H46" s="1"/>
      <c r="I46" s="1">
        <f t="shared" si="8"/>
        <v>0.32758620689655171</v>
      </c>
      <c r="J46" s="1"/>
      <c r="K46" s="1"/>
    </row>
    <row r="47" spans="1:15" x14ac:dyDescent="0.3">
      <c r="A47" t="s">
        <v>4</v>
      </c>
      <c r="B47" s="3">
        <v>2</v>
      </c>
      <c r="E47" s="8" t="s">
        <v>13</v>
      </c>
      <c r="G47" s="1">
        <f>SUM(G42:G46)</f>
        <v>0.99999999999999978</v>
      </c>
      <c r="H47" s="1"/>
      <c r="I47" s="1">
        <f t="shared" ref="H47:K47" si="9">SUM(I42:I46)</f>
        <v>0.99999999999999989</v>
      </c>
      <c r="J47" s="1"/>
      <c r="K47" s="1"/>
    </row>
    <row r="48" spans="1:15" x14ac:dyDescent="0.3">
      <c r="A48" t="s">
        <v>4</v>
      </c>
      <c r="B48" s="3">
        <v>1</v>
      </c>
      <c r="O48">
        <f>SUM(O3:O46)</f>
        <v>40</v>
      </c>
    </row>
    <row r="49" spans="1:2" x14ac:dyDescent="0.3">
      <c r="A49" t="s">
        <v>5</v>
      </c>
      <c r="B49" s="3">
        <v>5</v>
      </c>
    </row>
    <row r="50" spans="1:2" x14ac:dyDescent="0.3">
      <c r="A50" t="s">
        <v>4</v>
      </c>
      <c r="B50" s="3">
        <v>1</v>
      </c>
    </row>
    <row r="51" spans="1:2" x14ac:dyDescent="0.3">
      <c r="A51" t="s">
        <v>5</v>
      </c>
      <c r="B51" s="3">
        <v>4</v>
      </c>
    </row>
    <row r="52" spans="1:2" x14ac:dyDescent="0.3">
      <c r="A52" t="s">
        <v>5</v>
      </c>
      <c r="B52" s="3">
        <v>1</v>
      </c>
    </row>
    <row r="53" spans="1:2" x14ac:dyDescent="0.3">
      <c r="A53" t="s">
        <v>5</v>
      </c>
      <c r="B53" s="3">
        <v>1</v>
      </c>
    </row>
    <row r="54" spans="1:2" x14ac:dyDescent="0.3">
      <c r="A54" t="s">
        <v>4</v>
      </c>
      <c r="B54" s="3">
        <v>1</v>
      </c>
    </row>
    <row r="55" spans="1:2" x14ac:dyDescent="0.3">
      <c r="A55" t="s">
        <v>4</v>
      </c>
      <c r="B55" s="3">
        <v>2</v>
      </c>
    </row>
    <row r="56" spans="1:2" x14ac:dyDescent="0.3">
      <c r="A56" t="s">
        <v>4</v>
      </c>
      <c r="B56" s="3">
        <v>5</v>
      </c>
    </row>
    <row r="57" spans="1:2" x14ac:dyDescent="0.3">
      <c r="A57" t="s">
        <v>4</v>
      </c>
      <c r="B57" s="3">
        <v>5</v>
      </c>
    </row>
    <row r="58" spans="1:2" x14ac:dyDescent="0.3">
      <c r="A58" t="s">
        <v>4</v>
      </c>
      <c r="B58" s="3">
        <v>5</v>
      </c>
    </row>
    <row r="59" spans="1:2" x14ac:dyDescent="0.3">
      <c r="A59" t="s">
        <v>4</v>
      </c>
      <c r="B59" s="3">
        <v>5</v>
      </c>
    </row>
    <row r="60" spans="1:2" x14ac:dyDescent="0.3">
      <c r="A60" t="s">
        <v>4</v>
      </c>
      <c r="B60" s="3">
        <v>4</v>
      </c>
    </row>
    <row r="61" spans="1:2" x14ac:dyDescent="0.3">
      <c r="A61" t="s">
        <v>4</v>
      </c>
      <c r="B61" s="3">
        <v>4</v>
      </c>
    </row>
    <row r="62" spans="1:2" x14ac:dyDescent="0.3">
      <c r="A62" t="s">
        <v>4</v>
      </c>
      <c r="B62" s="3">
        <v>1</v>
      </c>
    </row>
    <row r="63" spans="1:2" x14ac:dyDescent="0.3">
      <c r="A63" t="s">
        <v>4</v>
      </c>
      <c r="B63" s="3">
        <v>5</v>
      </c>
    </row>
    <row r="64" spans="1:2" x14ac:dyDescent="0.3">
      <c r="A64" t="s">
        <v>4</v>
      </c>
      <c r="B64" s="3">
        <v>5</v>
      </c>
    </row>
    <row r="65" spans="1:2" x14ac:dyDescent="0.3">
      <c r="A65" t="s">
        <v>5</v>
      </c>
      <c r="B65" s="3">
        <v>5</v>
      </c>
    </row>
    <row r="66" spans="1:2" x14ac:dyDescent="0.3">
      <c r="A66" t="s">
        <v>4</v>
      </c>
      <c r="B66" s="3">
        <v>1</v>
      </c>
    </row>
    <row r="67" spans="1:2" x14ac:dyDescent="0.3">
      <c r="A67" t="s">
        <v>4</v>
      </c>
      <c r="B67" s="3">
        <v>1</v>
      </c>
    </row>
    <row r="68" spans="1:2" x14ac:dyDescent="0.3">
      <c r="A68" t="s">
        <v>5</v>
      </c>
      <c r="B68" s="3">
        <v>2</v>
      </c>
    </row>
    <row r="69" spans="1:2" x14ac:dyDescent="0.3">
      <c r="A69" t="s">
        <v>5</v>
      </c>
      <c r="B69" s="3">
        <v>3</v>
      </c>
    </row>
    <row r="70" spans="1:2" x14ac:dyDescent="0.3">
      <c r="A70" t="s">
        <v>4</v>
      </c>
      <c r="B70" s="3">
        <v>4</v>
      </c>
    </row>
    <row r="71" spans="1:2" x14ac:dyDescent="0.3">
      <c r="A71" t="s">
        <v>4</v>
      </c>
      <c r="B71" s="3">
        <v>4</v>
      </c>
    </row>
    <row r="72" spans="1:2" x14ac:dyDescent="0.3">
      <c r="A72" t="s">
        <v>4</v>
      </c>
      <c r="B72" s="3">
        <v>5</v>
      </c>
    </row>
    <row r="73" spans="1:2" x14ac:dyDescent="0.3">
      <c r="A73" t="s">
        <v>4</v>
      </c>
      <c r="B73" s="3">
        <v>1</v>
      </c>
    </row>
    <row r="74" spans="1:2" x14ac:dyDescent="0.3">
      <c r="A74" t="s">
        <v>4</v>
      </c>
      <c r="B74" s="3">
        <v>1</v>
      </c>
    </row>
    <row r="75" spans="1:2" x14ac:dyDescent="0.3">
      <c r="A75" t="s">
        <v>4</v>
      </c>
      <c r="B75" s="3">
        <v>5</v>
      </c>
    </row>
    <row r="76" spans="1:2" x14ac:dyDescent="0.3">
      <c r="A76" t="s">
        <v>5</v>
      </c>
      <c r="B76" s="3">
        <v>2</v>
      </c>
    </row>
    <row r="77" spans="1:2" x14ac:dyDescent="0.3">
      <c r="A77" t="s">
        <v>5</v>
      </c>
      <c r="B77" s="3">
        <v>2</v>
      </c>
    </row>
    <row r="78" spans="1:2" x14ac:dyDescent="0.3">
      <c r="A78" t="s">
        <v>5</v>
      </c>
      <c r="B78" s="3">
        <v>5</v>
      </c>
    </row>
    <row r="79" spans="1:2" x14ac:dyDescent="0.3">
      <c r="A79" t="s">
        <v>5</v>
      </c>
      <c r="B79" s="3">
        <v>4</v>
      </c>
    </row>
    <row r="80" spans="1:2" x14ac:dyDescent="0.3">
      <c r="A80" t="s">
        <v>4</v>
      </c>
      <c r="B80" s="3">
        <v>2</v>
      </c>
    </row>
    <row r="81" spans="1:2" x14ac:dyDescent="0.3">
      <c r="A81" t="s">
        <v>5</v>
      </c>
      <c r="B81" s="3">
        <v>3</v>
      </c>
    </row>
    <row r="82" spans="1:2" x14ac:dyDescent="0.3">
      <c r="A82" t="s">
        <v>5</v>
      </c>
      <c r="B82" s="3">
        <v>4</v>
      </c>
    </row>
    <row r="83" spans="1:2" x14ac:dyDescent="0.3">
      <c r="A83" t="s">
        <v>5</v>
      </c>
      <c r="B83" s="3">
        <v>1</v>
      </c>
    </row>
    <row r="84" spans="1:2" x14ac:dyDescent="0.3">
      <c r="A84" t="s">
        <v>5</v>
      </c>
      <c r="B84" s="3">
        <v>1</v>
      </c>
    </row>
    <row r="85" spans="1:2" x14ac:dyDescent="0.3">
      <c r="A85" t="s">
        <v>5</v>
      </c>
      <c r="B85" s="3">
        <v>1</v>
      </c>
    </row>
    <row r="86" spans="1:2" x14ac:dyDescent="0.3">
      <c r="A86" t="s">
        <v>5</v>
      </c>
      <c r="B86" s="3">
        <v>2</v>
      </c>
    </row>
    <row r="87" spans="1:2" x14ac:dyDescent="0.3">
      <c r="A87" t="s">
        <v>4</v>
      </c>
      <c r="B87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Midterm02</vt:lpstr>
      <vt:lpstr>Sheet2</vt:lpstr>
      <vt:lpstr>Sheet1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Admin</cp:lastModifiedBy>
  <dcterms:created xsi:type="dcterms:W3CDTF">2011-08-01T14:22:18Z</dcterms:created>
  <dcterms:modified xsi:type="dcterms:W3CDTF">2025-03-08T14:03:02Z</dcterms:modified>
</cp:coreProperties>
</file>