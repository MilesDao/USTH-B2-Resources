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44" windowHeight="7855" activeTab="1"/>
  </bookViews>
  <sheets>
    <sheet name="Template" sheetId="1" r:id="rId1"/>
    <sheet name="Personal work" sheetId="4" r:id="rId2"/>
    <sheet name="Sheet3" sheetId="3" r:id="rId3"/>
  </sheets>
  <definedNames>
    <definedName name="project_start">Template!$D$3</definedName>
    <definedName name="display_week">Template!$D$4</definedName>
    <definedName name="task_start" localSheetId="0">Template!$D1</definedName>
    <definedName name="task_end" localSheetId="0">Template!$E1</definedName>
    <definedName name="task_progress" localSheetId="0">Template!$C1</definedName>
    <definedName name="project_start" localSheetId="1">'Personal work'!$D$3</definedName>
    <definedName name="display_week" localSheetId="1">'Personal work'!$D$4</definedName>
    <definedName name="task_start" localSheetId="1">'Personal work'!$D1</definedName>
    <definedName name="task_end" localSheetId="1">'Personal work'!$E1</definedName>
    <definedName name="task_progress" localSheetId="1">'Personal work'!$C1</definedName>
  </definedNames>
  <calcPr calcId="144525"/>
</workbook>
</file>

<file path=xl/sharedStrings.xml><?xml version="1.0" encoding="utf-8"?>
<sst xmlns="http://schemas.openxmlformats.org/spreadsheetml/2006/main" count="42" uniqueCount="33">
  <si>
    <t>PROJECT TITLE</t>
  </si>
  <si>
    <t>Company Name</t>
  </si>
  <si>
    <t>Project Lead</t>
  </si>
  <si>
    <t>Project Start:</t>
  </si>
  <si>
    <t>Display Week:</t>
  </si>
  <si>
    <t>TASK</t>
  </si>
  <si>
    <t xml:space="preserve">ASSIGNED TO </t>
  </si>
  <si>
    <t>PROGRESS</t>
  </si>
  <si>
    <t>START</t>
  </si>
  <si>
    <t>END</t>
  </si>
  <si>
    <t>Phase 1 Title</t>
  </si>
  <si>
    <t>task 1.1</t>
  </si>
  <si>
    <t>task 1.2</t>
  </si>
  <si>
    <t>task 1.3</t>
  </si>
  <si>
    <t>task 1.4</t>
  </si>
  <si>
    <t>Phase 2 Title</t>
  </si>
  <si>
    <t>Task 2.1</t>
  </si>
  <si>
    <t>Task 2.2</t>
  </si>
  <si>
    <t>Task 2.3</t>
  </si>
  <si>
    <t>Task 2.4</t>
  </si>
  <si>
    <t>Personal work</t>
  </si>
  <si>
    <t>Only me</t>
  </si>
  <si>
    <t>me</t>
  </si>
  <si>
    <t>Competition</t>
  </si>
  <si>
    <t>Deep Past Challenge</t>
  </si>
  <si>
    <t>Quang, Trung</t>
  </si>
  <si>
    <t>Predict Customer Churn</t>
  </si>
  <si>
    <t>Quang, Đức, Trung</t>
  </si>
  <si>
    <t>CMC</t>
  </si>
  <si>
    <t>Find the way to annotate video</t>
  </si>
  <si>
    <t>Trung</t>
  </si>
  <si>
    <t>Multiagent</t>
  </si>
  <si>
    <t>Trung, Nam</t>
  </si>
</sst>
</file>

<file path=xl/styles.xml><?xml version="1.0" encoding="utf-8"?>
<styleSheet xmlns="http://schemas.openxmlformats.org/spreadsheetml/2006/main">
  <numFmts count="7">
    <numFmt numFmtId="176" formatCode="d"/>
    <numFmt numFmtId="177" formatCode="[$-409]d\-mmm\-yy;@"/>
    <numFmt numFmtId="178" formatCode="[$-F800]dddd\,\ mmmm\ d\,\ yyyy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theme="4" tint="-0.25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sz val="10.5"/>
      <color rgb="FFE4E4E5"/>
      <name val="DM Mono"/>
      <charset val="134"/>
    </font>
    <font>
      <u/>
      <sz val="11"/>
      <color indexed="4"/>
      <name val="Calibri"/>
      <charset val="134"/>
      <scheme val="minor"/>
    </font>
    <font>
      <u/>
      <sz val="11"/>
      <color indexed="20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1"/>
      <color indexed="65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61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DFF0E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15"/>
      </left>
      <right style="thin">
        <color theme="0" tint="-0.15"/>
      </right>
      <top/>
      <bottom/>
      <diagonal/>
    </border>
    <border>
      <left/>
      <right style="thin">
        <color theme="0" tint="-0.15"/>
      </right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5" fillId="34" borderId="0" applyNumberFormat="0" applyBorder="0" applyProtection="0">
      <alignment vertical="center"/>
    </xf>
    <xf numFmtId="0" fontId="5" fillId="26" borderId="0" applyNumberFormat="0" applyBorder="0" applyProtection="0">
      <alignment vertical="center"/>
    </xf>
    <xf numFmtId="0" fontId="0" fillId="33" borderId="0" applyNumberFormat="0" applyBorder="0" applyProtection="0">
      <alignment vertical="center"/>
    </xf>
    <xf numFmtId="0" fontId="0" fillId="6" borderId="0" applyNumberFormat="0" applyBorder="0" applyProtection="0">
      <alignment vertical="center"/>
    </xf>
    <xf numFmtId="0" fontId="5" fillId="22" borderId="0" applyNumberFormat="0" applyBorder="0" applyProtection="0">
      <alignment vertical="center"/>
    </xf>
    <xf numFmtId="0" fontId="5" fillId="7" borderId="0" applyNumberFormat="0" applyBorder="0" applyProtection="0">
      <alignment vertical="center"/>
    </xf>
    <xf numFmtId="0" fontId="0" fillId="32" borderId="0" applyNumberFormat="0" applyBorder="0" applyProtection="0">
      <alignment vertical="center"/>
    </xf>
    <xf numFmtId="0" fontId="5" fillId="4" borderId="0" applyNumberFormat="0" applyBorder="0" applyProtection="0">
      <alignment vertical="center"/>
    </xf>
    <xf numFmtId="0" fontId="18" fillId="0" borderId="21" applyNumberFormat="0" applyFill="0" applyProtection="0">
      <alignment vertical="center"/>
    </xf>
    <xf numFmtId="0" fontId="0" fillId="29" borderId="0" applyNumberFormat="0" applyBorder="0" applyProtection="0">
      <alignment vertical="center"/>
    </xf>
    <xf numFmtId="0" fontId="5" fillId="14" borderId="0" applyNumberFormat="0" applyBorder="0" applyProtection="0">
      <alignment vertical="center"/>
    </xf>
    <xf numFmtId="0" fontId="5" fillId="19" borderId="0" applyNumberFormat="0" applyBorder="0" applyProtection="0">
      <alignment vertical="center"/>
    </xf>
    <xf numFmtId="0" fontId="0" fillId="17" borderId="0" applyNumberFormat="0" applyBorder="0" applyProtection="0">
      <alignment vertical="center"/>
    </xf>
    <xf numFmtId="0" fontId="0" fillId="20" borderId="0" applyNumberFormat="0" applyBorder="0" applyProtection="0">
      <alignment vertical="center"/>
    </xf>
    <xf numFmtId="0" fontId="5" fillId="15" borderId="0" applyNumberFormat="0" applyBorder="0" applyProtection="0">
      <alignment vertical="center"/>
    </xf>
    <xf numFmtId="0" fontId="0" fillId="25" borderId="0" applyNumberFormat="0" applyBorder="0" applyProtection="0">
      <alignment vertical="center"/>
    </xf>
    <xf numFmtId="0" fontId="0" fillId="24" borderId="0" applyNumberFormat="0" applyBorder="0" applyProtection="0">
      <alignment vertical="center"/>
    </xf>
    <xf numFmtId="0" fontId="5" fillId="18" borderId="0" applyNumberFormat="0" applyBorder="0" applyProtection="0">
      <alignment vertical="center"/>
    </xf>
    <xf numFmtId="0" fontId="23" fillId="27" borderId="0" applyNumberFormat="0" applyBorder="0" applyProtection="0">
      <alignment vertical="center"/>
    </xf>
    <xf numFmtId="0" fontId="5" fillId="16" borderId="0" applyNumberFormat="0" applyBorder="0" applyProtection="0">
      <alignment vertical="center"/>
    </xf>
    <xf numFmtId="0" fontId="16" fillId="13" borderId="0" applyNumberFormat="0" applyBorder="0" applyProtection="0">
      <alignment vertical="center"/>
    </xf>
    <xf numFmtId="0" fontId="0" fillId="12" borderId="0" applyNumberFormat="0" applyBorder="0" applyProtection="0">
      <alignment vertical="center"/>
    </xf>
    <xf numFmtId="0" fontId="15" fillId="0" borderId="20" applyNumberFormat="0" applyFill="0" applyProtection="0">
      <alignment vertical="center"/>
    </xf>
    <xf numFmtId="0" fontId="19" fillId="21" borderId="22" applyNumberFormat="0" applyProtection="0">
      <alignment vertical="center"/>
    </xf>
    <xf numFmtId="44" fontId="0" fillId="0" borderId="0" applyFont="0" applyFill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0" fillId="11" borderId="19" applyNumberFormat="0" applyFont="0" applyProtection="0">
      <alignment vertical="center"/>
    </xf>
    <xf numFmtId="0" fontId="14" fillId="10" borderId="18" applyNumberFormat="0" applyProtection="0">
      <alignment vertical="center"/>
    </xf>
    <xf numFmtId="0" fontId="13" fillId="0" borderId="0" applyNumberFormat="0" applyFill="0" applyBorder="0" applyProtection="0">
      <alignment vertical="center"/>
    </xf>
    <xf numFmtId="0" fontId="20" fillId="21" borderId="18" applyNumberFormat="0" applyProtection="0">
      <alignment vertical="center"/>
    </xf>
    <xf numFmtId="0" fontId="24" fillId="28" borderId="0" applyNumberFormat="0" applyBorder="0" applyProtection="0">
      <alignment vertical="center"/>
    </xf>
    <xf numFmtId="0" fontId="13" fillId="0" borderId="17" applyNumberFormat="0" applyFill="0" applyProtection="0">
      <alignment vertical="center"/>
    </xf>
    <xf numFmtId="0" fontId="22" fillId="0" borderId="0" applyNumberFormat="0" applyFill="0" applyBorder="0" applyProtection="0">
      <alignment vertical="center"/>
    </xf>
    <xf numFmtId="0" fontId="12" fillId="0" borderId="16" applyNumberFormat="0" applyFill="0" applyProtection="0">
      <alignment vertical="center"/>
    </xf>
    <xf numFmtId="180" fontId="0" fillId="0" borderId="0" applyFont="0" applyFill="0" applyBorder="0" applyProtection="0">
      <alignment vertical="center"/>
    </xf>
    <xf numFmtId="0" fontId="0" fillId="9" borderId="0" applyNumberFormat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17" fillId="0" borderId="16" applyNumberFormat="0" applyFill="0" applyProtection="0">
      <alignment vertical="center"/>
    </xf>
    <xf numFmtId="179" fontId="0" fillId="0" borderId="0" applyFont="0" applyFill="0" applyBorder="0" applyProtection="0">
      <alignment vertical="center"/>
    </xf>
    <xf numFmtId="0" fontId="11" fillId="8" borderId="15" applyNumberFormat="0" applyProtection="0">
      <alignment vertical="center"/>
    </xf>
    <xf numFmtId="0" fontId="5" fillId="5" borderId="0" applyNumberFormat="0" applyBorder="0" applyProtection="0">
      <alignment vertical="center"/>
    </xf>
    <xf numFmtId="9" fontId="0" fillId="0" borderId="0" applyFon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5" xfId="0" applyBorder="1" applyAlignment="1">
      <alignment horizontal="left" vertical="center" indent="2"/>
    </xf>
    <xf numFmtId="9" fontId="0" fillId="0" borderId="6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178" fontId="0" fillId="0" borderId="8" xfId="0" applyNumberFormat="1" applyBorder="1" applyAlignment="1">
      <alignment horizontal="center" vertical="center"/>
    </xf>
    <xf numFmtId="177" fontId="0" fillId="3" borderId="9" xfId="0" applyNumberFormat="1" applyFill="1" applyBorder="1" applyAlignment="1">
      <alignment horizontal="left" vertical="center"/>
    </xf>
    <xf numFmtId="176" fontId="4" fillId="3" borderId="10" xfId="0" applyNumberFormat="1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 shrinkToFit="1"/>
    </xf>
    <xf numFmtId="0" fontId="0" fillId="0" borderId="7" xfId="0" applyBorder="1" applyAlignment="1">
      <alignment horizontal="center" vertical="center"/>
    </xf>
    <xf numFmtId="177" fontId="0" fillId="3" borderId="11" xfId="0" applyNumberFormat="1" applyFill="1" applyBorder="1" applyAlignment="1">
      <alignment horizontal="left" vertical="center"/>
    </xf>
    <xf numFmtId="176" fontId="4" fillId="3" borderId="12" xfId="0" applyNumberFormat="1" applyFont="1" applyFill="1" applyBorder="1" applyAlignment="1">
      <alignment horizontal="center" vertical="center" shrinkToFit="1"/>
    </xf>
    <xf numFmtId="177" fontId="0" fillId="3" borderId="13" xfId="0" applyNumberFormat="1" applyFill="1" applyBorder="1" applyAlignment="1">
      <alignment horizontal="left" vertical="center"/>
    </xf>
    <xf numFmtId="176" fontId="4" fillId="3" borderId="14" xfId="0" applyNumberFormat="1" applyFont="1" applyFill="1" applyBorder="1" applyAlignment="1">
      <alignment horizontal="center" vertical="center" shrinkToFit="1"/>
    </xf>
    <xf numFmtId="58" fontId="7" fillId="0" borderId="0" xfId="0" applyNumberFormat="1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">
    <dxf>
      <border>
        <left style="thin">
          <color rgb="FFFF0000"/>
        </left>
        <right style="thin">
          <color rgb="FFFF0000"/>
        </right>
      </border>
    </dxf>
    <dxf>
      <border>
        <left style="thin">
          <color indexed="2"/>
        </left>
        <right style="thin">
          <color indexed="2"/>
        </right>
        <top/>
        <bottom/>
      </border>
    </dxf>
    <dxf>
      <fill>
        <patternFill patternType="solid">
          <bgColor theme="7" tint="-0.25"/>
        </patternFill>
      </fill>
    </dxf>
    <dxf>
      <fill>
        <patternFill patternType="solid">
          <bgColor theme="0" tint="-0.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5"/>
  <sheetViews>
    <sheetView showGridLines="0" workbookViewId="0">
      <selection activeCell="G14" sqref="G14"/>
    </sheetView>
  </sheetViews>
  <sheetFormatPr defaultColWidth="9" defaultRowHeight="13.95"/>
  <cols>
    <col min="1" max="1" width="22.7285714285714" customWidth="1"/>
    <col min="2" max="2" width="13.3642857142857" customWidth="1"/>
    <col min="3" max="3" width="9.45714285714286" customWidth="1"/>
    <col min="4" max="5" width="10.9071428571429" customWidth="1"/>
    <col min="7" max="62" width="2.90714285714286" style="1" customWidth="1"/>
  </cols>
  <sheetData>
    <row r="1" ht="20.4" spans="1:6">
      <c r="A1" s="2" t="s">
        <v>0</v>
      </c>
      <c r="F1" s="17"/>
    </row>
    <row r="2" spans="1:6">
      <c r="A2" t="s">
        <v>1</v>
      </c>
      <c r="F2" s="17"/>
    </row>
    <row r="3" spans="1:6">
      <c r="A3" t="s">
        <v>2</v>
      </c>
      <c r="C3" s="4" t="s">
        <v>3</v>
      </c>
      <c r="D3" s="5">
        <v>46089</v>
      </c>
      <c r="E3" s="18"/>
      <c r="F3" s="17"/>
    </row>
    <row r="4" ht="19" customHeight="1" spans="3:62">
      <c r="C4" s="4" t="s">
        <v>4</v>
      </c>
      <c r="D4" s="6">
        <v>1</v>
      </c>
      <c r="F4" s="17"/>
      <c r="G4" s="19">
        <f>G5</f>
        <v>46083</v>
      </c>
      <c r="H4" s="19"/>
      <c r="I4" s="19"/>
      <c r="J4" s="19"/>
      <c r="K4" s="19"/>
      <c r="L4" s="19"/>
      <c r="M4" s="24"/>
      <c r="N4" s="19">
        <f>N5</f>
        <v>46090</v>
      </c>
      <c r="O4" s="19"/>
      <c r="P4" s="19"/>
      <c r="Q4" s="19"/>
      <c r="R4" s="19"/>
      <c r="S4" s="19"/>
      <c r="T4" s="19"/>
      <c r="U4" s="26">
        <f>U5</f>
        <v>46097</v>
      </c>
      <c r="V4" s="19"/>
      <c r="W4" s="19"/>
      <c r="X4" s="19"/>
      <c r="Y4" s="19"/>
      <c r="Z4" s="19"/>
      <c r="AA4" s="24"/>
      <c r="AB4" s="19">
        <f>AB5</f>
        <v>46104</v>
      </c>
      <c r="AC4" s="19"/>
      <c r="AD4" s="19"/>
      <c r="AE4" s="19"/>
      <c r="AF4" s="19"/>
      <c r="AG4" s="19"/>
      <c r="AH4" s="19"/>
      <c r="AI4" s="26">
        <f>AI5</f>
        <v>46111</v>
      </c>
      <c r="AJ4" s="19"/>
      <c r="AK4" s="19"/>
      <c r="AL4" s="19"/>
      <c r="AM4" s="19"/>
      <c r="AN4" s="19"/>
      <c r="AO4" s="24"/>
      <c r="AP4" s="19">
        <f>AP5</f>
        <v>46118</v>
      </c>
      <c r="AQ4" s="19"/>
      <c r="AR4" s="19"/>
      <c r="AS4" s="19"/>
      <c r="AT4" s="19"/>
      <c r="AU4" s="19"/>
      <c r="AV4" s="24"/>
      <c r="AW4" s="26">
        <f>AW5</f>
        <v>46125</v>
      </c>
      <c r="AX4" s="19"/>
      <c r="AY4" s="19"/>
      <c r="AZ4" s="19"/>
      <c r="BA4" s="19"/>
      <c r="BB4" s="19"/>
      <c r="BC4" s="24"/>
      <c r="BD4" s="19">
        <f>BD5</f>
        <v>46132</v>
      </c>
      <c r="BE4" s="19"/>
      <c r="BF4" s="19"/>
      <c r="BG4" s="19"/>
      <c r="BH4" s="19"/>
      <c r="BI4" s="19"/>
      <c r="BJ4" s="24"/>
    </row>
    <row r="5" spans="2:62">
      <c r="B5" s="1"/>
      <c r="C5" s="1"/>
      <c r="D5" s="1"/>
      <c r="E5" s="1"/>
      <c r="F5" s="17"/>
      <c r="G5" s="20">
        <f>$D$3-WEEKDAY(project_start,3)+(display_week-1)*7</f>
        <v>46083</v>
      </c>
      <c r="H5" s="20">
        <f>G5+1</f>
        <v>46084</v>
      </c>
      <c r="I5" s="20">
        <f t="shared" ref="I5:AV5" si="0">H5+1</f>
        <v>46085</v>
      </c>
      <c r="J5" s="20">
        <f t="shared" si="0"/>
        <v>46086</v>
      </c>
      <c r="K5" s="20">
        <f t="shared" si="0"/>
        <v>46087</v>
      </c>
      <c r="L5" s="20">
        <f t="shared" si="0"/>
        <v>46088</v>
      </c>
      <c r="M5" s="25">
        <f t="shared" si="0"/>
        <v>46089</v>
      </c>
      <c r="N5" s="20">
        <f t="shared" si="0"/>
        <v>46090</v>
      </c>
      <c r="O5" s="20">
        <f t="shared" si="0"/>
        <v>46091</v>
      </c>
      <c r="P5" s="20">
        <f t="shared" si="0"/>
        <v>46092</v>
      </c>
      <c r="Q5" s="20">
        <f t="shared" si="0"/>
        <v>46093</v>
      </c>
      <c r="R5" s="20">
        <f t="shared" si="0"/>
        <v>46094</v>
      </c>
      <c r="S5" s="20">
        <f t="shared" si="0"/>
        <v>46095</v>
      </c>
      <c r="T5" s="20">
        <f t="shared" si="0"/>
        <v>46096</v>
      </c>
      <c r="U5" s="27">
        <f t="shared" si="0"/>
        <v>46097</v>
      </c>
      <c r="V5" s="20">
        <f t="shared" si="0"/>
        <v>46098</v>
      </c>
      <c r="W5" s="20">
        <f t="shared" si="0"/>
        <v>46099</v>
      </c>
      <c r="X5" s="20">
        <f t="shared" si="0"/>
        <v>46100</v>
      </c>
      <c r="Y5" s="20">
        <f t="shared" si="0"/>
        <v>46101</v>
      </c>
      <c r="Z5" s="20">
        <f t="shared" si="0"/>
        <v>46102</v>
      </c>
      <c r="AA5" s="25">
        <f t="shared" si="0"/>
        <v>46103</v>
      </c>
      <c r="AB5" s="20">
        <f t="shared" si="0"/>
        <v>46104</v>
      </c>
      <c r="AC5" s="20">
        <f t="shared" si="0"/>
        <v>46105</v>
      </c>
      <c r="AD5" s="20">
        <f t="shared" si="0"/>
        <v>46106</v>
      </c>
      <c r="AE5" s="20">
        <f t="shared" si="0"/>
        <v>46107</v>
      </c>
      <c r="AF5" s="20">
        <f t="shared" si="0"/>
        <v>46108</v>
      </c>
      <c r="AG5" s="20">
        <f t="shared" si="0"/>
        <v>46109</v>
      </c>
      <c r="AH5" s="20">
        <f t="shared" si="0"/>
        <v>46110</v>
      </c>
      <c r="AI5" s="27">
        <f t="shared" si="0"/>
        <v>46111</v>
      </c>
      <c r="AJ5" s="20">
        <f t="shared" si="0"/>
        <v>46112</v>
      </c>
      <c r="AK5" s="20">
        <f t="shared" si="0"/>
        <v>46113</v>
      </c>
      <c r="AL5" s="20">
        <f t="shared" si="0"/>
        <v>46114</v>
      </c>
      <c r="AM5" s="20">
        <f t="shared" si="0"/>
        <v>46115</v>
      </c>
      <c r="AN5" s="20">
        <f t="shared" si="0"/>
        <v>46116</v>
      </c>
      <c r="AO5" s="25">
        <f t="shared" si="0"/>
        <v>46117</v>
      </c>
      <c r="AP5" s="20">
        <f t="shared" si="0"/>
        <v>46118</v>
      </c>
      <c r="AQ5" s="20">
        <f t="shared" si="0"/>
        <v>46119</v>
      </c>
      <c r="AR5" s="20">
        <f t="shared" si="0"/>
        <v>46120</v>
      </c>
      <c r="AS5" s="20">
        <f t="shared" si="0"/>
        <v>46121</v>
      </c>
      <c r="AT5" s="20">
        <f t="shared" si="0"/>
        <v>46122</v>
      </c>
      <c r="AU5" s="20">
        <f t="shared" si="0"/>
        <v>46123</v>
      </c>
      <c r="AV5" s="25">
        <f t="shared" si="0"/>
        <v>46124</v>
      </c>
      <c r="AW5" s="27">
        <f t="shared" ref="AW5:BJ5" si="1">AV5+1</f>
        <v>46125</v>
      </c>
      <c r="AX5" s="20">
        <f t="shared" si="1"/>
        <v>46126</v>
      </c>
      <c r="AY5" s="20">
        <f t="shared" si="1"/>
        <v>46127</v>
      </c>
      <c r="AZ5" s="20">
        <f t="shared" si="1"/>
        <v>46128</v>
      </c>
      <c r="BA5" s="20">
        <f t="shared" si="1"/>
        <v>46129</v>
      </c>
      <c r="BB5" s="20">
        <f t="shared" si="1"/>
        <v>46130</v>
      </c>
      <c r="BC5" s="25">
        <f t="shared" si="1"/>
        <v>46131</v>
      </c>
      <c r="BD5" s="20">
        <f t="shared" si="1"/>
        <v>46132</v>
      </c>
      <c r="BE5" s="20">
        <f t="shared" si="1"/>
        <v>46133</v>
      </c>
      <c r="BF5" s="20">
        <f t="shared" si="1"/>
        <v>46134</v>
      </c>
      <c r="BG5" s="20">
        <f t="shared" si="1"/>
        <v>46135</v>
      </c>
      <c r="BH5" s="20">
        <f t="shared" si="1"/>
        <v>46136</v>
      </c>
      <c r="BI5" s="20">
        <f t="shared" si="1"/>
        <v>46137</v>
      </c>
      <c r="BJ5" s="25">
        <f t="shared" si="1"/>
        <v>46138</v>
      </c>
    </row>
    <row r="6" spans="1:62">
      <c r="A6" s="7" t="s">
        <v>5</v>
      </c>
      <c r="B6" s="8" t="s">
        <v>6</v>
      </c>
      <c r="C6" s="8" t="s">
        <v>7</v>
      </c>
      <c r="D6" s="9" t="s">
        <v>8</v>
      </c>
      <c r="E6" s="9" t="s">
        <v>9</v>
      </c>
      <c r="F6" s="21"/>
      <c r="G6" s="22" t="str">
        <f>LEFT(TEXT(G5,"ddd"),2)</f>
        <v>Mo</v>
      </c>
      <c r="H6" s="22" t="str">
        <f t="shared" ref="H6:M6" si="2">LEFT(TEXT(H5,"ddd"),2)</f>
        <v>Tu</v>
      </c>
      <c r="I6" s="22" t="str">
        <f t="shared" si="2"/>
        <v>We</v>
      </c>
      <c r="J6" s="22" t="str">
        <f t="shared" si="2"/>
        <v>Th</v>
      </c>
      <c r="K6" s="22" t="str">
        <f t="shared" si="2"/>
        <v>Fr</v>
      </c>
      <c r="L6" s="22" t="str">
        <f t="shared" si="2"/>
        <v>Sa</v>
      </c>
      <c r="M6" s="22" t="str">
        <f t="shared" si="2"/>
        <v>Su</v>
      </c>
      <c r="N6" s="22" t="str">
        <f t="shared" ref="N6:AV6" si="3">LEFT(TEXT(N5,"ddd"),2)</f>
        <v>Mo</v>
      </c>
      <c r="O6" s="22" t="str">
        <f t="shared" si="3"/>
        <v>Tu</v>
      </c>
      <c r="P6" s="22" t="str">
        <f t="shared" si="3"/>
        <v>We</v>
      </c>
      <c r="Q6" s="22" t="str">
        <f t="shared" si="3"/>
        <v>Th</v>
      </c>
      <c r="R6" s="22" t="str">
        <f t="shared" si="3"/>
        <v>Fr</v>
      </c>
      <c r="S6" s="22" t="str">
        <f t="shared" si="3"/>
        <v>Sa</v>
      </c>
      <c r="T6" s="22" t="str">
        <f t="shared" si="3"/>
        <v>Su</v>
      </c>
      <c r="U6" s="22" t="str">
        <f t="shared" si="3"/>
        <v>Mo</v>
      </c>
      <c r="V6" s="22" t="str">
        <f t="shared" si="3"/>
        <v>Tu</v>
      </c>
      <c r="W6" s="22" t="str">
        <f t="shared" si="3"/>
        <v>We</v>
      </c>
      <c r="X6" s="22" t="str">
        <f t="shared" si="3"/>
        <v>Th</v>
      </c>
      <c r="Y6" s="22" t="str">
        <f t="shared" si="3"/>
        <v>Fr</v>
      </c>
      <c r="Z6" s="22" t="str">
        <f t="shared" si="3"/>
        <v>Sa</v>
      </c>
      <c r="AA6" s="22" t="str">
        <f t="shared" si="3"/>
        <v>Su</v>
      </c>
      <c r="AB6" s="22" t="str">
        <f t="shared" si="3"/>
        <v>Mo</v>
      </c>
      <c r="AC6" s="22" t="str">
        <f t="shared" si="3"/>
        <v>Tu</v>
      </c>
      <c r="AD6" s="22" t="str">
        <f t="shared" si="3"/>
        <v>We</v>
      </c>
      <c r="AE6" s="22" t="str">
        <f t="shared" si="3"/>
        <v>Th</v>
      </c>
      <c r="AF6" s="22" t="str">
        <f t="shared" si="3"/>
        <v>Fr</v>
      </c>
      <c r="AG6" s="22" t="str">
        <f t="shared" si="3"/>
        <v>Sa</v>
      </c>
      <c r="AH6" s="22" t="str">
        <f t="shared" si="3"/>
        <v>Su</v>
      </c>
      <c r="AI6" s="22" t="str">
        <f t="shared" si="3"/>
        <v>Mo</v>
      </c>
      <c r="AJ6" s="22" t="str">
        <f t="shared" si="3"/>
        <v>Tu</v>
      </c>
      <c r="AK6" s="22" t="str">
        <f t="shared" si="3"/>
        <v>We</v>
      </c>
      <c r="AL6" s="22" t="str">
        <f t="shared" si="3"/>
        <v>Th</v>
      </c>
      <c r="AM6" s="22" t="str">
        <f t="shared" si="3"/>
        <v>Fr</v>
      </c>
      <c r="AN6" s="22" t="str">
        <f t="shared" si="3"/>
        <v>Sa</v>
      </c>
      <c r="AO6" s="22" t="str">
        <f t="shared" si="3"/>
        <v>Su</v>
      </c>
      <c r="AP6" s="22" t="str">
        <f t="shared" si="3"/>
        <v>Mo</v>
      </c>
      <c r="AQ6" s="22" t="str">
        <f t="shared" si="3"/>
        <v>Tu</v>
      </c>
      <c r="AR6" s="22" t="str">
        <f t="shared" si="3"/>
        <v>We</v>
      </c>
      <c r="AS6" s="22" t="str">
        <f t="shared" si="3"/>
        <v>Th</v>
      </c>
      <c r="AT6" s="22" t="str">
        <f t="shared" si="3"/>
        <v>Fr</v>
      </c>
      <c r="AU6" s="22" t="str">
        <f t="shared" si="3"/>
        <v>Sa</v>
      </c>
      <c r="AV6" s="22" t="str">
        <f t="shared" si="3"/>
        <v>Su</v>
      </c>
      <c r="AW6" s="22" t="str">
        <f t="shared" ref="AW6:BJ6" si="4">LEFT(TEXT(AW5,"ddd"),2)</f>
        <v>Mo</v>
      </c>
      <c r="AX6" s="22" t="str">
        <f t="shared" si="4"/>
        <v>Tu</v>
      </c>
      <c r="AY6" s="22" t="str">
        <f t="shared" si="4"/>
        <v>We</v>
      </c>
      <c r="AZ6" s="22" t="str">
        <f t="shared" si="4"/>
        <v>Th</v>
      </c>
      <c r="BA6" s="22" t="str">
        <f t="shared" si="4"/>
        <v>Fr</v>
      </c>
      <c r="BB6" s="22" t="str">
        <f t="shared" si="4"/>
        <v>Sa</v>
      </c>
      <c r="BC6" s="22" t="str">
        <f t="shared" si="4"/>
        <v>Su</v>
      </c>
      <c r="BD6" s="22" t="str">
        <f t="shared" si="4"/>
        <v>Mo</v>
      </c>
      <c r="BE6" s="22" t="str">
        <f t="shared" si="4"/>
        <v>Tu</v>
      </c>
      <c r="BF6" s="22" t="str">
        <f t="shared" si="4"/>
        <v>We</v>
      </c>
      <c r="BG6" s="22" t="str">
        <f t="shared" si="4"/>
        <v>Th</v>
      </c>
      <c r="BH6" s="22" t="str">
        <f t="shared" si="4"/>
        <v>Fr</v>
      </c>
      <c r="BI6" s="22" t="str">
        <f t="shared" si="4"/>
        <v>Sa</v>
      </c>
      <c r="BJ6" s="22" t="str">
        <f t="shared" si="4"/>
        <v>Su</v>
      </c>
    </row>
    <row r="7" spans="1:62">
      <c r="A7" s="10" t="s">
        <v>10</v>
      </c>
      <c r="B7" s="11"/>
      <c r="C7" s="11"/>
      <c r="D7" s="12"/>
      <c r="E7" s="12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</row>
    <row r="8" spans="1:62">
      <c r="A8" s="13" t="s">
        <v>11</v>
      </c>
      <c r="B8" s="11"/>
      <c r="C8" s="14">
        <v>0.5</v>
      </c>
      <c r="D8" s="12">
        <v>46089</v>
      </c>
      <c r="E8" s="12">
        <v>46120</v>
      </c>
      <c r="F8" s="11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</row>
    <row r="9" spans="1:62">
      <c r="A9" s="13" t="s">
        <v>12</v>
      </c>
      <c r="B9" s="11"/>
      <c r="C9" s="14">
        <v>1</v>
      </c>
      <c r="D9" s="12">
        <v>46090</v>
      </c>
      <c r="E9" s="12">
        <v>46096</v>
      </c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</row>
    <row r="10" spans="1:62">
      <c r="A10" s="13" t="s">
        <v>13</v>
      </c>
      <c r="B10" s="11"/>
      <c r="C10" s="14">
        <v>0.25</v>
      </c>
      <c r="D10" s="12">
        <v>46091</v>
      </c>
      <c r="E10" s="12">
        <v>46100</v>
      </c>
      <c r="F10" s="11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</row>
    <row r="11" spans="1:62">
      <c r="A11" s="13" t="s">
        <v>14</v>
      </c>
      <c r="B11" s="11"/>
      <c r="C11" s="11"/>
      <c r="D11" s="12">
        <v>46092</v>
      </c>
      <c r="E11" s="12">
        <v>46120</v>
      </c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>
      <c r="A12" s="10" t="s">
        <v>15</v>
      </c>
      <c r="B12" s="11"/>
      <c r="C12" s="11"/>
      <c r="D12" s="12"/>
      <c r="E12" s="12"/>
      <c r="F12" s="1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</row>
    <row r="13" spans="1:62">
      <c r="A13" s="13" t="s">
        <v>16</v>
      </c>
      <c r="B13" s="11"/>
      <c r="C13" s="11"/>
      <c r="D13" s="12">
        <v>46094</v>
      </c>
      <c r="E13" s="12">
        <v>46122</v>
      </c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</row>
    <row r="14" spans="1:62">
      <c r="A14" s="13" t="s">
        <v>17</v>
      </c>
      <c r="B14" s="11"/>
      <c r="C14" s="11"/>
      <c r="D14" s="12">
        <v>46095</v>
      </c>
      <c r="E14" s="12">
        <v>46120</v>
      </c>
      <c r="F14" s="11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</row>
    <row r="15" spans="1:62">
      <c r="A15" s="13" t="s">
        <v>18</v>
      </c>
      <c r="B15" s="11"/>
      <c r="C15" s="11"/>
      <c r="D15" s="12">
        <v>46096</v>
      </c>
      <c r="E15" s="12">
        <v>46090</v>
      </c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</row>
    <row r="16" spans="1:62">
      <c r="A16" s="13" t="s">
        <v>19</v>
      </c>
      <c r="B16" s="11"/>
      <c r="C16" s="11"/>
      <c r="D16" s="12">
        <v>46097</v>
      </c>
      <c r="E16" s="12">
        <v>46122</v>
      </c>
      <c r="F16" s="11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</row>
    <row r="17" spans="4:5">
      <c r="D17" s="15"/>
      <c r="E17" s="15"/>
    </row>
    <row r="18" spans="4:5">
      <c r="D18" s="15"/>
      <c r="E18" s="15"/>
    </row>
    <row r="19" spans="3:3">
      <c r="C19" s="16"/>
    </row>
    <row r="25" ht="14.5" spans="30:30">
      <c r="AD25" s="28"/>
    </row>
  </sheetData>
  <mergeCells count="9">
    <mergeCell ref="D3:E3"/>
    <mergeCell ref="G4:M4"/>
    <mergeCell ref="N4:T4"/>
    <mergeCell ref="U4:AA4"/>
    <mergeCell ref="AB4:AH4"/>
    <mergeCell ref="AI4:AO4"/>
    <mergeCell ref="AP4:AV4"/>
    <mergeCell ref="AW4:BC4"/>
    <mergeCell ref="BD4:BJ4"/>
  </mergeCells>
  <conditionalFormatting sqref="C7:C16">
    <cfRule type="dataBar" priority="2">
      <dataBar>
        <cfvo type="num" val="0"/>
        <cfvo type="num" val="1"/>
        <color theme="0" tint="-0.25"/>
      </dataBar>
      <extLst>
        <ext xmlns:x14="http://schemas.microsoft.com/office/spreadsheetml/2009/9/main" uri="{B025F937-C7B1-47D3-B67F-A62EFF666E3E}">
          <x14:id>{34e91ef2-2d46-48fc-936d-5acc9f13d7b2}</x14:id>
        </ext>
      </extLst>
    </cfRule>
  </conditionalFormatting>
  <conditionalFormatting sqref="G5:BJ16">
    <cfRule type="expression" dxfId="0" priority="3">
      <formula>G$5=TODAY()</formula>
    </cfRule>
  </conditionalFormatting>
  <conditionalFormatting sqref="G7:BJ17">
    <cfRule type="expression" dxfId="1" priority="5">
      <formula>$G$5=TODAY()</formula>
    </cfRule>
    <cfRule type="expression" dxfId="2" priority="6">
      <formula>AND(G$5&gt;=$D7,G$5&lt;=$E7)</formula>
    </cfRule>
  </conditionalFormatting>
  <conditionalFormatting sqref="G7:BJ16">
    <cfRule type="expression" dxfId="3" priority="1">
      <formula>1*AND(G$5&gt;=task_start,G$5&lt;=task_start+(task_progress*(task_end-task_start+1)-1))</formula>
    </cfRule>
  </conditionalFormatting>
  <pageMargins left="0.7" right="0.7" top="0.75" bottom="0.75" header="0.3" footer="0.3"/>
  <pageSetup paperSize="9" orientation="portrait" horizontalDpi="600" verticalDpi="6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e91ef2-2d46-48fc-936d-5acc9f13d7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5"/>
  <sheetViews>
    <sheetView showGridLines="0" tabSelected="1" workbookViewId="0">
      <selection activeCell="F15" sqref="F15"/>
    </sheetView>
  </sheetViews>
  <sheetFormatPr defaultColWidth="9" defaultRowHeight="13.95"/>
  <cols>
    <col min="1" max="1" width="31.7357142857143" customWidth="1"/>
    <col min="2" max="2" width="16.5071428571429" customWidth="1"/>
    <col min="3" max="3" width="12.5785714285714" customWidth="1"/>
    <col min="4" max="5" width="10.9071428571429" customWidth="1"/>
    <col min="7" max="62" width="2.90714285714286" style="1" customWidth="1"/>
  </cols>
  <sheetData>
    <row r="1" ht="20.4" spans="1:6">
      <c r="A1" s="2" t="s">
        <v>20</v>
      </c>
      <c r="F1" s="17"/>
    </row>
    <row r="2" spans="1:6">
      <c r="A2" t="s">
        <v>1</v>
      </c>
      <c r="B2" s="3" t="s">
        <v>21</v>
      </c>
      <c r="F2" s="17"/>
    </row>
    <row r="3" spans="1:6">
      <c r="A3" t="s">
        <v>2</v>
      </c>
      <c r="B3" t="s">
        <v>22</v>
      </c>
      <c r="C3" s="4" t="s">
        <v>3</v>
      </c>
      <c r="D3" s="5">
        <v>46097</v>
      </c>
      <c r="E3" s="18"/>
      <c r="F3" s="17"/>
    </row>
    <row r="4" ht="19" customHeight="1" spans="3:62">
      <c r="C4" s="4" t="s">
        <v>4</v>
      </c>
      <c r="D4" s="6">
        <v>0</v>
      </c>
      <c r="F4" s="17"/>
      <c r="G4" s="19">
        <f>G5</f>
        <v>46090</v>
      </c>
      <c r="H4" s="19"/>
      <c r="I4" s="19"/>
      <c r="J4" s="19"/>
      <c r="K4" s="19"/>
      <c r="L4" s="19"/>
      <c r="M4" s="24"/>
      <c r="N4" s="19">
        <f>N5</f>
        <v>46097</v>
      </c>
      <c r="O4" s="19"/>
      <c r="P4" s="19"/>
      <c r="Q4" s="19"/>
      <c r="R4" s="19"/>
      <c r="S4" s="19"/>
      <c r="T4" s="19"/>
      <c r="U4" s="26">
        <f>U5</f>
        <v>46104</v>
      </c>
      <c r="V4" s="19"/>
      <c r="W4" s="19"/>
      <c r="X4" s="19"/>
      <c r="Y4" s="19"/>
      <c r="Z4" s="19"/>
      <c r="AA4" s="24"/>
      <c r="AB4" s="19">
        <f>AB5</f>
        <v>46111</v>
      </c>
      <c r="AC4" s="19"/>
      <c r="AD4" s="19"/>
      <c r="AE4" s="19"/>
      <c r="AF4" s="19"/>
      <c r="AG4" s="19"/>
      <c r="AH4" s="19"/>
      <c r="AI4" s="26">
        <f>AI5</f>
        <v>46118</v>
      </c>
      <c r="AJ4" s="19"/>
      <c r="AK4" s="19"/>
      <c r="AL4" s="19"/>
      <c r="AM4" s="19"/>
      <c r="AN4" s="19"/>
      <c r="AO4" s="24"/>
      <c r="AP4" s="19">
        <f>AP5</f>
        <v>46125</v>
      </c>
      <c r="AQ4" s="19"/>
      <c r="AR4" s="19"/>
      <c r="AS4" s="19"/>
      <c r="AT4" s="19"/>
      <c r="AU4" s="19"/>
      <c r="AV4" s="24"/>
      <c r="AW4" s="26">
        <f>AW5</f>
        <v>46132</v>
      </c>
      <c r="AX4" s="19"/>
      <c r="AY4" s="19"/>
      <c r="AZ4" s="19"/>
      <c r="BA4" s="19"/>
      <c r="BB4" s="19"/>
      <c r="BC4" s="24"/>
      <c r="BD4" s="19">
        <f>BD5</f>
        <v>46139</v>
      </c>
      <c r="BE4" s="19"/>
      <c r="BF4" s="19"/>
      <c r="BG4" s="19"/>
      <c r="BH4" s="19"/>
      <c r="BI4" s="19"/>
      <c r="BJ4" s="24"/>
    </row>
    <row r="5" spans="2:62">
      <c r="B5" s="1"/>
      <c r="C5" s="1"/>
      <c r="D5" s="1"/>
      <c r="E5" s="1"/>
      <c r="F5" s="17"/>
      <c r="G5" s="20">
        <f>$D$3-WEEKDAY('Personal work'!project_start,3)+('Personal work'!display_week-1)*7</f>
        <v>46090</v>
      </c>
      <c r="H5" s="20">
        <f t="shared" ref="H5:BJ5" si="0">G5+1</f>
        <v>46091</v>
      </c>
      <c r="I5" s="20">
        <f t="shared" si="0"/>
        <v>46092</v>
      </c>
      <c r="J5" s="20">
        <f t="shared" si="0"/>
        <v>46093</v>
      </c>
      <c r="K5" s="20">
        <f t="shared" si="0"/>
        <v>46094</v>
      </c>
      <c r="L5" s="20">
        <f t="shared" si="0"/>
        <v>46095</v>
      </c>
      <c r="M5" s="25">
        <f t="shared" si="0"/>
        <v>46096</v>
      </c>
      <c r="N5" s="20">
        <f t="shared" si="0"/>
        <v>46097</v>
      </c>
      <c r="O5" s="20">
        <f t="shared" si="0"/>
        <v>46098</v>
      </c>
      <c r="P5" s="20">
        <f t="shared" si="0"/>
        <v>46099</v>
      </c>
      <c r="Q5" s="20">
        <f t="shared" si="0"/>
        <v>46100</v>
      </c>
      <c r="R5" s="20">
        <f t="shared" si="0"/>
        <v>46101</v>
      </c>
      <c r="S5" s="20">
        <f t="shared" si="0"/>
        <v>46102</v>
      </c>
      <c r="T5" s="20">
        <f t="shared" si="0"/>
        <v>46103</v>
      </c>
      <c r="U5" s="27">
        <f t="shared" si="0"/>
        <v>46104</v>
      </c>
      <c r="V5" s="20">
        <f t="shared" si="0"/>
        <v>46105</v>
      </c>
      <c r="W5" s="20">
        <f t="shared" si="0"/>
        <v>46106</v>
      </c>
      <c r="X5" s="20">
        <f t="shared" si="0"/>
        <v>46107</v>
      </c>
      <c r="Y5" s="20">
        <f t="shared" si="0"/>
        <v>46108</v>
      </c>
      <c r="Z5" s="20">
        <f t="shared" si="0"/>
        <v>46109</v>
      </c>
      <c r="AA5" s="25">
        <f t="shared" si="0"/>
        <v>46110</v>
      </c>
      <c r="AB5" s="20">
        <f t="shared" si="0"/>
        <v>46111</v>
      </c>
      <c r="AC5" s="20">
        <f t="shared" si="0"/>
        <v>46112</v>
      </c>
      <c r="AD5" s="20">
        <f t="shared" si="0"/>
        <v>46113</v>
      </c>
      <c r="AE5" s="20">
        <f t="shared" si="0"/>
        <v>46114</v>
      </c>
      <c r="AF5" s="20">
        <f t="shared" si="0"/>
        <v>46115</v>
      </c>
      <c r="AG5" s="20">
        <f t="shared" si="0"/>
        <v>46116</v>
      </c>
      <c r="AH5" s="20">
        <f t="shared" si="0"/>
        <v>46117</v>
      </c>
      <c r="AI5" s="27">
        <f t="shared" si="0"/>
        <v>46118</v>
      </c>
      <c r="AJ5" s="20">
        <f t="shared" si="0"/>
        <v>46119</v>
      </c>
      <c r="AK5" s="20">
        <f t="shared" si="0"/>
        <v>46120</v>
      </c>
      <c r="AL5" s="20">
        <f t="shared" si="0"/>
        <v>46121</v>
      </c>
      <c r="AM5" s="20">
        <f t="shared" si="0"/>
        <v>46122</v>
      </c>
      <c r="AN5" s="20">
        <f t="shared" si="0"/>
        <v>46123</v>
      </c>
      <c r="AO5" s="25">
        <f t="shared" si="0"/>
        <v>46124</v>
      </c>
      <c r="AP5" s="20">
        <f t="shared" si="0"/>
        <v>46125</v>
      </c>
      <c r="AQ5" s="20">
        <f t="shared" si="0"/>
        <v>46126</v>
      </c>
      <c r="AR5" s="20">
        <f t="shared" si="0"/>
        <v>46127</v>
      </c>
      <c r="AS5" s="20">
        <f t="shared" si="0"/>
        <v>46128</v>
      </c>
      <c r="AT5" s="20">
        <f t="shared" si="0"/>
        <v>46129</v>
      </c>
      <c r="AU5" s="20">
        <f t="shared" si="0"/>
        <v>46130</v>
      </c>
      <c r="AV5" s="25">
        <f t="shared" si="0"/>
        <v>46131</v>
      </c>
      <c r="AW5" s="27">
        <f t="shared" si="0"/>
        <v>46132</v>
      </c>
      <c r="AX5" s="20">
        <f t="shared" si="0"/>
        <v>46133</v>
      </c>
      <c r="AY5" s="20">
        <f t="shared" si="0"/>
        <v>46134</v>
      </c>
      <c r="AZ5" s="20">
        <f t="shared" si="0"/>
        <v>46135</v>
      </c>
      <c r="BA5" s="20">
        <f t="shared" si="0"/>
        <v>46136</v>
      </c>
      <c r="BB5" s="20">
        <f t="shared" si="0"/>
        <v>46137</v>
      </c>
      <c r="BC5" s="25">
        <f t="shared" si="0"/>
        <v>46138</v>
      </c>
      <c r="BD5" s="20">
        <f t="shared" si="0"/>
        <v>46139</v>
      </c>
      <c r="BE5" s="20">
        <f t="shared" si="0"/>
        <v>46140</v>
      </c>
      <c r="BF5" s="20">
        <f t="shared" si="0"/>
        <v>46141</v>
      </c>
      <c r="BG5" s="20">
        <f t="shared" si="0"/>
        <v>46142</v>
      </c>
      <c r="BH5" s="20">
        <f t="shared" si="0"/>
        <v>46143</v>
      </c>
      <c r="BI5" s="20">
        <f t="shared" si="0"/>
        <v>46144</v>
      </c>
      <c r="BJ5" s="25">
        <f t="shared" si="0"/>
        <v>46145</v>
      </c>
    </row>
    <row r="6" spans="1:62">
      <c r="A6" s="7" t="s">
        <v>5</v>
      </c>
      <c r="B6" s="8" t="s">
        <v>6</v>
      </c>
      <c r="C6" s="8" t="s">
        <v>7</v>
      </c>
      <c r="D6" s="9" t="s">
        <v>8</v>
      </c>
      <c r="E6" s="9" t="s">
        <v>9</v>
      </c>
      <c r="F6" s="21"/>
      <c r="G6" s="22" t="str">
        <f t="shared" ref="G6:BJ6" si="1">LEFT(TEXT(G5,"ddd"),2)</f>
        <v>Mo</v>
      </c>
      <c r="H6" s="22" t="str">
        <f t="shared" si="1"/>
        <v>Tu</v>
      </c>
      <c r="I6" s="22" t="str">
        <f t="shared" si="1"/>
        <v>We</v>
      </c>
      <c r="J6" s="22" t="str">
        <f t="shared" si="1"/>
        <v>Th</v>
      </c>
      <c r="K6" s="22" t="str">
        <f t="shared" si="1"/>
        <v>Fr</v>
      </c>
      <c r="L6" s="22" t="str">
        <f t="shared" si="1"/>
        <v>Sa</v>
      </c>
      <c r="M6" s="22" t="str">
        <f t="shared" si="1"/>
        <v>Su</v>
      </c>
      <c r="N6" s="22" t="str">
        <f t="shared" si="1"/>
        <v>Mo</v>
      </c>
      <c r="O6" s="22" t="str">
        <f t="shared" si="1"/>
        <v>Tu</v>
      </c>
      <c r="P6" s="22" t="str">
        <f t="shared" si="1"/>
        <v>We</v>
      </c>
      <c r="Q6" s="22" t="str">
        <f t="shared" si="1"/>
        <v>Th</v>
      </c>
      <c r="R6" s="22" t="str">
        <f t="shared" si="1"/>
        <v>Fr</v>
      </c>
      <c r="S6" s="22" t="str">
        <f t="shared" si="1"/>
        <v>Sa</v>
      </c>
      <c r="T6" s="22" t="str">
        <f t="shared" si="1"/>
        <v>Su</v>
      </c>
      <c r="U6" s="22" t="str">
        <f t="shared" si="1"/>
        <v>Mo</v>
      </c>
      <c r="V6" s="22" t="str">
        <f t="shared" si="1"/>
        <v>Tu</v>
      </c>
      <c r="W6" s="22" t="str">
        <f t="shared" si="1"/>
        <v>We</v>
      </c>
      <c r="X6" s="22" t="str">
        <f t="shared" si="1"/>
        <v>Th</v>
      </c>
      <c r="Y6" s="22" t="str">
        <f t="shared" si="1"/>
        <v>Fr</v>
      </c>
      <c r="Z6" s="22" t="str">
        <f t="shared" si="1"/>
        <v>Sa</v>
      </c>
      <c r="AA6" s="22" t="str">
        <f t="shared" si="1"/>
        <v>Su</v>
      </c>
      <c r="AB6" s="22" t="str">
        <f t="shared" si="1"/>
        <v>Mo</v>
      </c>
      <c r="AC6" s="22" t="str">
        <f t="shared" si="1"/>
        <v>Tu</v>
      </c>
      <c r="AD6" s="22" t="str">
        <f t="shared" si="1"/>
        <v>We</v>
      </c>
      <c r="AE6" s="22" t="str">
        <f t="shared" si="1"/>
        <v>Th</v>
      </c>
      <c r="AF6" s="22" t="str">
        <f t="shared" si="1"/>
        <v>Fr</v>
      </c>
      <c r="AG6" s="22" t="str">
        <f t="shared" si="1"/>
        <v>Sa</v>
      </c>
      <c r="AH6" s="22" t="str">
        <f t="shared" si="1"/>
        <v>Su</v>
      </c>
      <c r="AI6" s="22" t="str">
        <f t="shared" si="1"/>
        <v>Mo</v>
      </c>
      <c r="AJ6" s="22" t="str">
        <f t="shared" si="1"/>
        <v>Tu</v>
      </c>
      <c r="AK6" s="22" t="str">
        <f t="shared" si="1"/>
        <v>We</v>
      </c>
      <c r="AL6" s="22" t="str">
        <f t="shared" si="1"/>
        <v>Th</v>
      </c>
      <c r="AM6" s="22" t="str">
        <f t="shared" si="1"/>
        <v>Fr</v>
      </c>
      <c r="AN6" s="22" t="str">
        <f t="shared" si="1"/>
        <v>Sa</v>
      </c>
      <c r="AO6" s="22" t="str">
        <f t="shared" si="1"/>
        <v>Su</v>
      </c>
      <c r="AP6" s="22" t="str">
        <f t="shared" si="1"/>
        <v>Mo</v>
      </c>
      <c r="AQ6" s="22" t="str">
        <f t="shared" si="1"/>
        <v>Tu</v>
      </c>
      <c r="AR6" s="22" t="str">
        <f t="shared" si="1"/>
        <v>We</v>
      </c>
      <c r="AS6" s="22" t="str">
        <f t="shared" si="1"/>
        <v>Th</v>
      </c>
      <c r="AT6" s="22" t="str">
        <f t="shared" si="1"/>
        <v>Fr</v>
      </c>
      <c r="AU6" s="22" t="str">
        <f t="shared" si="1"/>
        <v>Sa</v>
      </c>
      <c r="AV6" s="22" t="str">
        <f t="shared" si="1"/>
        <v>Su</v>
      </c>
      <c r="AW6" s="22" t="str">
        <f t="shared" si="1"/>
        <v>Mo</v>
      </c>
      <c r="AX6" s="22" t="str">
        <f t="shared" si="1"/>
        <v>Tu</v>
      </c>
      <c r="AY6" s="22" t="str">
        <f t="shared" si="1"/>
        <v>We</v>
      </c>
      <c r="AZ6" s="22" t="str">
        <f t="shared" si="1"/>
        <v>Th</v>
      </c>
      <c r="BA6" s="22" t="str">
        <f t="shared" si="1"/>
        <v>Fr</v>
      </c>
      <c r="BB6" s="22" t="str">
        <f t="shared" si="1"/>
        <v>Sa</v>
      </c>
      <c r="BC6" s="22" t="str">
        <f t="shared" si="1"/>
        <v>Su</v>
      </c>
      <c r="BD6" s="22" t="str">
        <f t="shared" si="1"/>
        <v>Mo</v>
      </c>
      <c r="BE6" s="22" t="str">
        <f t="shared" si="1"/>
        <v>Tu</v>
      </c>
      <c r="BF6" s="22" t="str">
        <f t="shared" si="1"/>
        <v>We</v>
      </c>
      <c r="BG6" s="22" t="str">
        <f t="shared" si="1"/>
        <v>Th</v>
      </c>
      <c r="BH6" s="22" t="str">
        <f t="shared" si="1"/>
        <v>Fr</v>
      </c>
      <c r="BI6" s="22" t="str">
        <f t="shared" si="1"/>
        <v>Sa</v>
      </c>
      <c r="BJ6" s="22" t="str">
        <f t="shared" si="1"/>
        <v>Su</v>
      </c>
    </row>
    <row r="7" spans="1:62">
      <c r="A7" s="10" t="s">
        <v>23</v>
      </c>
      <c r="B7" s="11"/>
      <c r="C7" s="11"/>
      <c r="D7" s="12"/>
      <c r="E7" s="12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</row>
    <row r="8" spans="1:62">
      <c r="A8" s="13" t="s">
        <v>24</v>
      </c>
      <c r="B8" s="11" t="s">
        <v>25</v>
      </c>
      <c r="C8" s="14">
        <v>0.75</v>
      </c>
      <c r="D8" s="12">
        <v>46097</v>
      </c>
      <c r="E8" s="12">
        <v>46105</v>
      </c>
      <c r="F8" s="11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</row>
    <row r="9" spans="1:62">
      <c r="A9" s="13" t="s">
        <v>26</v>
      </c>
      <c r="B9" s="11" t="s">
        <v>27</v>
      </c>
      <c r="C9" s="14">
        <v>0.9</v>
      </c>
      <c r="D9" s="12">
        <v>46097</v>
      </c>
      <c r="E9" s="12">
        <v>46113</v>
      </c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</row>
    <row r="10" spans="1:62">
      <c r="A10" s="13"/>
      <c r="B10" s="11"/>
      <c r="C10" s="14"/>
      <c r="D10" s="12"/>
      <c r="E10" s="12"/>
      <c r="F10" s="11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</row>
    <row r="11" spans="1:62">
      <c r="A11" s="13"/>
      <c r="B11" s="11"/>
      <c r="C11" s="11"/>
      <c r="D11" s="12"/>
      <c r="E11" s="12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>
      <c r="A12" s="10" t="s">
        <v>28</v>
      </c>
      <c r="B12" s="11"/>
      <c r="C12" s="11"/>
      <c r="D12" s="12"/>
      <c r="E12" s="12"/>
      <c r="F12" s="1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</row>
    <row r="13" spans="1:62">
      <c r="A13" s="13" t="s">
        <v>29</v>
      </c>
      <c r="B13" s="11" t="s">
        <v>30</v>
      </c>
      <c r="C13" s="14">
        <v>0.4</v>
      </c>
      <c r="D13" s="12">
        <v>46097</v>
      </c>
      <c r="E13" s="12">
        <v>46103</v>
      </c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</row>
    <row r="14" spans="1:62">
      <c r="A14" s="13"/>
      <c r="B14" s="11"/>
      <c r="C14" s="11"/>
      <c r="D14" s="12"/>
      <c r="E14" s="12"/>
      <c r="F14" s="11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</row>
    <row r="15" spans="1:62">
      <c r="A15" s="13" t="s">
        <v>31</v>
      </c>
      <c r="B15" s="11" t="s">
        <v>32</v>
      </c>
      <c r="C15" s="14">
        <v>0</v>
      </c>
      <c r="D15" s="12">
        <v>46103</v>
      </c>
      <c r="E15" s="12">
        <v>46113</v>
      </c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</row>
    <row r="16" spans="1:62">
      <c r="A16" s="13"/>
      <c r="B16" s="11"/>
      <c r="C16" s="11"/>
      <c r="D16" s="12"/>
      <c r="E16" s="12"/>
      <c r="F16" s="11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</row>
    <row r="17" spans="4:5">
      <c r="D17" s="15"/>
      <c r="E17" s="15"/>
    </row>
    <row r="18" spans="4:5">
      <c r="D18" s="15"/>
      <c r="E18" s="15"/>
    </row>
    <row r="19" spans="3:3">
      <c r="C19" s="16"/>
    </row>
    <row r="25" ht="14.5" spans="30:30">
      <c r="AD25" s="28"/>
    </row>
  </sheetData>
  <mergeCells count="9">
    <mergeCell ref="D3:E3"/>
    <mergeCell ref="G4:M4"/>
    <mergeCell ref="N4:T4"/>
    <mergeCell ref="U4:AA4"/>
    <mergeCell ref="AB4:AH4"/>
    <mergeCell ref="AI4:AO4"/>
    <mergeCell ref="AP4:AV4"/>
    <mergeCell ref="AW4:BC4"/>
    <mergeCell ref="BD4:BJ4"/>
  </mergeCells>
  <conditionalFormatting sqref="C7:C9">
    <cfRule type="dataBar" priority="2">
      <dataBar>
        <cfvo type="num" val="0"/>
        <cfvo type="num" val="1"/>
        <color theme="0" tint="-0.25"/>
      </dataBar>
      <extLst>
        <ext xmlns:x14="http://schemas.microsoft.com/office/spreadsheetml/2009/9/main" uri="{B025F937-C7B1-47D3-B67F-A62EFF666E3E}">
          <x14:id>{f0469d43-3e4f-4101-b760-25ef35e78290}</x14:id>
        </ext>
      </extLst>
    </cfRule>
  </conditionalFormatting>
  <conditionalFormatting sqref="C12:C13">
    <cfRule type="dataBar" priority="1">
      <dataBar>
        <cfvo type="num" val="0"/>
        <cfvo type="num" val="1"/>
        <color theme="0" tint="-0.25"/>
      </dataBar>
      <extLst>
        <ext xmlns:x14="http://schemas.microsoft.com/office/spreadsheetml/2009/9/main" uri="{B025F937-C7B1-47D3-B67F-A62EFF666E3E}">
          <x14:id>{9f60fb3a-e21e-4ef6-816c-bbbbbb4eb6e3}</x14:id>
        </ext>
      </extLst>
    </cfRule>
  </conditionalFormatting>
  <conditionalFormatting sqref="G5:BJ16">
    <cfRule type="expression" dxfId="0" priority="5">
      <formula>G$5=TODAY()</formula>
    </cfRule>
  </conditionalFormatting>
  <conditionalFormatting sqref="G7:BJ17">
    <cfRule type="expression" dxfId="2" priority="7">
      <formula>AND(G$5&gt;=$D7,G$5&lt;=$E7)</formula>
    </cfRule>
    <cfRule type="expression" dxfId="1" priority="6">
      <formula>$G$5=TODAY()</formula>
    </cfRule>
  </conditionalFormatting>
  <conditionalFormatting sqref="G7:BJ16">
    <cfRule type="expression" dxfId="3" priority="3">
      <formula>1*AND(G$5&gt;=task_start,G$5&lt;=task_start+(task_progress*(task_end-task_start+1)-1))</formula>
    </cfRule>
  </conditionalFormatting>
  <conditionalFormatting sqref="C10:C11 C14:C16">
    <cfRule type="dataBar" priority="4">
      <dataBar>
        <cfvo type="num" val="0"/>
        <cfvo type="num" val="1"/>
        <color theme="0" tint="-0.25"/>
      </dataBar>
      <extLst>
        <ext xmlns:x14="http://schemas.microsoft.com/office/spreadsheetml/2009/9/main" uri="{B025F937-C7B1-47D3-B67F-A62EFF666E3E}">
          <x14:id>{868bf0c7-7796-4248-abb7-24d9769f8d55}</x14:id>
        </ext>
      </extLst>
    </cfRule>
  </conditionalFormatting>
  <pageMargins left="0.7" right="0.7" top="0.75" bottom="0.75" header="0.3" footer="0.3"/>
  <pageSetup paperSize="9" orientation="portrait" horizontalDpi="600" verticalDpi="6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469d43-3e4f-4101-b760-25ef35e782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C7:C9</xm:sqref>
        </x14:conditionalFormatting>
        <x14:conditionalFormatting xmlns:xm="http://schemas.microsoft.com/office/excel/2006/main">
          <x14:cfRule type="dataBar" id="{9f60fb3a-e21e-4ef6-816c-bbbbbb4eb6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C12:C13</xm:sqref>
        </x14:conditionalFormatting>
        <x14:conditionalFormatting xmlns:xm="http://schemas.microsoft.com/office/excel/2006/main">
          <x14:cfRule type="dataBar" id="{868bf0c7-7796-4248-abb7-24d9769f8d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C10:C11 C14:C16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1" sqref="G11"/>
    </sheetView>
  </sheetViews>
  <sheetFormatPr defaultColWidth="9" defaultRowHeight="13.95"/>
  <sheetData/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Template</vt:lpstr>
      <vt:lpstr>Personal work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milesdao</cp:lastModifiedBy>
  <cp:revision>2</cp:revision>
  <dcterms:created xsi:type="dcterms:W3CDTF">2018-05-27T11:28:00Z</dcterms:created>
  <dcterms:modified xsi:type="dcterms:W3CDTF">2026-03-16T10:25:44Z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  <property fmtid="{D5CDD505-2E9C-101B-9397-08002B2CF9AE}" pid="4" name="KSOReadingLayout">
    <vt:bool>false</vt:bool>
  </property>
</Properties>
</file>